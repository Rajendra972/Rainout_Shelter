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Li_6800\"/>
    </mc:Choice>
  </mc:AlternateContent>
  <xr:revisionPtr revIDLastSave="0" documentId="13_ncr:1_{90E88495-F58A-445F-A44C-030A19A8864D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7-25-Plt7-P11" sheetId="2" r:id="rId1"/>
    <sheet name="7-25-Plt16-P08" sheetId="3" r:id="rId2"/>
    <sheet name="7-25_plt19_H3" sheetId="6" r:id="rId3"/>
    <sheet name="7-27-Plt1-P10" sheetId="5" r:id="rId4"/>
    <sheet name="7-28_Plt23_7" sheetId="7" r:id="rId5"/>
    <sheet name="7-28_Plt27_P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32" i="8" l="1"/>
  <c r="DI32" i="8"/>
  <c r="DG32" i="8"/>
  <c r="DH32" i="8" s="1"/>
  <c r="BV32" i="8"/>
  <c r="BU32" i="8"/>
  <c r="BM32" i="8"/>
  <c r="BJ32" i="8"/>
  <c r="BI32" i="8"/>
  <c r="BG32" i="8"/>
  <c r="BK32" i="8" s="1"/>
  <c r="BA32" i="8"/>
  <c r="BN32" i="8" s="1"/>
  <c r="BQ32" i="8" s="1"/>
  <c r="AV32" i="8"/>
  <c r="AT32" i="8"/>
  <c r="AU32" i="8" s="1"/>
  <c r="AM32" i="8"/>
  <c r="AH32" i="8"/>
  <c r="AG32" i="8"/>
  <c r="AF32" i="8"/>
  <c r="Z32" i="8"/>
  <c r="Y32" i="8"/>
  <c r="X32" i="8"/>
  <c r="T32" i="8"/>
  <c r="Q32" i="8"/>
  <c r="O32" i="8"/>
  <c r="L32" i="8"/>
  <c r="K32" i="8"/>
  <c r="J32" i="8"/>
  <c r="I32" i="8" s="1"/>
  <c r="DJ31" i="8"/>
  <c r="DI31" i="8"/>
  <c r="DG31" i="8"/>
  <c r="DH31" i="8" s="1"/>
  <c r="BI31" i="8" s="1"/>
  <c r="BV31" i="8"/>
  <c r="BU31" i="8"/>
  <c r="BM31" i="8"/>
  <c r="BG31" i="8"/>
  <c r="BK31" i="8" s="1"/>
  <c r="BA31" i="8"/>
  <c r="BN31" i="8" s="1"/>
  <c r="BQ31" i="8" s="1"/>
  <c r="AV31" i="8"/>
  <c r="AT31" i="8"/>
  <c r="AF31" i="8" s="1"/>
  <c r="K31" i="8" s="1"/>
  <c r="BJ31" i="8" s="1"/>
  <c r="BL31" i="8" s="1"/>
  <c r="AM31" i="8"/>
  <c r="AH31" i="8"/>
  <c r="Z31" i="8"/>
  <c r="Y31" i="8"/>
  <c r="X31" i="8"/>
  <c r="T31" i="8"/>
  <c r="Q31" i="8"/>
  <c r="DJ30" i="8"/>
  <c r="DI30" i="8"/>
  <c r="DG30" i="8"/>
  <c r="DH30" i="8" s="1"/>
  <c r="BV30" i="8"/>
  <c r="BU30" i="8"/>
  <c r="BM30" i="8"/>
  <c r="BJ30" i="8"/>
  <c r="BI30" i="8"/>
  <c r="BG30" i="8"/>
  <c r="BK30" i="8" s="1"/>
  <c r="BA30" i="8"/>
  <c r="BN30" i="8" s="1"/>
  <c r="BQ30" i="8" s="1"/>
  <c r="AV30" i="8"/>
  <c r="AT30" i="8"/>
  <c r="AU30" i="8" s="1"/>
  <c r="AM30" i="8"/>
  <c r="AH30" i="8"/>
  <c r="AG30" i="8"/>
  <c r="AF30" i="8"/>
  <c r="Z30" i="8"/>
  <c r="Y30" i="8"/>
  <c r="X30" i="8"/>
  <c r="T30" i="8"/>
  <c r="Q30" i="8"/>
  <c r="O30" i="8"/>
  <c r="L30" i="8"/>
  <c r="K30" i="8"/>
  <c r="J30" i="8"/>
  <c r="I30" i="8" s="1"/>
  <c r="DJ29" i="8"/>
  <c r="DI29" i="8"/>
  <c r="DG29" i="8"/>
  <c r="DH29" i="8" s="1"/>
  <c r="BI29" i="8" s="1"/>
  <c r="BV29" i="8"/>
  <c r="BU29" i="8"/>
  <c r="BM29" i="8"/>
  <c r="BG29" i="8"/>
  <c r="BK29" i="8" s="1"/>
  <c r="BA29" i="8"/>
  <c r="BN29" i="8" s="1"/>
  <c r="BQ29" i="8" s="1"/>
  <c r="AV29" i="8"/>
  <c r="AT29" i="8"/>
  <c r="AF29" i="8" s="1"/>
  <c r="K29" i="8" s="1"/>
  <c r="BJ29" i="8" s="1"/>
  <c r="BL29" i="8" s="1"/>
  <c r="AM29" i="8"/>
  <c r="AH29" i="8"/>
  <c r="AG29" i="8"/>
  <c r="J29" i="8" s="1"/>
  <c r="I29" i="8" s="1"/>
  <c r="Z29" i="8"/>
  <c r="Y29" i="8"/>
  <c r="X29" i="8"/>
  <c r="T29" i="8"/>
  <c r="Q29" i="8"/>
  <c r="DJ28" i="8"/>
  <c r="DI28" i="8"/>
  <c r="DG28" i="8"/>
  <c r="DH28" i="8" s="1"/>
  <c r="BV28" i="8"/>
  <c r="BU28" i="8"/>
  <c r="BM28" i="8"/>
  <c r="BI28" i="8"/>
  <c r="BG28" i="8"/>
  <c r="BK28" i="8" s="1"/>
  <c r="BA28" i="8"/>
  <c r="BN28" i="8" s="1"/>
  <c r="BQ28" i="8" s="1"/>
  <c r="AV28" i="8"/>
  <c r="AT28" i="8"/>
  <c r="AU28" i="8" s="1"/>
  <c r="AM28" i="8"/>
  <c r="AH28" i="8"/>
  <c r="AG28" i="8"/>
  <c r="AF28" i="8"/>
  <c r="Z28" i="8"/>
  <c r="Y28" i="8"/>
  <c r="X28" i="8"/>
  <c r="T28" i="8"/>
  <c r="Q28" i="8"/>
  <c r="O28" i="8"/>
  <c r="L28" i="8"/>
  <c r="K28" i="8"/>
  <c r="BJ28" i="8" s="1"/>
  <c r="BL28" i="8" s="1"/>
  <c r="J28" i="8"/>
  <c r="I28" i="8" s="1"/>
  <c r="DJ27" i="8"/>
  <c r="DI27" i="8"/>
  <c r="DG27" i="8"/>
  <c r="DH27" i="8" s="1"/>
  <c r="BI27" i="8" s="1"/>
  <c r="BV27" i="8"/>
  <c r="BU27" i="8"/>
  <c r="BM27" i="8"/>
  <c r="BG27" i="8"/>
  <c r="BA27" i="8"/>
  <c r="BN27" i="8" s="1"/>
  <c r="BQ27" i="8" s="1"/>
  <c r="AV27" i="8"/>
  <c r="AT27" i="8"/>
  <c r="AM27" i="8"/>
  <c r="AH27" i="8"/>
  <c r="Z27" i="8"/>
  <c r="Y27" i="8"/>
  <c r="X27" i="8"/>
  <c r="T27" i="8"/>
  <c r="Q27" i="8"/>
  <c r="O27" i="8"/>
  <c r="DJ26" i="8"/>
  <c r="DI26" i="8"/>
  <c r="DG26" i="8"/>
  <c r="DH26" i="8" s="1"/>
  <c r="BV26" i="8"/>
  <c r="BU26" i="8"/>
  <c r="BM26" i="8"/>
  <c r="BJ26" i="8"/>
  <c r="BL26" i="8" s="1"/>
  <c r="BI26" i="8"/>
  <c r="BG26" i="8"/>
  <c r="BK26" i="8" s="1"/>
  <c r="BA26" i="8"/>
  <c r="BN26" i="8" s="1"/>
  <c r="BQ26" i="8" s="1"/>
  <c r="AV26" i="8"/>
  <c r="AT26" i="8"/>
  <c r="AU26" i="8" s="1"/>
  <c r="AM26" i="8"/>
  <c r="AH26" i="8"/>
  <c r="AG26" i="8"/>
  <c r="AF26" i="8"/>
  <c r="AB26" i="8"/>
  <c r="Z26" i="8"/>
  <c r="Y26" i="8"/>
  <c r="X26" i="8"/>
  <c r="T26" i="8"/>
  <c r="Q26" i="8"/>
  <c r="O26" i="8"/>
  <c r="L26" i="8"/>
  <c r="K26" i="8"/>
  <c r="J26" i="8"/>
  <c r="I26" i="8"/>
  <c r="DJ25" i="8"/>
  <c r="DI25" i="8"/>
  <c r="DG25" i="8"/>
  <c r="DH25" i="8" s="1"/>
  <c r="BI25" i="8" s="1"/>
  <c r="BV25" i="8"/>
  <c r="BU25" i="8"/>
  <c r="BM25" i="8"/>
  <c r="BG25" i="8"/>
  <c r="BA25" i="8"/>
  <c r="BN25" i="8" s="1"/>
  <c r="BQ25" i="8" s="1"/>
  <c r="BR25" i="8" s="1"/>
  <c r="AV25" i="8"/>
  <c r="AT25" i="8"/>
  <c r="AM25" i="8"/>
  <c r="AH25" i="8"/>
  <c r="Z25" i="8"/>
  <c r="Y25" i="8"/>
  <c r="X25" i="8"/>
  <c r="T25" i="8"/>
  <c r="Q25" i="8"/>
  <c r="DJ24" i="8"/>
  <c r="DI24" i="8"/>
  <c r="DG24" i="8"/>
  <c r="DH24" i="8" s="1"/>
  <c r="BV24" i="8"/>
  <c r="BU24" i="8"/>
  <c r="BM24" i="8"/>
  <c r="BJ24" i="8"/>
  <c r="BL24" i="8" s="1"/>
  <c r="BI24" i="8"/>
  <c r="BG24" i="8"/>
  <c r="BK24" i="8" s="1"/>
  <c r="BA24" i="8"/>
  <c r="BN24" i="8" s="1"/>
  <c r="BQ24" i="8" s="1"/>
  <c r="AV24" i="8"/>
  <c r="AT24" i="8"/>
  <c r="AU24" i="8" s="1"/>
  <c r="AM24" i="8"/>
  <c r="AH24" i="8"/>
  <c r="AG24" i="8"/>
  <c r="AF24" i="8"/>
  <c r="AB24" i="8"/>
  <c r="Z24" i="8"/>
  <c r="Y24" i="8"/>
  <c r="X24" i="8"/>
  <c r="T24" i="8"/>
  <c r="Q24" i="8"/>
  <c r="O24" i="8"/>
  <c r="L24" i="8"/>
  <c r="K24" i="8"/>
  <c r="J24" i="8"/>
  <c r="I24" i="8"/>
  <c r="DJ23" i="8"/>
  <c r="DI23" i="8"/>
  <c r="DG23" i="8"/>
  <c r="DH23" i="8" s="1"/>
  <c r="BV23" i="8"/>
  <c r="BU23" i="8"/>
  <c r="BM23" i="8"/>
  <c r="BI23" i="8"/>
  <c r="BG23" i="8"/>
  <c r="BK23" i="8" s="1"/>
  <c r="BA23" i="8"/>
  <c r="BN23" i="8" s="1"/>
  <c r="BQ23" i="8" s="1"/>
  <c r="BR23" i="8" s="1"/>
  <c r="AV23" i="8"/>
  <c r="AT23" i="8" s="1"/>
  <c r="AM23" i="8"/>
  <c r="AH23" i="8"/>
  <c r="Z23" i="8"/>
  <c r="Y23" i="8"/>
  <c r="X23" i="8"/>
  <c r="T23" i="8"/>
  <c r="Q23" i="8"/>
  <c r="DJ22" i="8"/>
  <c r="DI22" i="8"/>
  <c r="DG22" i="8"/>
  <c r="DH22" i="8" s="1"/>
  <c r="BV22" i="8"/>
  <c r="BU22" i="8"/>
  <c r="BN22" i="8"/>
  <c r="BQ22" i="8" s="1"/>
  <c r="BM22" i="8"/>
  <c r="BJ22" i="8"/>
  <c r="BL22" i="8" s="1"/>
  <c r="BI22" i="8"/>
  <c r="BK22" i="8" s="1"/>
  <c r="BG22" i="8"/>
  <c r="BA22" i="8"/>
  <c r="AV22" i="8"/>
  <c r="AT22" i="8"/>
  <c r="AU22" i="8" s="1"/>
  <c r="AM22" i="8"/>
  <c r="AH22" i="8"/>
  <c r="AG22" i="8"/>
  <c r="AF22" i="8"/>
  <c r="AB22" i="8"/>
  <c r="Z22" i="8"/>
  <c r="Y22" i="8"/>
  <c r="X22" i="8"/>
  <c r="T22" i="8"/>
  <c r="Q22" i="8"/>
  <c r="O22" i="8"/>
  <c r="L22" i="8"/>
  <c r="K22" i="8"/>
  <c r="J22" i="8"/>
  <c r="I22" i="8"/>
  <c r="DJ21" i="8"/>
  <c r="DI21" i="8"/>
  <c r="DG21" i="8"/>
  <c r="DH21" i="8" s="1"/>
  <c r="BV21" i="8"/>
  <c r="BU21" i="8"/>
  <c r="BT21" i="8"/>
  <c r="BS21" i="8"/>
  <c r="BW21" i="8" s="1"/>
  <c r="BX21" i="8" s="1"/>
  <c r="BM21" i="8"/>
  <c r="BI21" i="8"/>
  <c r="BG21" i="8"/>
  <c r="BK21" i="8" s="1"/>
  <c r="BA21" i="8"/>
  <c r="BN21" i="8" s="1"/>
  <c r="BQ21" i="8" s="1"/>
  <c r="BR21" i="8" s="1"/>
  <c r="AV21" i="8"/>
  <c r="AT21" i="8"/>
  <c r="O21" i="8" s="1"/>
  <c r="AM21" i="8"/>
  <c r="AH21" i="8"/>
  <c r="AG21" i="8"/>
  <c r="J21" i="8" s="1"/>
  <c r="I21" i="8" s="1"/>
  <c r="AB21" i="8" s="1"/>
  <c r="AF21" i="8"/>
  <c r="K21" i="8" s="1"/>
  <c r="BJ21" i="8" s="1"/>
  <c r="BL21" i="8" s="1"/>
  <c r="Z21" i="8"/>
  <c r="Y21" i="8"/>
  <c r="X21" i="8"/>
  <c r="T21" i="8"/>
  <c r="Q21" i="8"/>
  <c r="DJ20" i="8"/>
  <c r="DI20" i="8"/>
  <c r="DG20" i="8"/>
  <c r="DH20" i="8" s="1"/>
  <c r="BI20" i="8" s="1"/>
  <c r="BK20" i="8" s="1"/>
  <c r="BV20" i="8"/>
  <c r="BU20" i="8"/>
  <c r="BN20" i="8"/>
  <c r="BQ20" i="8" s="1"/>
  <c r="BM20" i="8"/>
  <c r="BG20" i="8"/>
  <c r="BA20" i="8"/>
  <c r="AV20" i="8"/>
  <c r="AT20" i="8"/>
  <c r="AU20" i="8" s="1"/>
  <c r="AM20" i="8"/>
  <c r="AH20" i="8"/>
  <c r="AG20" i="8"/>
  <c r="AF20" i="8"/>
  <c r="AB20" i="8"/>
  <c r="Z20" i="8"/>
  <c r="Y20" i="8"/>
  <c r="X20" i="8"/>
  <c r="T20" i="8"/>
  <c r="U20" i="8" s="1"/>
  <c r="V20" i="8" s="1"/>
  <c r="Q20" i="8"/>
  <c r="O20" i="8"/>
  <c r="L20" i="8"/>
  <c r="K20" i="8"/>
  <c r="BJ20" i="8" s="1"/>
  <c r="BL20" i="8" s="1"/>
  <c r="J20" i="8"/>
  <c r="I20" i="8"/>
  <c r="DJ19" i="8"/>
  <c r="DI19" i="8"/>
  <c r="DG19" i="8"/>
  <c r="DH19" i="8" s="1"/>
  <c r="BI19" i="8" s="1"/>
  <c r="BV19" i="8"/>
  <c r="BU19" i="8"/>
  <c r="BT19" i="8"/>
  <c r="BS19" i="8"/>
  <c r="BW19" i="8" s="1"/>
  <c r="BX19" i="8" s="1"/>
  <c r="BM19" i="8"/>
  <c r="BG19" i="8"/>
  <c r="BA19" i="8"/>
  <c r="BN19" i="8" s="1"/>
  <c r="BQ19" i="8" s="1"/>
  <c r="BR19" i="8" s="1"/>
  <c r="AV19" i="8"/>
  <c r="AT19" i="8"/>
  <c r="O19" i="8" s="1"/>
  <c r="AM19" i="8"/>
  <c r="AH19" i="8"/>
  <c r="AG19" i="8"/>
  <c r="J19" i="8" s="1"/>
  <c r="I19" i="8" s="1"/>
  <c r="AB19" i="8" s="1"/>
  <c r="AF19" i="8"/>
  <c r="K19" i="8" s="1"/>
  <c r="BJ19" i="8" s="1"/>
  <c r="Z19" i="8"/>
  <c r="Y19" i="8"/>
  <c r="X19" i="8"/>
  <c r="T19" i="8"/>
  <c r="Q19" i="8"/>
  <c r="DJ18" i="8"/>
  <c r="DI18" i="8"/>
  <c r="DG18" i="8"/>
  <c r="DH18" i="8" s="1"/>
  <c r="BI18" i="8" s="1"/>
  <c r="BV18" i="8"/>
  <c r="BU18" i="8"/>
  <c r="BN18" i="8"/>
  <c r="BQ18" i="8" s="1"/>
  <c r="BM18" i="8"/>
  <c r="BG18" i="8"/>
  <c r="BA18" i="8"/>
  <c r="AV18" i="8"/>
  <c r="AT18" i="8"/>
  <c r="AU18" i="8" s="1"/>
  <c r="AM18" i="8"/>
  <c r="AH18" i="8"/>
  <c r="AG18" i="8"/>
  <c r="AF18" i="8"/>
  <c r="AD18" i="8"/>
  <c r="AE18" i="8" s="1"/>
  <c r="AC18" i="8"/>
  <c r="AB18" i="8"/>
  <c r="AA18" i="8"/>
  <c r="Z18" i="8"/>
  <c r="Y18" i="8"/>
  <c r="X18" i="8" s="1"/>
  <c r="T18" i="8"/>
  <c r="U18" i="8" s="1"/>
  <c r="V18" i="8" s="1"/>
  <c r="W18" i="8" s="1"/>
  <c r="Q18" i="8"/>
  <c r="O18" i="8"/>
  <c r="L18" i="8"/>
  <c r="K18" i="8"/>
  <c r="BJ18" i="8" s="1"/>
  <c r="J18" i="8"/>
  <c r="I18" i="8"/>
  <c r="DJ17" i="8"/>
  <c r="DI17" i="8"/>
  <c r="DG17" i="8"/>
  <c r="DH17" i="8" s="1"/>
  <c r="BI17" i="8" s="1"/>
  <c r="BV17" i="8"/>
  <c r="BU17" i="8"/>
  <c r="BT17" i="8"/>
  <c r="BM17" i="8"/>
  <c r="BG17" i="8"/>
  <c r="BA17" i="8"/>
  <c r="BN17" i="8" s="1"/>
  <c r="BQ17" i="8" s="1"/>
  <c r="BR17" i="8" s="1"/>
  <c r="AV17" i="8"/>
  <c r="AT17" i="8"/>
  <c r="AU17" i="8" s="1"/>
  <c r="AM17" i="8"/>
  <c r="AH17" i="8"/>
  <c r="AG17" i="8"/>
  <c r="J17" i="8" s="1"/>
  <c r="I17" i="8" s="1"/>
  <c r="AF17" i="8"/>
  <c r="K17" i="8" s="1"/>
  <c r="BJ17" i="8" s="1"/>
  <c r="Z17" i="8"/>
  <c r="Y17" i="8"/>
  <c r="X17" i="8"/>
  <c r="T17" i="8"/>
  <c r="U17" i="8" s="1"/>
  <c r="V17" i="8" s="1"/>
  <c r="Q17" i="8"/>
  <c r="DJ29" i="7"/>
  <c r="DI29" i="7"/>
  <c r="DG29" i="7"/>
  <c r="DH29" i="7" s="1"/>
  <c r="BV29" i="7"/>
  <c r="BU29" i="7"/>
  <c r="BM29" i="7"/>
  <c r="BJ29" i="7"/>
  <c r="BI29" i="7"/>
  <c r="BG29" i="7"/>
  <c r="BK29" i="7" s="1"/>
  <c r="BA29" i="7"/>
  <c r="BN29" i="7" s="1"/>
  <c r="BQ29" i="7" s="1"/>
  <c r="AV29" i="7"/>
  <c r="AT29" i="7"/>
  <c r="AU29" i="7" s="1"/>
  <c r="AM29" i="7"/>
  <c r="AH29" i="7"/>
  <c r="AG29" i="7"/>
  <c r="AF29" i="7"/>
  <c r="Z29" i="7"/>
  <c r="Y29" i="7"/>
  <c r="X29" i="7"/>
  <c r="T29" i="7"/>
  <c r="Q29" i="7"/>
  <c r="O29" i="7"/>
  <c r="L29" i="7"/>
  <c r="K29" i="7"/>
  <c r="J29" i="7"/>
  <c r="I29" i="7"/>
  <c r="DJ28" i="7"/>
  <c r="DI28" i="7"/>
  <c r="DG28" i="7"/>
  <c r="DH28" i="7" s="1"/>
  <c r="BI28" i="7" s="1"/>
  <c r="BV28" i="7"/>
  <c r="BU28" i="7"/>
  <c r="BM28" i="7"/>
  <c r="BG28" i="7"/>
  <c r="BA28" i="7"/>
  <c r="BN28" i="7" s="1"/>
  <c r="BQ28" i="7" s="1"/>
  <c r="AV28" i="7"/>
  <c r="AT28" i="7"/>
  <c r="O28" i="7" s="1"/>
  <c r="AM28" i="7"/>
  <c r="AH28" i="7"/>
  <c r="Z28" i="7"/>
  <c r="Y28" i="7"/>
  <c r="X28" i="7"/>
  <c r="Q28" i="7"/>
  <c r="DJ27" i="7"/>
  <c r="DI27" i="7"/>
  <c r="DG27" i="7"/>
  <c r="DH27" i="7" s="1"/>
  <c r="BI27" i="7" s="1"/>
  <c r="BV27" i="7"/>
  <c r="BU27" i="7"/>
  <c r="BM27" i="7"/>
  <c r="BJ27" i="7"/>
  <c r="BL27" i="7" s="1"/>
  <c r="BG27" i="7"/>
  <c r="BA27" i="7"/>
  <c r="BN27" i="7" s="1"/>
  <c r="BQ27" i="7" s="1"/>
  <c r="AV27" i="7"/>
  <c r="AT27" i="7"/>
  <c r="AU27" i="7" s="1"/>
  <c r="AM27" i="7"/>
  <c r="AH27" i="7"/>
  <c r="AG27" i="7"/>
  <c r="AF27" i="7"/>
  <c r="Z27" i="7"/>
  <c r="Y27" i="7"/>
  <c r="X27" i="7"/>
  <c r="T27" i="7"/>
  <c r="Q27" i="7"/>
  <c r="O27" i="7"/>
  <c r="L27" i="7"/>
  <c r="K27" i="7"/>
  <c r="J27" i="7"/>
  <c r="I27" i="7"/>
  <c r="DJ26" i="7"/>
  <c r="DI26" i="7"/>
  <c r="DG26" i="7"/>
  <c r="T26" i="7" s="1"/>
  <c r="BV26" i="7"/>
  <c r="BU26" i="7"/>
  <c r="BM26" i="7"/>
  <c r="BG26" i="7"/>
  <c r="BA26" i="7"/>
  <c r="BN26" i="7" s="1"/>
  <c r="BQ26" i="7" s="1"/>
  <c r="BR26" i="7" s="1"/>
  <c r="AV26" i="7"/>
  <c r="AT26" i="7"/>
  <c r="O26" i="7" s="1"/>
  <c r="AM26" i="7"/>
  <c r="AH26" i="7"/>
  <c r="AG26" i="7"/>
  <c r="J26" i="7" s="1"/>
  <c r="I26" i="7" s="1"/>
  <c r="AF26" i="7"/>
  <c r="K26" i="7" s="1"/>
  <c r="BJ26" i="7" s="1"/>
  <c r="Z26" i="7"/>
  <c r="Y26" i="7"/>
  <c r="X26" i="7"/>
  <c r="Q26" i="7"/>
  <c r="DJ25" i="7"/>
  <c r="DI25" i="7"/>
  <c r="DG25" i="7"/>
  <c r="DH25" i="7" s="1"/>
  <c r="BI25" i="7" s="1"/>
  <c r="BV25" i="7"/>
  <c r="BU25" i="7"/>
  <c r="BM25" i="7"/>
  <c r="BJ25" i="7"/>
  <c r="BL25" i="7" s="1"/>
  <c r="BG25" i="7"/>
  <c r="BK25" i="7" s="1"/>
  <c r="BA25" i="7"/>
  <c r="BN25" i="7" s="1"/>
  <c r="BQ25" i="7" s="1"/>
  <c r="AV25" i="7"/>
  <c r="AT25" i="7"/>
  <c r="AU25" i="7" s="1"/>
  <c r="AM25" i="7"/>
  <c r="AH25" i="7"/>
  <c r="AG25" i="7"/>
  <c r="AF25" i="7"/>
  <c r="AB25" i="7"/>
  <c r="Z25" i="7"/>
  <c r="Y25" i="7"/>
  <c r="X25" i="7"/>
  <c r="T25" i="7"/>
  <c r="Q25" i="7"/>
  <c r="O25" i="7"/>
  <c r="L25" i="7"/>
  <c r="K25" i="7"/>
  <c r="J25" i="7"/>
  <c r="I25" i="7"/>
  <c r="DJ24" i="7"/>
  <c r="DI24" i="7"/>
  <c r="DG24" i="7"/>
  <c r="T24" i="7" s="1"/>
  <c r="U24" i="7" s="1"/>
  <c r="V24" i="7" s="1"/>
  <c r="W24" i="7" s="1"/>
  <c r="AA24" i="7" s="1"/>
  <c r="BV24" i="7"/>
  <c r="BU24" i="7"/>
  <c r="BT24" i="7"/>
  <c r="BM24" i="7"/>
  <c r="BG24" i="7"/>
  <c r="BA24" i="7"/>
  <c r="BN24" i="7" s="1"/>
  <c r="BQ24" i="7" s="1"/>
  <c r="BR24" i="7" s="1"/>
  <c r="AV24" i="7"/>
  <c r="AT24" i="7"/>
  <c r="O24" i="7" s="1"/>
  <c r="AM24" i="7"/>
  <c r="AH24" i="7"/>
  <c r="AG24" i="7"/>
  <c r="J24" i="7" s="1"/>
  <c r="I24" i="7" s="1"/>
  <c r="AB24" i="7" s="1"/>
  <c r="AF24" i="7"/>
  <c r="K24" i="7" s="1"/>
  <c r="BJ24" i="7" s="1"/>
  <c r="Z24" i="7"/>
  <c r="Y24" i="7"/>
  <c r="X24" i="7"/>
  <c r="Q24" i="7"/>
  <c r="DJ23" i="7"/>
  <c r="DI23" i="7"/>
  <c r="DG23" i="7"/>
  <c r="DH23" i="7" s="1"/>
  <c r="BI23" i="7" s="1"/>
  <c r="BV23" i="7"/>
  <c r="BU23" i="7"/>
  <c r="BN23" i="7"/>
  <c r="BQ23" i="7" s="1"/>
  <c r="BM23" i="7"/>
  <c r="BL23" i="7"/>
  <c r="BK23" i="7"/>
  <c r="BJ23" i="7"/>
  <c r="BG23" i="7"/>
  <c r="BA23" i="7"/>
  <c r="AV23" i="7"/>
  <c r="AT23" i="7"/>
  <c r="AU23" i="7" s="1"/>
  <c r="AM23" i="7"/>
  <c r="AH23" i="7"/>
  <c r="AG23" i="7"/>
  <c r="AF23" i="7"/>
  <c r="AB23" i="7"/>
  <c r="Z23" i="7"/>
  <c r="Y23" i="7"/>
  <c r="X23" i="7"/>
  <c r="T23" i="7"/>
  <c r="Q23" i="7"/>
  <c r="O23" i="7"/>
  <c r="L23" i="7"/>
  <c r="K23" i="7"/>
  <c r="J23" i="7"/>
  <c r="I23" i="7"/>
  <c r="DJ22" i="7"/>
  <c r="DI22" i="7"/>
  <c r="DG22" i="7"/>
  <c r="T22" i="7" s="1"/>
  <c r="BV22" i="7"/>
  <c r="BU22" i="7"/>
  <c r="BM22" i="7"/>
  <c r="BG22" i="7"/>
  <c r="BA22" i="7"/>
  <c r="BN22" i="7" s="1"/>
  <c r="BQ22" i="7" s="1"/>
  <c r="BR22" i="7" s="1"/>
  <c r="AV22" i="7"/>
  <c r="AT22" i="7"/>
  <c r="L22" i="7" s="1"/>
  <c r="AM22" i="7"/>
  <c r="AH22" i="7"/>
  <c r="AG22" i="7"/>
  <c r="J22" i="7" s="1"/>
  <c r="I22" i="7" s="1"/>
  <c r="AB22" i="7" s="1"/>
  <c r="AF22" i="7"/>
  <c r="K22" i="7" s="1"/>
  <c r="BJ22" i="7" s="1"/>
  <c r="Z22" i="7"/>
  <c r="Y22" i="7"/>
  <c r="X22" i="7"/>
  <c r="Q22" i="7"/>
  <c r="O22" i="7"/>
  <c r="DJ21" i="7"/>
  <c r="DI21" i="7"/>
  <c r="DG21" i="7"/>
  <c r="DH21" i="7" s="1"/>
  <c r="BV21" i="7"/>
  <c r="BU21" i="7"/>
  <c r="BM21" i="7"/>
  <c r="BJ21" i="7"/>
  <c r="BL21" i="7" s="1"/>
  <c r="BI21" i="7"/>
  <c r="BG21" i="7"/>
  <c r="BK21" i="7" s="1"/>
  <c r="BA21" i="7"/>
  <c r="BN21" i="7" s="1"/>
  <c r="BQ21" i="7" s="1"/>
  <c r="AV21" i="7"/>
  <c r="AT21" i="7"/>
  <c r="AU21" i="7" s="1"/>
  <c r="AM21" i="7"/>
  <c r="AH21" i="7"/>
  <c r="AG21" i="7"/>
  <c r="AF21" i="7"/>
  <c r="AB21" i="7"/>
  <c r="Z21" i="7"/>
  <c r="Y21" i="7"/>
  <c r="X21" i="7"/>
  <c r="T21" i="7"/>
  <c r="Q21" i="7"/>
  <c r="O21" i="7"/>
  <c r="L21" i="7"/>
  <c r="K21" i="7"/>
  <c r="J21" i="7"/>
  <c r="I21" i="7"/>
  <c r="DJ20" i="7"/>
  <c r="DI20" i="7"/>
  <c r="DG20" i="7"/>
  <c r="T20" i="7" s="1"/>
  <c r="BV20" i="7"/>
  <c r="BU20" i="7"/>
  <c r="BM20" i="7"/>
  <c r="BG20" i="7"/>
  <c r="BA20" i="7"/>
  <c r="BN20" i="7" s="1"/>
  <c r="BQ20" i="7" s="1"/>
  <c r="BR20" i="7" s="1"/>
  <c r="AV20" i="7"/>
  <c r="AT20" i="7"/>
  <c r="L20" i="7" s="1"/>
  <c r="AM20" i="7"/>
  <c r="AH20" i="7"/>
  <c r="Z20" i="7"/>
  <c r="Y20" i="7"/>
  <c r="X20" i="7"/>
  <c r="Q20" i="7"/>
  <c r="DJ19" i="7"/>
  <c r="DI19" i="7"/>
  <c r="DG19" i="7"/>
  <c r="DH19" i="7" s="1"/>
  <c r="BV19" i="7"/>
  <c r="BU19" i="7"/>
  <c r="BM19" i="7"/>
  <c r="BJ19" i="7"/>
  <c r="BI19" i="7"/>
  <c r="BG19" i="7"/>
  <c r="BK19" i="7" s="1"/>
  <c r="BA19" i="7"/>
  <c r="BN19" i="7" s="1"/>
  <c r="BQ19" i="7" s="1"/>
  <c r="AV19" i="7"/>
  <c r="AT19" i="7"/>
  <c r="AU19" i="7" s="1"/>
  <c r="AM19" i="7"/>
  <c r="AH19" i="7"/>
  <c r="AG19" i="7"/>
  <c r="AF19" i="7"/>
  <c r="Z19" i="7"/>
  <c r="Y19" i="7"/>
  <c r="X19" i="7"/>
  <c r="T19" i="7"/>
  <c r="Q19" i="7"/>
  <c r="O19" i="7"/>
  <c r="L19" i="7"/>
  <c r="K19" i="7"/>
  <c r="J19" i="7"/>
  <c r="I19" i="7"/>
  <c r="DJ18" i="7"/>
  <c r="DI18" i="7"/>
  <c r="DG18" i="7"/>
  <c r="DH18" i="7" s="1"/>
  <c r="BI18" i="7" s="1"/>
  <c r="BV18" i="7"/>
  <c r="BU18" i="7"/>
  <c r="BM18" i="7"/>
  <c r="BG18" i="7"/>
  <c r="BA18" i="7"/>
  <c r="BN18" i="7" s="1"/>
  <c r="BQ18" i="7" s="1"/>
  <c r="AV18" i="7"/>
  <c r="AT18" i="7"/>
  <c r="O18" i="7" s="1"/>
  <c r="AM18" i="7"/>
  <c r="AH18" i="7"/>
  <c r="AG18" i="7"/>
  <c r="J18" i="7" s="1"/>
  <c r="I18" i="7" s="1"/>
  <c r="AF18" i="7"/>
  <c r="Z18" i="7"/>
  <c r="Y18" i="7"/>
  <c r="X18" i="7"/>
  <c r="Q18" i="7"/>
  <c r="L18" i="7"/>
  <c r="K18" i="7"/>
  <c r="BJ18" i="7" s="1"/>
  <c r="BL18" i="7" s="1"/>
  <c r="DJ17" i="7"/>
  <c r="DI17" i="7"/>
  <c r="DG17" i="7"/>
  <c r="DH17" i="7" s="1"/>
  <c r="BI17" i="7" s="1"/>
  <c r="BV17" i="7"/>
  <c r="BU17" i="7"/>
  <c r="BM17" i="7"/>
  <c r="BJ17" i="7"/>
  <c r="BL17" i="7" s="1"/>
  <c r="BG17" i="7"/>
  <c r="BK17" i="7" s="1"/>
  <c r="BA17" i="7"/>
  <c r="BN17" i="7" s="1"/>
  <c r="BQ17" i="7" s="1"/>
  <c r="AV17" i="7"/>
  <c r="AT17" i="7"/>
  <c r="AU17" i="7" s="1"/>
  <c r="AM17" i="7"/>
  <c r="AH17" i="7"/>
  <c r="AG17" i="7"/>
  <c r="AF17" i="7"/>
  <c r="Z17" i="7"/>
  <c r="Y17" i="7"/>
  <c r="X17" i="7"/>
  <c r="T17" i="7"/>
  <c r="Q17" i="7"/>
  <c r="O17" i="7"/>
  <c r="L17" i="7"/>
  <c r="K17" i="7"/>
  <c r="J17" i="7"/>
  <c r="I17" i="7"/>
  <c r="DJ29" i="6"/>
  <c r="DI29" i="6"/>
  <c r="DG29" i="6"/>
  <c r="DH29" i="6" s="1"/>
  <c r="BI29" i="6" s="1"/>
  <c r="BV29" i="6"/>
  <c r="BU29" i="6"/>
  <c r="BM29" i="6"/>
  <c r="BG29" i="6"/>
  <c r="BK29" i="6" s="1"/>
  <c r="BA29" i="6"/>
  <c r="BN29" i="6" s="1"/>
  <c r="BQ29" i="6" s="1"/>
  <c r="AV29" i="6"/>
  <c r="AU29" i="6"/>
  <c r="AT29" i="6"/>
  <c r="AM29" i="6"/>
  <c r="AH29" i="6"/>
  <c r="AG29" i="6"/>
  <c r="J29" i="6" s="1"/>
  <c r="I29" i="6" s="1"/>
  <c r="AF29" i="6"/>
  <c r="K29" i="6" s="1"/>
  <c r="BJ29" i="6" s="1"/>
  <c r="BL29" i="6" s="1"/>
  <c r="Z29" i="6"/>
  <c r="Y29" i="6"/>
  <c r="X29" i="6"/>
  <c r="T29" i="6"/>
  <c r="U29" i="6" s="1"/>
  <c r="V29" i="6" s="1"/>
  <c r="Q29" i="6"/>
  <c r="O29" i="6"/>
  <c r="L29" i="6"/>
  <c r="DJ28" i="6"/>
  <c r="DI28" i="6"/>
  <c r="DG28" i="6"/>
  <c r="T28" i="6" s="1"/>
  <c r="BV28" i="6"/>
  <c r="BU28" i="6"/>
  <c r="BM28" i="6"/>
  <c r="BG28" i="6"/>
  <c r="BA28" i="6"/>
  <c r="BN28" i="6" s="1"/>
  <c r="BQ28" i="6" s="1"/>
  <c r="AV28" i="6"/>
  <c r="AT28" i="6"/>
  <c r="AU28" i="6" s="1"/>
  <c r="AM28" i="6"/>
  <c r="AH28" i="6"/>
  <c r="AG28" i="6"/>
  <c r="AF28" i="6"/>
  <c r="Z28" i="6"/>
  <c r="Y28" i="6"/>
  <c r="X28" i="6"/>
  <c r="Q28" i="6"/>
  <c r="O28" i="6"/>
  <c r="L28" i="6"/>
  <c r="K28" i="6"/>
  <c r="BJ28" i="6" s="1"/>
  <c r="J28" i="6"/>
  <c r="I28" i="6"/>
  <c r="AB28" i="6" s="1"/>
  <c r="DJ27" i="6"/>
  <c r="DI27" i="6"/>
  <c r="DG27" i="6"/>
  <c r="DH27" i="6" s="1"/>
  <c r="BI27" i="6" s="1"/>
  <c r="BV27" i="6"/>
  <c r="BU27" i="6"/>
  <c r="BM27" i="6"/>
  <c r="BG27" i="6"/>
  <c r="BA27" i="6"/>
  <c r="BN27" i="6" s="1"/>
  <c r="BQ27" i="6" s="1"/>
  <c r="AV27" i="6"/>
  <c r="AU27" i="6"/>
  <c r="AT27" i="6"/>
  <c r="AM27" i="6"/>
  <c r="AH27" i="6"/>
  <c r="AG27" i="6"/>
  <c r="J27" i="6" s="1"/>
  <c r="I27" i="6" s="1"/>
  <c r="AF27" i="6"/>
  <c r="K27" i="6" s="1"/>
  <c r="BJ27" i="6" s="1"/>
  <c r="BL27" i="6" s="1"/>
  <c r="Z27" i="6"/>
  <c r="Y27" i="6"/>
  <c r="X27" i="6"/>
  <c r="T27" i="6"/>
  <c r="Q27" i="6"/>
  <c r="O27" i="6"/>
  <c r="L27" i="6"/>
  <c r="DJ26" i="6"/>
  <c r="DI26" i="6"/>
  <c r="DG26" i="6"/>
  <c r="T26" i="6" s="1"/>
  <c r="BV26" i="6"/>
  <c r="BU26" i="6"/>
  <c r="BM26" i="6"/>
  <c r="BG26" i="6"/>
  <c r="BA26" i="6"/>
  <c r="BN26" i="6" s="1"/>
  <c r="BQ26" i="6" s="1"/>
  <c r="AV26" i="6"/>
  <c r="AT26" i="6"/>
  <c r="AU26" i="6" s="1"/>
  <c r="AM26" i="6"/>
  <c r="AH26" i="6"/>
  <c r="AG26" i="6"/>
  <c r="AF26" i="6"/>
  <c r="Z26" i="6"/>
  <c r="Y26" i="6"/>
  <c r="X26" i="6"/>
  <c r="Q26" i="6"/>
  <c r="O26" i="6"/>
  <c r="L26" i="6"/>
  <c r="K26" i="6"/>
  <c r="BJ26" i="6" s="1"/>
  <c r="J26" i="6"/>
  <c r="I26" i="6"/>
  <c r="AB26" i="6" s="1"/>
  <c r="DJ25" i="6"/>
  <c r="DI25" i="6"/>
  <c r="DG25" i="6"/>
  <c r="DH25" i="6" s="1"/>
  <c r="BI25" i="6" s="1"/>
  <c r="BV25" i="6"/>
  <c r="BU25" i="6"/>
  <c r="BM25" i="6"/>
  <c r="BG25" i="6"/>
  <c r="BK25" i="6" s="1"/>
  <c r="BA25" i="6"/>
  <c r="BN25" i="6" s="1"/>
  <c r="BQ25" i="6" s="1"/>
  <c r="AV25" i="6"/>
  <c r="AU25" i="6"/>
  <c r="AT25" i="6"/>
  <c r="AM25" i="6"/>
  <c r="AH25" i="6"/>
  <c r="AG25" i="6"/>
  <c r="J25" i="6" s="1"/>
  <c r="I25" i="6" s="1"/>
  <c r="AF25" i="6"/>
  <c r="K25" i="6" s="1"/>
  <c r="BJ25" i="6" s="1"/>
  <c r="Z25" i="6"/>
  <c r="Y25" i="6"/>
  <c r="X25" i="6"/>
  <c r="T25" i="6"/>
  <c r="U25" i="6" s="1"/>
  <c r="V25" i="6" s="1"/>
  <c r="Q25" i="6"/>
  <c r="O25" i="6"/>
  <c r="L25" i="6"/>
  <c r="DJ24" i="6"/>
  <c r="DI24" i="6"/>
  <c r="DG24" i="6"/>
  <c r="T24" i="6" s="1"/>
  <c r="BV24" i="6"/>
  <c r="BU24" i="6"/>
  <c r="BM24" i="6"/>
  <c r="BG24" i="6"/>
  <c r="BA24" i="6"/>
  <c r="BN24" i="6" s="1"/>
  <c r="BQ24" i="6" s="1"/>
  <c r="AV24" i="6"/>
  <c r="AT24" i="6"/>
  <c r="AU24" i="6" s="1"/>
  <c r="AM24" i="6"/>
  <c r="AH24" i="6"/>
  <c r="AG24" i="6"/>
  <c r="AF24" i="6"/>
  <c r="Z24" i="6"/>
  <c r="Y24" i="6"/>
  <c r="X24" i="6"/>
  <c r="Q24" i="6"/>
  <c r="O24" i="6"/>
  <c r="L24" i="6"/>
  <c r="K24" i="6"/>
  <c r="BJ24" i="6" s="1"/>
  <c r="J24" i="6"/>
  <c r="I24" i="6"/>
  <c r="AB24" i="6" s="1"/>
  <c r="DJ23" i="6"/>
  <c r="DI23" i="6"/>
  <c r="DG23" i="6"/>
  <c r="DH23" i="6" s="1"/>
  <c r="BI23" i="6" s="1"/>
  <c r="BV23" i="6"/>
  <c r="BU23" i="6"/>
  <c r="BM23" i="6"/>
  <c r="BG23" i="6"/>
  <c r="BA23" i="6"/>
  <c r="BN23" i="6" s="1"/>
  <c r="BQ23" i="6" s="1"/>
  <c r="AV23" i="6"/>
  <c r="AU23" i="6"/>
  <c r="AT23" i="6"/>
  <c r="AM23" i="6"/>
  <c r="AH23" i="6"/>
  <c r="AG23" i="6"/>
  <c r="J23" i="6" s="1"/>
  <c r="I23" i="6" s="1"/>
  <c r="AF23" i="6"/>
  <c r="K23" i="6" s="1"/>
  <c r="BJ23" i="6" s="1"/>
  <c r="Z23" i="6"/>
  <c r="Y23" i="6"/>
  <c r="X23" i="6"/>
  <c r="T23" i="6"/>
  <c r="Q23" i="6"/>
  <c r="O23" i="6"/>
  <c r="L23" i="6"/>
  <c r="DJ22" i="6"/>
  <c r="DI22" i="6"/>
  <c r="DG22" i="6"/>
  <c r="T22" i="6" s="1"/>
  <c r="BV22" i="6"/>
  <c r="BU22" i="6"/>
  <c r="BM22" i="6"/>
  <c r="BG22" i="6"/>
  <c r="BA22" i="6"/>
  <c r="BN22" i="6" s="1"/>
  <c r="BQ22" i="6" s="1"/>
  <c r="AV22" i="6"/>
  <c r="AT22" i="6"/>
  <c r="AU22" i="6" s="1"/>
  <c r="AM22" i="6"/>
  <c r="AH22" i="6"/>
  <c r="AG22" i="6"/>
  <c r="AF22" i="6"/>
  <c r="Z22" i="6"/>
  <c r="Y22" i="6"/>
  <c r="X22" i="6"/>
  <c r="Q22" i="6"/>
  <c r="O22" i="6"/>
  <c r="L22" i="6"/>
  <c r="K22" i="6"/>
  <c r="BJ22" i="6" s="1"/>
  <c r="J22" i="6"/>
  <c r="I22" i="6"/>
  <c r="AB22" i="6" s="1"/>
  <c r="DJ21" i="6"/>
  <c r="DI21" i="6"/>
  <c r="DG21" i="6"/>
  <c r="DH21" i="6" s="1"/>
  <c r="BI21" i="6" s="1"/>
  <c r="BV21" i="6"/>
  <c r="BU21" i="6"/>
  <c r="BM21" i="6"/>
  <c r="BG21" i="6"/>
  <c r="BK21" i="6" s="1"/>
  <c r="BA21" i="6"/>
  <c r="BN21" i="6" s="1"/>
  <c r="BQ21" i="6" s="1"/>
  <c r="AV21" i="6"/>
  <c r="AU21" i="6"/>
  <c r="AT21" i="6"/>
  <c r="AM21" i="6"/>
  <c r="AH21" i="6"/>
  <c r="AG21" i="6"/>
  <c r="J21" i="6" s="1"/>
  <c r="I21" i="6" s="1"/>
  <c r="AF21" i="6"/>
  <c r="K21" i="6" s="1"/>
  <c r="BJ21" i="6" s="1"/>
  <c r="BL21" i="6" s="1"/>
  <c r="Z21" i="6"/>
  <c r="Y21" i="6"/>
  <c r="X21" i="6"/>
  <c r="T21" i="6"/>
  <c r="Q21" i="6"/>
  <c r="O21" i="6"/>
  <c r="L21" i="6"/>
  <c r="DJ20" i="6"/>
  <c r="DI20" i="6"/>
  <c r="DG20" i="6"/>
  <c r="T20" i="6" s="1"/>
  <c r="BV20" i="6"/>
  <c r="BU20" i="6"/>
  <c r="BM20" i="6"/>
  <c r="BG20" i="6"/>
  <c r="BA20" i="6"/>
  <c r="BN20" i="6" s="1"/>
  <c r="BQ20" i="6" s="1"/>
  <c r="AV20" i="6"/>
  <c r="AT20" i="6"/>
  <c r="AU20" i="6" s="1"/>
  <c r="AM20" i="6"/>
  <c r="AH20" i="6"/>
  <c r="AG20" i="6"/>
  <c r="AF20" i="6"/>
  <c r="Z20" i="6"/>
  <c r="Y20" i="6"/>
  <c r="X20" i="6"/>
  <c r="Q20" i="6"/>
  <c r="O20" i="6"/>
  <c r="L20" i="6"/>
  <c r="K20" i="6"/>
  <c r="BJ20" i="6" s="1"/>
  <c r="J20" i="6"/>
  <c r="I20" i="6"/>
  <c r="AB20" i="6" s="1"/>
  <c r="DJ19" i="6"/>
  <c r="DI19" i="6"/>
  <c r="DG19" i="6"/>
  <c r="DH19" i="6" s="1"/>
  <c r="BI19" i="6" s="1"/>
  <c r="BV19" i="6"/>
  <c r="BU19" i="6"/>
  <c r="BM19" i="6"/>
  <c r="BG19" i="6"/>
  <c r="BA19" i="6"/>
  <c r="BN19" i="6" s="1"/>
  <c r="BQ19" i="6" s="1"/>
  <c r="AV19" i="6"/>
  <c r="AU19" i="6"/>
  <c r="AT19" i="6"/>
  <c r="AM19" i="6"/>
  <c r="AH19" i="6"/>
  <c r="AG19" i="6"/>
  <c r="J19" i="6" s="1"/>
  <c r="I19" i="6" s="1"/>
  <c r="AF19" i="6"/>
  <c r="K19" i="6" s="1"/>
  <c r="BJ19" i="6" s="1"/>
  <c r="BL19" i="6" s="1"/>
  <c r="Z19" i="6"/>
  <c r="Y19" i="6"/>
  <c r="X19" i="6"/>
  <c r="T19" i="6"/>
  <c r="Q19" i="6"/>
  <c r="O19" i="6"/>
  <c r="L19" i="6"/>
  <c r="DJ18" i="6"/>
  <c r="DI18" i="6"/>
  <c r="DG18" i="6"/>
  <c r="T18" i="6" s="1"/>
  <c r="BV18" i="6"/>
  <c r="BU18" i="6"/>
  <c r="BM18" i="6"/>
  <c r="BG18" i="6"/>
  <c r="BA18" i="6"/>
  <c r="BN18" i="6" s="1"/>
  <c r="BQ18" i="6" s="1"/>
  <c r="AV18" i="6"/>
  <c r="AT18" i="6"/>
  <c r="AU18" i="6" s="1"/>
  <c r="AM18" i="6"/>
  <c r="AH18" i="6"/>
  <c r="AG18" i="6"/>
  <c r="AF18" i="6"/>
  <c r="Z18" i="6"/>
  <c r="Y18" i="6"/>
  <c r="X18" i="6"/>
  <c r="Q18" i="6"/>
  <c r="O18" i="6"/>
  <c r="L18" i="6"/>
  <c r="K18" i="6"/>
  <c r="BJ18" i="6" s="1"/>
  <c r="J18" i="6"/>
  <c r="I18" i="6"/>
  <c r="AB18" i="6" s="1"/>
  <c r="DJ17" i="6"/>
  <c r="DI17" i="6"/>
  <c r="DG17" i="6"/>
  <c r="DH17" i="6" s="1"/>
  <c r="BI17" i="6" s="1"/>
  <c r="BV17" i="6"/>
  <c r="BU17" i="6"/>
  <c r="BM17" i="6"/>
  <c r="BG17" i="6"/>
  <c r="BK17" i="6" s="1"/>
  <c r="BA17" i="6"/>
  <c r="BN17" i="6" s="1"/>
  <c r="BQ17" i="6" s="1"/>
  <c r="AV17" i="6"/>
  <c r="AU17" i="6"/>
  <c r="AT17" i="6"/>
  <c r="AM17" i="6"/>
  <c r="AH17" i="6"/>
  <c r="AG17" i="6"/>
  <c r="J17" i="6" s="1"/>
  <c r="I17" i="6" s="1"/>
  <c r="AF17" i="6"/>
  <c r="K17" i="6" s="1"/>
  <c r="BJ17" i="6" s="1"/>
  <c r="Z17" i="6"/>
  <c r="Y17" i="6"/>
  <c r="X17" i="6"/>
  <c r="T17" i="6"/>
  <c r="Q17" i="6"/>
  <c r="O17" i="6"/>
  <c r="L17" i="6"/>
  <c r="DJ29" i="5"/>
  <c r="DI29" i="5"/>
  <c r="DG29" i="5"/>
  <c r="DH29" i="5" s="1"/>
  <c r="BV29" i="5"/>
  <c r="BU29" i="5"/>
  <c r="BM29" i="5"/>
  <c r="BJ29" i="5"/>
  <c r="BL29" i="5" s="1"/>
  <c r="BI29" i="5"/>
  <c r="BG29" i="5"/>
  <c r="BK29" i="5" s="1"/>
  <c r="BA29" i="5"/>
  <c r="BN29" i="5" s="1"/>
  <c r="BQ29" i="5" s="1"/>
  <c r="AV29" i="5"/>
  <c r="AT29" i="5"/>
  <c r="AU29" i="5" s="1"/>
  <c r="AM29" i="5"/>
  <c r="AH29" i="5"/>
  <c r="AG29" i="5"/>
  <c r="AF29" i="5"/>
  <c r="AB29" i="5"/>
  <c r="Z29" i="5"/>
  <c r="Y29" i="5"/>
  <c r="X29" i="5"/>
  <c r="T29" i="5"/>
  <c r="U29" i="5" s="1"/>
  <c r="V29" i="5" s="1"/>
  <c r="Q29" i="5"/>
  <c r="O29" i="5"/>
  <c r="L29" i="5"/>
  <c r="K29" i="5"/>
  <c r="J29" i="5"/>
  <c r="I29" i="5"/>
  <c r="DJ28" i="5"/>
  <c r="DI28" i="5"/>
  <c r="DH28" i="5"/>
  <c r="BI28" i="5" s="1"/>
  <c r="DG28" i="5"/>
  <c r="BV28" i="5"/>
  <c r="BU28" i="5"/>
  <c r="BM28" i="5"/>
  <c r="BG28" i="5"/>
  <c r="BA28" i="5"/>
  <c r="BN28" i="5" s="1"/>
  <c r="BQ28" i="5" s="1"/>
  <c r="BR28" i="5" s="1"/>
  <c r="AV28" i="5"/>
  <c r="AT28" i="5"/>
  <c r="O28" i="5" s="1"/>
  <c r="AM28" i="5"/>
  <c r="AH28" i="5"/>
  <c r="AG28" i="5"/>
  <c r="J28" i="5" s="1"/>
  <c r="I28" i="5" s="1"/>
  <c r="AF28" i="5"/>
  <c r="K28" i="5" s="1"/>
  <c r="BJ28" i="5" s="1"/>
  <c r="BL28" i="5" s="1"/>
  <c r="Z28" i="5"/>
  <c r="Y28" i="5"/>
  <c r="X28" i="5"/>
  <c r="Q28" i="5"/>
  <c r="DJ27" i="5"/>
  <c r="DI27" i="5"/>
  <c r="DG27" i="5"/>
  <c r="DH27" i="5" s="1"/>
  <c r="BI27" i="5" s="1"/>
  <c r="BV27" i="5"/>
  <c r="BU27" i="5"/>
  <c r="BM27" i="5"/>
  <c r="BJ27" i="5"/>
  <c r="BL27" i="5" s="1"/>
  <c r="BG27" i="5"/>
  <c r="BK27" i="5" s="1"/>
  <c r="BA27" i="5"/>
  <c r="BN27" i="5" s="1"/>
  <c r="BQ27" i="5" s="1"/>
  <c r="AV27" i="5"/>
  <c r="AT27" i="5"/>
  <c r="AU27" i="5" s="1"/>
  <c r="AM27" i="5"/>
  <c r="AH27" i="5"/>
  <c r="AG27" i="5"/>
  <c r="AF27" i="5"/>
  <c r="AB27" i="5"/>
  <c r="Z27" i="5"/>
  <c r="Y27" i="5"/>
  <c r="X27" i="5"/>
  <c r="T27" i="5"/>
  <c r="Q27" i="5"/>
  <c r="O27" i="5"/>
  <c r="L27" i="5"/>
  <c r="K27" i="5"/>
  <c r="J27" i="5"/>
  <c r="I27" i="5"/>
  <c r="DJ26" i="5"/>
  <c r="DI26" i="5"/>
  <c r="DG26" i="5"/>
  <c r="T26" i="5" s="1"/>
  <c r="BV26" i="5"/>
  <c r="BU26" i="5"/>
  <c r="BT26" i="5"/>
  <c r="BM26" i="5"/>
  <c r="BG26" i="5"/>
  <c r="BA26" i="5"/>
  <c r="BN26" i="5" s="1"/>
  <c r="BQ26" i="5" s="1"/>
  <c r="BR26" i="5" s="1"/>
  <c r="AV26" i="5"/>
  <c r="AT26" i="5"/>
  <c r="O26" i="5" s="1"/>
  <c r="AM26" i="5"/>
  <c r="AH26" i="5"/>
  <c r="AG26" i="5"/>
  <c r="J26" i="5" s="1"/>
  <c r="I26" i="5" s="1"/>
  <c r="AF26" i="5"/>
  <c r="K26" i="5" s="1"/>
  <c r="BJ26" i="5" s="1"/>
  <c r="Z26" i="5"/>
  <c r="Y26" i="5"/>
  <c r="X26" i="5"/>
  <c r="Q26" i="5"/>
  <c r="DJ25" i="5"/>
  <c r="DI25" i="5"/>
  <c r="DG25" i="5"/>
  <c r="DH25" i="5" s="1"/>
  <c r="BI25" i="5" s="1"/>
  <c r="BV25" i="5"/>
  <c r="BU25" i="5"/>
  <c r="BN25" i="5"/>
  <c r="BQ25" i="5" s="1"/>
  <c r="BM25" i="5"/>
  <c r="BJ25" i="5"/>
  <c r="BG25" i="5"/>
  <c r="BA25" i="5"/>
  <c r="AV25" i="5"/>
  <c r="AT25" i="5"/>
  <c r="AU25" i="5" s="1"/>
  <c r="AM25" i="5"/>
  <c r="AH25" i="5"/>
  <c r="AG25" i="5"/>
  <c r="AF25" i="5"/>
  <c r="AB25" i="5"/>
  <c r="Z25" i="5"/>
  <c r="Y25" i="5"/>
  <c r="X25" i="5"/>
  <c r="T25" i="5"/>
  <c r="Q25" i="5"/>
  <c r="O25" i="5"/>
  <c r="L25" i="5"/>
  <c r="K25" i="5"/>
  <c r="J25" i="5"/>
  <c r="I25" i="5"/>
  <c r="DJ24" i="5"/>
  <c r="DI24" i="5"/>
  <c r="DG24" i="5"/>
  <c r="T24" i="5" s="1"/>
  <c r="BV24" i="5"/>
  <c r="BU24" i="5"/>
  <c r="BM24" i="5"/>
  <c r="BG24" i="5"/>
  <c r="BA24" i="5"/>
  <c r="BN24" i="5" s="1"/>
  <c r="BQ24" i="5" s="1"/>
  <c r="BR24" i="5" s="1"/>
  <c r="AV24" i="5"/>
  <c r="AT24" i="5"/>
  <c r="L24" i="5" s="1"/>
  <c r="AM24" i="5"/>
  <c r="AH24" i="5"/>
  <c r="AG24" i="5"/>
  <c r="J24" i="5" s="1"/>
  <c r="I24" i="5" s="1"/>
  <c r="AF24" i="5"/>
  <c r="K24" i="5" s="1"/>
  <c r="BJ24" i="5" s="1"/>
  <c r="Z24" i="5"/>
  <c r="Y24" i="5"/>
  <c r="X24" i="5"/>
  <c r="Q24" i="5"/>
  <c r="O24" i="5"/>
  <c r="DJ23" i="5"/>
  <c r="DI23" i="5"/>
  <c r="DG23" i="5"/>
  <c r="DH23" i="5" s="1"/>
  <c r="BV23" i="5"/>
  <c r="BU23" i="5"/>
  <c r="BM23" i="5"/>
  <c r="BJ23" i="5"/>
  <c r="BL23" i="5" s="1"/>
  <c r="BI23" i="5"/>
  <c r="BG23" i="5"/>
  <c r="BK23" i="5" s="1"/>
  <c r="BA23" i="5"/>
  <c r="BN23" i="5" s="1"/>
  <c r="BQ23" i="5" s="1"/>
  <c r="AV23" i="5"/>
  <c r="AT23" i="5"/>
  <c r="AU23" i="5" s="1"/>
  <c r="AM23" i="5"/>
  <c r="AH23" i="5"/>
  <c r="AG23" i="5"/>
  <c r="AF23" i="5"/>
  <c r="AB23" i="5"/>
  <c r="Z23" i="5"/>
  <c r="Y23" i="5"/>
  <c r="X23" i="5"/>
  <c r="T23" i="5"/>
  <c r="U23" i="5" s="1"/>
  <c r="V23" i="5" s="1"/>
  <c r="Q23" i="5"/>
  <c r="O23" i="5"/>
  <c r="L23" i="5"/>
  <c r="K23" i="5"/>
  <c r="J23" i="5"/>
  <c r="I23" i="5"/>
  <c r="DJ22" i="5"/>
  <c r="DI22" i="5"/>
  <c r="DG22" i="5"/>
  <c r="T22" i="5" s="1"/>
  <c r="BV22" i="5"/>
  <c r="BU22" i="5"/>
  <c r="BM22" i="5"/>
  <c r="BG22" i="5"/>
  <c r="BA22" i="5"/>
  <c r="BN22" i="5" s="1"/>
  <c r="BQ22" i="5" s="1"/>
  <c r="BR22" i="5" s="1"/>
  <c r="AV22" i="5"/>
  <c r="AT22" i="5"/>
  <c r="AG22" i="5" s="1"/>
  <c r="J22" i="5" s="1"/>
  <c r="I22" i="5" s="1"/>
  <c r="AM22" i="5"/>
  <c r="AH22" i="5"/>
  <c r="Z22" i="5"/>
  <c r="Y22" i="5"/>
  <c r="X22" i="5"/>
  <c r="Q22" i="5"/>
  <c r="DJ21" i="5"/>
  <c r="DI21" i="5"/>
  <c r="DG21" i="5"/>
  <c r="DH21" i="5" s="1"/>
  <c r="BV21" i="5"/>
  <c r="BU21" i="5"/>
  <c r="BM21" i="5"/>
  <c r="BJ21" i="5"/>
  <c r="BL21" i="5" s="1"/>
  <c r="BI21" i="5"/>
  <c r="BG21" i="5"/>
  <c r="BK21" i="5" s="1"/>
  <c r="BA21" i="5"/>
  <c r="BN21" i="5" s="1"/>
  <c r="BQ21" i="5" s="1"/>
  <c r="AV21" i="5"/>
  <c r="AT21" i="5"/>
  <c r="AU21" i="5" s="1"/>
  <c r="AM21" i="5"/>
  <c r="AH21" i="5"/>
  <c r="AG21" i="5"/>
  <c r="AF21" i="5"/>
  <c r="Z21" i="5"/>
  <c r="Y21" i="5"/>
  <c r="X21" i="5"/>
  <c r="T21" i="5"/>
  <c r="Q21" i="5"/>
  <c r="O21" i="5"/>
  <c r="L21" i="5"/>
  <c r="K21" i="5"/>
  <c r="J21" i="5"/>
  <c r="I21" i="5"/>
  <c r="DJ20" i="5"/>
  <c r="DI20" i="5"/>
  <c r="DG20" i="5"/>
  <c r="BV20" i="5"/>
  <c r="BU20" i="5"/>
  <c r="BM20" i="5"/>
  <c r="BG20" i="5"/>
  <c r="BA20" i="5"/>
  <c r="BN20" i="5" s="1"/>
  <c r="BQ20" i="5" s="1"/>
  <c r="BR20" i="5" s="1"/>
  <c r="AV20" i="5"/>
  <c r="AT20" i="5"/>
  <c r="O20" i="5" s="1"/>
  <c r="AM20" i="5"/>
  <c r="AH20" i="5"/>
  <c r="AG20" i="5"/>
  <c r="J20" i="5" s="1"/>
  <c r="I20" i="5" s="1"/>
  <c r="AF20" i="5"/>
  <c r="K20" i="5" s="1"/>
  <c r="BJ20" i="5" s="1"/>
  <c r="Z20" i="5"/>
  <c r="Y20" i="5"/>
  <c r="X20" i="5"/>
  <c r="Q20" i="5"/>
  <c r="DJ19" i="5"/>
  <c r="DI19" i="5"/>
  <c r="DG19" i="5"/>
  <c r="DH19" i="5" s="1"/>
  <c r="BI19" i="5" s="1"/>
  <c r="BV19" i="5"/>
  <c r="BU19" i="5"/>
  <c r="BM19" i="5"/>
  <c r="BJ19" i="5"/>
  <c r="BL19" i="5" s="1"/>
  <c r="BG19" i="5"/>
  <c r="BK19" i="5" s="1"/>
  <c r="BA19" i="5"/>
  <c r="BN19" i="5" s="1"/>
  <c r="BQ19" i="5" s="1"/>
  <c r="AV19" i="5"/>
  <c r="AT19" i="5"/>
  <c r="AU19" i="5" s="1"/>
  <c r="AM19" i="5"/>
  <c r="AH19" i="5"/>
  <c r="AG19" i="5"/>
  <c r="AF19" i="5"/>
  <c r="AB19" i="5"/>
  <c r="Z19" i="5"/>
  <c r="Y19" i="5"/>
  <c r="X19" i="5"/>
  <c r="T19" i="5"/>
  <c r="Q19" i="5"/>
  <c r="O19" i="5"/>
  <c r="L19" i="5"/>
  <c r="K19" i="5"/>
  <c r="J19" i="5"/>
  <c r="I19" i="5"/>
  <c r="DJ18" i="5"/>
  <c r="DI18" i="5"/>
  <c r="DG18" i="5"/>
  <c r="T18" i="5" s="1"/>
  <c r="BV18" i="5"/>
  <c r="BU18" i="5"/>
  <c r="BM18" i="5"/>
  <c r="BG18" i="5"/>
  <c r="BA18" i="5"/>
  <c r="BN18" i="5" s="1"/>
  <c r="BQ18" i="5" s="1"/>
  <c r="BR18" i="5" s="1"/>
  <c r="AV18" i="5"/>
  <c r="AT18" i="5"/>
  <c r="O18" i="5" s="1"/>
  <c r="AM18" i="5"/>
  <c r="AH18" i="5"/>
  <c r="AG18" i="5"/>
  <c r="J18" i="5" s="1"/>
  <c r="I18" i="5" s="1"/>
  <c r="AF18" i="5"/>
  <c r="K18" i="5" s="1"/>
  <c r="BJ18" i="5" s="1"/>
  <c r="Z18" i="5"/>
  <c r="Y18" i="5"/>
  <c r="X18" i="5"/>
  <c r="Q18" i="5"/>
  <c r="DJ17" i="5"/>
  <c r="DI17" i="5"/>
  <c r="DG17" i="5"/>
  <c r="DH17" i="5" s="1"/>
  <c r="BI17" i="5" s="1"/>
  <c r="BV17" i="5"/>
  <c r="BU17" i="5"/>
  <c r="BM17" i="5"/>
  <c r="BJ17" i="5"/>
  <c r="BL17" i="5" s="1"/>
  <c r="BG17" i="5"/>
  <c r="BK17" i="5" s="1"/>
  <c r="BA17" i="5"/>
  <c r="BN17" i="5" s="1"/>
  <c r="BQ17" i="5" s="1"/>
  <c r="AV17" i="5"/>
  <c r="AT17" i="5"/>
  <c r="AU17" i="5" s="1"/>
  <c r="AM17" i="5"/>
  <c r="AH17" i="5"/>
  <c r="AG17" i="5"/>
  <c r="AF17" i="5"/>
  <c r="AB17" i="5"/>
  <c r="Z17" i="5"/>
  <c r="Y17" i="5"/>
  <c r="X17" i="5"/>
  <c r="T17" i="5"/>
  <c r="Q17" i="5"/>
  <c r="O17" i="5"/>
  <c r="L17" i="5"/>
  <c r="K17" i="5"/>
  <c r="J17" i="5"/>
  <c r="I17" i="5"/>
  <c r="W17" i="8" l="1"/>
  <c r="AA17" i="8" s="1"/>
  <c r="AD17" i="8"/>
  <c r="AC17" i="8"/>
  <c r="BT18" i="8"/>
  <c r="BS18" i="8"/>
  <c r="BW18" i="8" s="1"/>
  <c r="BX18" i="8" s="1"/>
  <c r="BR18" i="8"/>
  <c r="AB29" i="8"/>
  <c r="R29" i="8"/>
  <c r="P29" i="8" s="1"/>
  <c r="S29" i="8" s="1"/>
  <c r="BT20" i="8"/>
  <c r="BR20" i="8"/>
  <c r="BS20" i="8"/>
  <c r="BW20" i="8" s="1"/>
  <c r="BX20" i="8" s="1"/>
  <c r="AD20" i="8"/>
  <c r="AC20" i="8"/>
  <c r="W20" i="8"/>
  <c r="AA20" i="8" s="1"/>
  <c r="BT22" i="8"/>
  <c r="BS22" i="8"/>
  <c r="BW22" i="8" s="1"/>
  <c r="BX22" i="8" s="1"/>
  <c r="BR22" i="8"/>
  <c r="BT24" i="8"/>
  <c r="BS24" i="8"/>
  <c r="BW24" i="8" s="1"/>
  <c r="BX24" i="8" s="1"/>
  <c r="BR24" i="8"/>
  <c r="BR28" i="8"/>
  <c r="BT28" i="8"/>
  <c r="BS28" i="8"/>
  <c r="BW28" i="8" s="1"/>
  <c r="BX28" i="8" s="1"/>
  <c r="AU31" i="8"/>
  <c r="AB28" i="8"/>
  <c r="BR31" i="8"/>
  <c r="BT31" i="8"/>
  <c r="BS31" i="8"/>
  <c r="BW31" i="8" s="1"/>
  <c r="BX31" i="8" s="1"/>
  <c r="BS26" i="8"/>
  <c r="BW26" i="8" s="1"/>
  <c r="BX26" i="8" s="1"/>
  <c r="BT26" i="8"/>
  <c r="BR26" i="8"/>
  <c r="U30" i="8"/>
  <c r="V30" i="8" s="1"/>
  <c r="U19" i="8"/>
  <c r="V19" i="8" s="1"/>
  <c r="AU23" i="8"/>
  <c r="AF23" i="8"/>
  <c r="K23" i="8" s="1"/>
  <c r="BJ23" i="8" s="1"/>
  <c r="BL23" i="8" s="1"/>
  <c r="L23" i="8"/>
  <c r="AG23" i="8"/>
  <c r="J23" i="8" s="1"/>
  <c r="I23" i="8" s="1"/>
  <c r="U24" i="8"/>
  <c r="V24" i="8" s="1"/>
  <c r="AU29" i="8"/>
  <c r="L31" i="8"/>
  <c r="BR32" i="8"/>
  <c r="BT32" i="8"/>
  <c r="BS32" i="8"/>
  <c r="BW32" i="8" s="1"/>
  <c r="BX32" i="8" s="1"/>
  <c r="AG25" i="8"/>
  <c r="J25" i="8" s="1"/>
  <c r="I25" i="8" s="1"/>
  <c r="AF25" i="8"/>
  <c r="K25" i="8" s="1"/>
  <c r="BJ25" i="8" s="1"/>
  <c r="BL25" i="8" s="1"/>
  <c r="BR29" i="8"/>
  <c r="BT29" i="8"/>
  <c r="BS29" i="8"/>
  <c r="BW29" i="8" s="1"/>
  <c r="BX29" i="8" s="1"/>
  <c r="U26" i="8"/>
  <c r="V26" i="8" s="1"/>
  <c r="AB32" i="8"/>
  <c r="BL18" i="8"/>
  <c r="BK25" i="8"/>
  <c r="BT23" i="8"/>
  <c r="U21" i="8"/>
  <c r="V21" i="8" s="1"/>
  <c r="BK27" i="8"/>
  <c r="L29" i="8"/>
  <c r="BT30" i="8"/>
  <c r="BS30" i="8"/>
  <c r="BW30" i="8" s="1"/>
  <c r="BX30" i="8" s="1"/>
  <c r="BR30" i="8"/>
  <c r="O23" i="8"/>
  <c r="BS25" i="8"/>
  <c r="BW25" i="8" s="1"/>
  <c r="BX25" i="8" s="1"/>
  <c r="BT25" i="8"/>
  <c r="AG31" i="8"/>
  <c r="J31" i="8" s="1"/>
  <c r="I31" i="8" s="1"/>
  <c r="U22" i="8"/>
  <c r="V22" i="8" s="1"/>
  <c r="AU25" i="8"/>
  <c r="U28" i="8"/>
  <c r="V28" i="8" s="1"/>
  <c r="R28" i="8" s="1"/>
  <c r="P28" i="8" s="1"/>
  <c r="S28" i="8" s="1"/>
  <c r="M28" i="8" s="1"/>
  <c r="N28" i="8" s="1"/>
  <c r="AG27" i="8"/>
  <c r="J27" i="8" s="1"/>
  <c r="I27" i="8" s="1"/>
  <c r="AF27" i="8"/>
  <c r="K27" i="8" s="1"/>
  <c r="BJ27" i="8" s="1"/>
  <c r="BL27" i="8" s="1"/>
  <c r="O31" i="8"/>
  <c r="BL32" i="8"/>
  <c r="BL17" i="8"/>
  <c r="BK18" i="8"/>
  <c r="AU27" i="8"/>
  <c r="AC31" i="8"/>
  <c r="AB17" i="8"/>
  <c r="AE17" i="8" s="1"/>
  <c r="R17" i="8"/>
  <c r="P17" i="8" s="1"/>
  <c r="S17" i="8" s="1"/>
  <c r="M17" i="8" s="1"/>
  <c r="N17" i="8" s="1"/>
  <c r="BS23" i="8"/>
  <c r="BW23" i="8" s="1"/>
  <c r="BX23" i="8" s="1"/>
  <c r="BL19" i="8"/>
  <c r="BR27" i="8"/>
  <c r="BS27" i="8"/>
  <c r="BW27" i="8" s="1"/>
  <c r="BX27" i="8" s="1"/>
  <c r="BT27" i="8"/>
  <c r="L25" i="8"/>
  <c r="O25" i="8"/>
  <c r="L27" i="8"/>
  <c r="O29" i="8"/>
  <c r="R30" i="8"/>
  <c r="P30" i="8" s="1"/>
  <c r="S30" i="8" s="1"/>
  <c r="M30" i="8" s="1"/>
  <c r="N30" i="8" s="1"/>
  <c r="AB30" i="8"/>
  <c r="BL30" i="8"/>
  <c r="U32" i="8"/>
  <c r="V32" i="8" s="1"/>
  <c r="U27" i="8"/>
  <c r="V27" i="8" s="1"/>
  <c r="O17" i="8"/>
  <c r="AU19" i="8"/>
  <c r="R24" i="8"/>
  <c r="P24" i="8" s="1"/>
  <c r="S24" i="8" s="1"/>
  <c r="M24" i="8" s="1"/>
  <c r="N24" i="8" s="1"/>
  <c r="BK17" i="8"/>
  <c r="R26" i="8"/>
  <c r="P26" i="8" s="1"/>
  <c r="S26" i="8" s="1"/>
  <c r="M26" i="8" s="1"/>
  <c r="N26" i="8" s="1"/>
  <c r="BK19" i="8"/>
  <c r="R18" i="8"/>
  <c r="P18" i="8" s="1"/>
  <c r="S18" i="8" s="1"/>
  <c r="M18" i="8" s="1"/>
  <c r="N18" i="8" s="1"/>
  <c r="R20" i="8"/>
  <c r="P20" i="8" s="1"/>
  <c r="S20" i="8" s="1"/>
  <c r="M20" i="8" s="1"/>
  <c r="N20" i="8" s="1"/>
  <c r="L17" i="8"/>
  <c r="U29" i="8"/>
  <c r="V29" i="8" s="1"/>
  <c r="U31" i="8"/>
  <c r="V31" i="8" s="1"/>
  <c r="R22" i="8"/>
  <c r="P22" i="8" s="1"/>
  <c r="S22" i="8" s="1"/>
  <c r="M22" i="8" s="1"/>
  <c r="N22" i="8" s="1"/>
  <c r="L19" i="8"/>
  <c r="L21" i="8"/>
  <c r="AU21" i="8"/>
  <c r="BS17" i="8"/>
  <c r="BW17" i="8" s="1"/>
  <c r="BX17" i="8" s="1"/>
  <c r="AB26" i="7"/>
  <c r="BT23" i="7"/>
  <c r="BS23" i="7"/>
  <c r="BW23" i="7" s="1"/>
  <c r="BX23" i="7" s="1"/>
  <c r="BR23" i="7"/>
  <c r="BT25" i="7"/>
  <c r="BS25" i="7"/>
  <c r="BW25" i="7" s="1"/>
  <c r="BX25" i="7" s="1"/>
  <c r="BR25" i="7"/>
  <c r="AB18" i="7"/>
  <c r="BT21" i="7"/>
  <c r="BS21" i="7"/>
  <c r="BW21" i="7" s="1"/>
  <c r="BX21" i="7" s="1"/>
  <c r="BR21" i="7"/>
  <c r="R19" i="7"/>
  <c r="P19" i="7" s="1"/>
  <c r="S19" i="7" s="1"/>
  <c r="M19" i="7" s="1"/>
  <c r="N19" i="7" s="1"/>
  <c r="AB19" i="7"/>
  <c r="BR28" i="7"/>
  <c r="BT28" i="7"/>
  <c r="BS28" i="7"/>
  <c r="BW28" i="7" s="1"/>
  <c r="BX28" i="7" s="1"/>
  <c r="AD24" i="7"/>
  <c r="AE24" i="7" s="1"/>
  <c r="U21" i="7"/>
  <c r="V21" i="7" s="1"/>
  <c r="BT17" i="7"/>
  <c r="BS17" i="7"/>
  <c r="BW17" i="7" s="1"/>
  <c r="BX17" i="7" s="1"/>
  <c r="BR17" i="7"/>
  <c r="BL29" i="7"/>
  <c r="BT20" i="7"/>
  <c r="BS22" i="7"/>
  <c r="BW22" i="7" s="1"/>
  <c r="BX22" i="7" s="1"/>
  <c r="BR18" i="7"/>
  <c r="BT18" i="7"/>
  <c r="BS18" i="7"/>
  <c r="BW18" i="7" s="1"/>
  <c r="BX18" i="7" s="1"/>
  <c r="U26" i="7"/>
  <c r="V26" i="7" s="1"/>
  <c r="BK18" i="7"/>
  <c r="AF28" i="7"/>
  <c r="K28" i="7" s="1"/>
  <c r="BJ28" i="7" s="1"/>
  <c r="BL28" i="7" s="1"/>
  <c r="AC20" i="7"/>
  <c r="R27" i="7"/>
  <c r="P27" i="7" s="1"/>
  <c r="S27" i="7" s="1"/>
  <c r="M27" i="7" s="1"/>
  <c r="N27" i="7" s="1"/>
  <c r="BT19" i="7"/>
  <c r="BR19" i="7"/>
  <c r="BS19" i="7"/>
  <c r="BW19" i="7" s="1"/>
  <c r="BX19" i="7" s="1"/>
  <c r="DH24" i="7"/>
  <c r="BI24" i="7" s="1"/>
  <c r="BK24" i="7" s="1"/>
  <c r="AU28" i="7"/>
  <c r="BL19" i="7"/>
  <c r="BL22" i="7"/>
  <c r="AC24" i="7"/>
  <c r="AG20" i="7"/>
  <c r="J20" i="7" s="1"/>
  <c r="I20" i="7" s="1"/>
  <c r="AF20" i="7"/>
  <c r="K20" i="7" s="1"/>
  <c r="BJ20" i="7" s="1"/>
  <c r="AU20" i="7"/>
  <c r="U23" i="7"/>
  <c r="V23" i="7" s="1"/>
  <c r="R23" i="7" s="1"/>
  <c r="P23" i="7" s="1"/>
  <c r="S23" i="7" s="1"/>
  <c r="M23" i="7" s="1"/>
  <c r="N23" i="7" s="1"/>
  <c r="BT29" i="7"/>
  <c r="BS29" i="7"/>
  <c r="BW29" i="7" s="1"/>
  <c r="BX29" i="7" s="1"/>
  <c r="BR29" i="7"/>
  <c r="BK20" i="7"/>
  <c r="AB27" i="7"/>
  <c r="L28" i="7"/>
  <c r="R17" i="7"/>
  <c r="P17" i="7" s="1"/>
  <c r="S17" i="7" s="1"/>
  <c r="M17" i="7" s="1"/>
  <c r="N17" i="7" s="1"/>
  <c r="AB17" i="7"/>
  <c r="U19" i="7"/>
  <c r="V19" i="7" s="1"/>
  <c r="BK22" i="7"/>
  <c r="BS20" i="7"/>
  <c r="BW20" i="7" s="1"/>
  <c r="BX20" i="7" s="1"/>
  <c r="R29" i="7"/>
  <c r="P29" i="7" s="1"/>
  <c r="S29" i="7" s="1"/>
  <c r="M29" i="7" s="1"/>
  <c r="N29" i="7" s="1"/>
  <c r="AB29" i="7"/>
  <c r="AU18" i="7"/>
  <c r="BT22" i="7"/>
  <c r="DH26" i="7"/>
  <c r="BI26" i="7" s="1"/>
  <c r="BL26" i="7" s="1"/>
  <c r="O20" i="7"/>
  <c r="BT27" i="7"/>
  <c r="BS27" i="7"/>
  <c r="BW27" i="7" s="1"/>
  <c r="BX27" i="7" s="1"/>
  <c r="BR27" i="7"/>
  <c r="AG28" i="7"/>
  <c r="J28" i="7" s="1"/>
  <c r="I28" i="7" s="1"/>
  <c r="R24" i="7"/>
  <c r="P24" i="7" s="1"/>
  <c r="S24" i="7" s="1"/>
  <c r="M24" i="7" s="1"/>
  <c r="N24" i="7" s="1"/>
  <c r="BK27" i="7"/>
  <c r="U29" i="7"/>
  <c r="V29" i="7" s="1"/>
  <c r="BK28" i="7"/>
  <c r="AU26" i="7"/>
  <c r="L26" i="7"/>
  <c r="U17" i="7"/>
  <c r="V17" i="7" s="1"/>
  <c r="U20" i="7"/>
  <c r="V20" i="7" s="1"/>
  <c r="BK26" i="7"/>
  <c r="DH20" i="7"/>
  <c r="BI20" i="7" s="1"/>
  <c r="AU24" i="7"/>
  <c r="L24" i="7"/>
  <c r="BS26" i="7"/>
  <c r="BW26" i="7" s="1"/>
  <c r="BX26" i="7" s="1"/>
  <c r="BT26" i="7"/>
  <c r="AU22" i="7"/>
  <c r="U22" i="7"/>
  <c r="V22" i="7" s="1"/>
  <c r="R25" i="7"/>
  <c r="P25" i="7" s="1"/>
  <c r="S25" i="7" s="1"/>
  <c r="M25" i="7" s="1"/>
  <c r="N25" i="7" s="1"/>
  <c r="DH22" i="7"/>
  <c r="BI22" i="7" s="1"/>
  <c r="U27" i="7"/>
  <c r="V27" i="7" s="1"/>
  <c r="T18" i="7"/>
  <c r="R21" i="7"/>
  <c r="P21" i="7" s="1"/>
  <c r="S21" i="7" s="1"/>
  <c r="M21" i="7" s="1"/>
  <c r="N21" i="7" s="1"/>
  <c r="U25" i="7"/>
  <c r="V25" i="7" s="1"/>
  <c r="T28" i="7"/>
  <c r="BS24" i="7"/>
  <c r="BW24" i="7" s="1"/>
  <c r="BX24" i="7" s="1"/>
  <c r="BR24" i="6"/>
  <c r="BT24" i="6"/>
  <c r="BS24" i="6"/>
  <c r="BW24" i="6" s="1"/>
  <c r="BX24" i="6" s="1"/>
  <c r="BT17" i="6"/>
  <c r="BR17" i="6"/>
  <c r="BS17" i="6"/>
  <c r="BW17" i="6" s="1"/>
  <c r="BX17" i="6" s="1"/>
  <c r="BR18" i="6"/>
  <c r="BS18" i="6"/>
  <c r="BW18" i="6" s="1"/>
  <c r="BX18" i="6" s="1"/>
  <c r="BT18" i="6"/>
  <c r="U24" i="6"/>
  <c r="V24" i="6" s="1"/>
  <c r="BR26" i="6"/>
  <c r="BT26" i="6"/>
  <c r="BS26" i="6"/>
  <c r="BW26" i="6" s="1"/>
  <c r="BX26" i="6" s="1"/>
  <c r="R21" i="6"/>
  <c r="P21" i="6" s="1"/>
  <c r="S21" i="6" s="1"/>
  <c r="M21" i="6" s="1"/>
  <c r="N21" i="6" s="1"/>
  <c r="AB21" i="6"/>
  <c r="R29" i="6"/>
  <c r="P29" i="6" s="1"/>
  <c r="S29" i="6" s="1"/>
  <c r="M29" i="6" s="1"/>
  <c r="N29" i="6" s="1"/>
  <c r="AB29" i="6"/>
  <c r="AE29" i="6" s="1"/>
  <c r="BT19" i="6"/>
  <c r="BR19" i="6"/>
  <c r="BS19" i="6"/>
  <c r="BW19" i="6" s="1"/>
  <c r="BX19" i="6" s="1"/>
  <c r="BT27" i="6"/>
  <c r="BR27" i="6"/>
  <c r="BS27" i="6"/>
  <c r="BW27" i="6" s="1"/>
  <c r="BX27" i="6" s="1"/>
  <c r="BK19" i="6"/>
  <c r="BK27" i="6"/>
  <c r="R19" i="6"/>
  <c r="P19" i="6" s="1"/>
  <c r="S19" i="6" s="1"/>
  <c r="M19" i="6" s="1"/>
  <c r="N19" i="6" s="1"/>
  <c r="AB19" i="6"/>
  <c r="BR28" i="6"/>
  <c r="BT28" i="6"/>
  <c r="BS28" i="6"/>
  <c r="BW28" i="6" s="1"/>
  <c r="BX28" i="6" s="1"/>
  <c r="U26" i="6"/>
  <c r="V26" i="6" s="1"/>
  <c r="R23" i="6"/>
  <c r="P23" i="6" s="1"/>
  <c r="S23" i="6" s="1"/>
  <c r="M23" i="6" s="1"/>
  <c r="N23" i="6" s="1"/>
  <c r="AB23" i="6"/>
  <c r="BL20" i="6"/>
  <c r="BT23" i="6"/>
  <c r="BS23" i="6"/>
  <c r="BW23" i="6" s="1"/>
  <c r="BX23" i="6" s="1"/>
  <c r="BR23" i="6"/>
  <c r="U22" i="6"/>
  <c r="V22" i="6" s="1"/>
  <c r="AB27" i="6"/>
  <c r="BT25" i="6"/>
  <c r="BS25" i="6"/>
  <c r="BW25" i="6" s="1"/>
  <c r="BX25" i="6" s="1"/>
  <c r="BR25" i="6"/>
  <c r="AD25" i="6"/>
  <c r="AC25" i="6"/>
  <c r="W25" i="6"/>
  <c r="AA25" i="6" s="1"/>
  <c r="BT21" i="6"/>
  <c r="BS21" i="6"/>
  <c r="BW21" i="6" s="1"/>
  <c r="BX21" i="6" s="1"/>
  <c r="BR21" i="6"/>
  <c r="BL26" i="6"/>
  <c r="BL17" i="6"/>
  <c r="U20" i="6"/>
  <c r="V20" i="6" s="1"/>
  <c r="U28" i="6"/>
  <c r="V28" i="6" s="1"/>
  <c r="AD29" i="6"/>
  <c r="AC29" i="6"/>
  <c r="W29" i="6"/>
  <c r="AA29" i="6" s="1"/>
  <c r="U18" i="6"/>
  <c r="V18" i="6" s="1"/>
  <c r="BR20" i="6"/>
  <c r="BT20" i="6"/>
  <c r="BS20" i="6"/>
  <c r="BW20" i="6" s="1"/>
  <c r="BX20" i="6" s="1"/>
  <c r="BL23" i="6"/>
  <c r="BL18" i="6"/>
  <c r="BT29" i="6"/>
  <c r="BS29" i="6"/>
  <c r="BW29" i="6" s="1"/>
  <c r="BX29" i="6" s="1"/>
  <c r="BR29" i="6"/>
  <c r="BR22" i="6"/>
  <c r="BT22" i="6"/>
  <c r="BS22" i="6"/>
  <c r="BW22" i="6" s="1"/>
  <c r="BX22" i="6" s="1"/>
  <c r="BL25" i="6"/>
  <c r="AB17" i="6"/>
  <c r="R25" i="6"/>
  <c r="P25" i="6" s="1"/>
  <c r="S25" i="6" s="1"/>
  <c r="M25" i="6" s="1"/>
  <c r="N25" i="6" s="1"/>
  <c r="AB25" i="6"/>
  <c r="AE25" i="6" s="1"/>
  <c r="BK23" i="6"/>
  <c r="DH18" i="6"/>
  <c r="BI18" i="6" s="1"/>
  <c r="BK18" i="6" s="1"/>
  <c r="DH20" i="6"/>
  <c r="BI20" i="6" s="1"/>
  <c r="BK20" i="6" s="1"/>
  <c r="DH22" i="6"/>
  <c r="BI22" i="6" s="1"/>
  <c r="BK22" i="6" s="1"/>
  <c r="DH24" i="6"/>
  <c r="BI24" i="6" s="1"/>
  <c r="BK24" i="6" s="1"/>
  <c r="DH26" i="6"/>
  <c r="BI26" i="6" s="1"/>
  <c r="BK26" i="6" s="1"/>
  <c r="DH28" i="6"/>
  <c r="BI28" i="6" s="1"/>
  <c r="BK28" i="6" s="1"/>
  <c r="U27" i="6"/>
  <c r="V27" i="6" s="1"/>
  <c r="R18" i="6"/>
  <c r="P18" i="6" s="1"/>
  <c r="S18" i="6" s="1"/>
  <c r="M18" i="6" s="1"/>
  <c r="N18" i="6" s="1"/>
  <c r="R20" i="6"/>
  <c r="P20" i="6" s="1"/>
  <c r="S20" i="6" s="1"/>
  <c r="M20" i="6" s="1"/>
  <c r="N20" i="6" s="1"/>
  <c r="R22" i="6"/>
  <c r="P22" i="6" s="1"/>
  <c r="S22" i="6" s="1"/>
  <c r="M22" i="6" s="1"/>
  <c r="N22" i="6" s="1"/>
  <c r="R24" i="6"/>
  <c r="P24" i="6" s="1"/>
  <c r="S24" i="6" s="1"/>
  <c r="M24" i="6" s="1"/>
  <c r="N24" i="6" s="1"/>
  <c r="U17" i="6"/>
  <c r="V17" i="6" s="1"/>
  <c r="R17" i="6" s="1"/>
  <c r="P17" i="6" s="1"/>
  <c r="S17" i="6" s="1"/>
  <c r="M17" i="6" s="1"/>
  <c r="N17" i="6" s="1"/>
  <c r="R28" i="6"/>
  <c r="P28" i="6" s="1"/>
  <c r="S28" i="6" s="1"/>
  <c r="M28" i="6" s="1"/>
  <c r="N28" i="6" s="1"/>
  <c r="U19" i="6"/>
  <c r="V19" i="6" s="1"/>
  <c r="U21" i="6"/>
  <c r="V21" i="6" s="1"/>
  <c r="U23" i="6"/>
  <c r="V23" i="6" s="1"/>
  <c r="AB20" i="5"/>
  <c r="BT25" i="5"/>
  <c r="BR25" i="5"/>
  <c r="BS25" i="5"/>
  <c r="BW25" i="5" s="1"/>
  <c r="BX25" i="5" s="1"/>
  <c r="AB22" i="5"/>
  <c r="BK25" i="5"/>
  <c r="BL25" i="5"/>
  <c r="BT19" i="5"/>
  <c r="BS19" i="5"/>
  <c r="BW19" i="5" s="1"/>
  <c r="BX19" i="5" s="1"/>
  <c r="BR19" i="5"/>
  <c r="BL24" i="5"/>
  <c r="BT21" i="5"/>
  <c r="BR21" i="5"/>
  <c r="BS21" i="5"/>
  <c r="BW21" i="5" s="1"/>
  <c r="BX21" i="5" s="1"/>
  <c r="AB26" i="5"/>
  <c r="R26" i="5"/>
  <c r="P26" i="5" s="1"/>
  <c r="S26" i="5" s="1"/>
  <c r="M26" i="5" s="1"/>
  <c r="N26" i="5" s="1"/>
  <c r="AD23" i="5"/>
  <c r="AC23" i="5"/>
  <c r="W23" i="5"/>
  <c r="AA23" i="5" s="1"/>
  <c r="BT17" i="5"/>
  <c r="BS17" i="5"/>
  <c r="BW17" i="5" s="1"/>
  <c r="BX17" i="5" s="1"/>
  <c r="BR17" i="5"/>
  <c r="AC24" i="5"/>
  <c r="BT27" i="5"/>
  <c r="BS27" i="5"/>
  <c r="BW27" i="5" s="1"/>
  <c r="BX27" i="5" s="1"/>
  <c r="BR27" i="5"/>
  <c r="AB24" i="5"/>
  <c r="R24" i="5"/>
  <c r="P24" i="5" s="1"/>
  <c r="S24" i="5" s="1"/>
  <c r="M24" i="5" s="1"/>
  <c r="N24" i="5" s="1"/>
  <c r="BT29" i="5"/>
  <c r="BS29" i="5"/>
  <c r="BW29" i="5" s="1"/>
  <c r="BX29" i="5" s="1"/>
  <c r="BR29" i="5"/>
  <c r="BT23" i="5"/>
  <c r="BS23" i="5"/>
  <c r="BW23" i="5" s="1"/>
  <c r="BX23" i="5" s="1"/>
  <c r="BR23" i="5"/>
  <c r="AB18" i="5"/>
  <c r="AB28" i="5"/>
  <c r="AD29" i="5"/>
  <c r="AE29" i="5" s="1"/>
  <c r="AC29" i="5"/>
  <c r="W29" i="5"/>
  <c r="AA29" i="5" s="1"/>
  <c r="U18" i="5"/>
  <c r="V18" i="5" s="1"/>
  <c r="R21" i="5"/>
  <c r="P21" i="5" s="1"/>
  <c r="S21" i="5" s="1"/>
  <c r="M21" i="5" s="1"/>
  <c r="N21" i="5" s="1"/>
  <c r="BK24" i="5"/>
  <c r="DH18" i="5"/>
  <c r="BI18" i="5" s="1"/>
  <c r="BL18" i="5" s="1"/>
  <c r="AU22" i="5"/>
  <c r="L22" i="5"/>
  <c r="R19" i="5"/>
  <c r="P19" i="5" s="1"/>
  <c r="S19" i="5" s="1"/>
  <c r="M19" i="5" s="1"/>
  <c r="N19" i="5" s="1"/>
  <c r="U26" i="5"/>
  <c r="V26" i="5" s="1"/>
  <c r="O22" i="5"/>
  <c r="L20" i="5"/>
  <c r="BS22" i="5"/>
  <c r="BW22" i="5" s="1"/>
  <c r="BX22" i="5" s="1"/>
  <c r="BT22" i="5"/>
  <c r="U21" i="5"/>
  <c r="V21" i="5" s="1"/>
  <c r="U24" i="5"/>
  <c r="V24" i="5" s="1"/>
  <c r="AU18" i="5"/>
  <c r="DH24" i="5"/>
  <c r="BI24" i="5" s="1"/>
  <c r="L18" i="5"/>
  <c r="DH22" i="5"/>
  <c r="BI22" i="5" s="1"/>
  <c r="U25" i="5"/>
  <c r="V25" i="5" s="1"/>
  <c r="BS24" i="5"/>
  <c r="BW24" i="5" s="1"/>
  <c r="BX24" i="5" s="1"/>
  <c r="R29" i="5"/>
  <c r="P29" i="5" s="1"/>
  <c r="S29" i="5" s="1"/>
  <c r="M29" i="5" s="1"/>
  <c r="N29" i="5" s="1"/>
  <c r="AE23" i="5"/>
  <c r="BT24" i="5"/>
  <c r="BK22" i="5"/>
  <c r="AU20" i="5"/>
  <c r="DH26" i="5"/>
  <c r="BI26" i="5" s="1"/>
  <c r="BL26" i="5" s="1"/>
  <c r="AU28" i="5"/>
  <c r="L28" i="5"/>
  <c r="BS20" i="5"/>
  <c r="BW20" i="5" s="1"/>
  <c r="BX20" i="5" s="1"/>
  <c r="BK28" i="5"/>
  <c r="BT20" i="5"/>
  <c r="U19" i="5"/>
  <c r="V19" i="5" s="1"/>
  <c r="U22" i="5"/>
  <c r="V22" i="5" s="1"/>
  <c r="AC22" i="5" s="1"/>
  <c r="R25" i="5"/>
  <c r="P25" i="5" s="1"/>
  <c r="S25" i="5" s="1"/>
  <c r="M25" i="5" s="1"/>
  <c r="N25" i="5" s="1"/>
  <c r="BS28" i="5"/>
  <c r="BW28" i="5" s="1"/>
  <c r="BX28" i="5" s="1"/>
  <c r="AU26" i="5"/>
  <c r="BT28" i="5"/>
  <c r="BS18" i="5"/>
  <c r="BW18" i="5" s="1"/>
  <c r="BX18" i="5" s="1"/>
  <c r="L26" i="5"/>
  <c r="BT18" i="5"/>
  <c r="AB21" i="5"/>
  <c r="U17" i="5"/>
  <c r="V17" i="5" s="1"/>
  <c r="T20" i="5"/>
  <c r="AF22" i="5"/>
  <c r="K22" i="5" s="1"/>
  <c r="BJ22" i="5" s="1"/>
  <c r="R23" i="5"/>
  <c r="P23" i="5" s="1"/>
  <c r="S23" i="5" s="1"/>
  <c r="M23" i="5" s="1"/>
  <c r="N23" i="5" s="1"/>
  <c r="BK26" i="5"/>
  <c r="U27" i="5"/>
  <c r="V27" i="5" s="1"/>
  <c r="DH20" i="5"/>
  <c r="BI20" i="5" s="1"/>
  <c r="BL20" i="5" s="1"/>
  <c r="AU24" i="5"/>
  <c r="BS26" i="5"/>
  <c r="BW26" i="5" s="1"/>
  <c r="BX26" i="5" s="1"/>
  <c r="T28" i="5"/>
  <c r="DJ29" i="3"/>
  <c r="DI29" i="3"/>
  <c r="DG29" i="3"/>
  <c r="DH29" i="3" s="1"/>
  <c r="BI29" i="3" s="1"/>
  <c r="BV29" i="3"/>
  <c r="BU29" i="3"/>
  <c r="BM29" i="3"/>
  <c r="BG29" i="3"/>
  <c r="BK29" i="3" s="1"/>
  <c r="BA29" i="3"/>
  <c r="BN29" i="3" s="1"/>
  <c r="BQ29" i="3" s="1"/>
  <c r="AV29" i="3"/>
  <c r="AT29" i="3"/>
  <c r="AU29" i="3" s="1"/>
  <c r="AM29" i="3"/>
  <c r="AH29" i="3"/>
  <c r="AG29" i="3"/>
  <c r="J29" i="3" s="1"/>
  <c r="I29" i="3" s="1"/>
  <c r="AF29" i="3"/>
  <c r="K29" i="3" s="1"/>
  <c r="BJ29" i="3" s="1"/>
  <c r="BL29" i="3" s="1"/>
  <c r="Z29" i="3"/>
  <c r="Y29" i="3"/>
  <c r="X29" i="3"/>
  <c r="T29" i="3"/>
  <c r="U29" i="3" s="1"/>
  <c r="V29" i="3" s="1"/>
  <c r="Q29" i="3"/>
  <c r="O29" i="3"/>
  <c r="L29" i="3"/>
  <c r="DJ28" i="3"/>
  <c r="DI28" i="3"/>
  <c r="DG28" i="3"/>
  <c r="T28" i="3" s="1"/>
  <c r="BV28" i="3"/>
  <c r="BU28" i="3"/>
  <c r="BN28" i="3"/>
  <c r="BQ28" i="3" s="1"/>
  <c r="BR28" i="3" s="1"/>
  <c r="BM28" i="3"/>
  <c r="BG28" i="3"/>
  <c r="BA28" i="3"/>
  <c r="AV28" i="3"/>
  <c r="AT28" i="3" s="1"/>
  <c r="AM28" i="3"/>
  <c r="AH28" i="3"/>
  <c r="AG28" i="3"/>
  <c r="J28" i="3" s="1"/>
  <c r="I28" i="3" s="1"/>
  <c r="AF28" i="3"/>
  <c r="Z28" i="3"/>
  <c r="Y28" i="3"/>
  <c r="X28" i="3"/>
  <c r="Q28" i="3"/>
  <c r="L28" i="3"/>
  <c r="K28" i="3"/>
  <c r="BJ28" i="3" s="1"/>
  <c r="DJ27" i="3"/>
  <c r="DI27" i="3"/>
  <c r="DG27" i="3"/>
  <c r="DH27" i="3" s="1"/>
  <c r="BI27" i="3" s="1"/>
  <c r="BK27" i="3" s="1"/>
  <c r="BV27" i="3"/>
  <c r="BU27" i="3"/>
  <c r="BM27" i="3"/>
  <c r="BJ27" i="3"/>
  <c r="BG27" i="3"/>
  <c r="BA27" i="3"/>
  <c r="BN27" i="3" s="1"/>
  <c r="BQ27" i="3" s="1"/>
  <c r="AV27" i="3"/>
  <c r="AT27" i="3"/>
  <c r="AU27" i="3" s="1"/>
  <c r="AM27" i="3"/>
  <c r="AH27" i="3"/>
  <c r="AG27" i="3"/>
  <c r="J27" i="3" s="1"/>
  <c r="I27" i="3" s="1"/>
  <c r="AF27" i="3"/>
  <c r="Z27" i="3"/>
  <c r="Y27" i="3"/>
  <c r="X27" i="3"/>
  <c r="T27" i="3"/>
  <c r="Q27" i="3"/>
  <c r="O27" i="3"/>
  <c r="L27" i="3"/>
  <c r="K27" i="3"/>
  <c r="DJ26" i="3"/>
  <c r="DI26" i="3"/>
  <c r="DG26" i="3"/>
  <c r="T26" i="3" s="1"/>
  <c r="BV26" i="3"/>
  <c r="BU26" i="3"/>
  <c r="BT26" i="3"/>
  <c r="BN26" i="3"/>
  <c r="BQ26" i="3" s="1"/>
  <c r="BR26" i="3" s="1"/>
  <c r="BM26" i="3"/>
  <c r="BG26" i="3"/>
  <c r="BA26" i="3"/>
  <c r="AV26" i="3"/>
  <c r="AT26" i="3" s="1"/>
  <c r="AM26" i="3"/>
  <c r="AH26" i="3"/>
  <c r="AG26" i="3"/>
  <c r="AF26" i="3"/>
  <c r="Z26" i="3"/>
  <c r="Y26" i="3"/>
  <c r="X26" i="3"/>
  <c r="Q26" i="3"/>
  <c r="L26" i="3"/>
  <c r="K26" i="3"/>
  <c r="BJ26" i="3" s="1"/>
  <c r="J26" i="3"/>
  <c r="I26" i="3"/>
  <c r="DJ25" i="3"/>
  <c r="DI25" i="3"/>
  <c r="DG25" i="3"/>
  <c r="DH25" i="3" s="1"/>
  <c r="BI25" i="3" s="1"/>
  <c r="BV25" i="3"/>
  <c r="BU25" i="3"/>
  <c r="BM25" i="3"/>
  <c r="BG25" i="3"/>
  <c r="BA25" i="3"/>
  <c r="BN25" i="3" s="1"/>
  <c r="BQ25" i="3" s="1"/>
  <c r="AV25" i="3"/>
  <c r="AT25" i="3"/>
  <c r="AU25" i="3" s="1"/>
  <c r="AM25" i="3"/>
  <c r="AH25" i="3"/>
  <c r="AG25" i="3"/>
  <c r="J25" i="3" s="1"/>
  <c r="I25" i="3" s="1"/>
  <c r="AF25" i="3"/>
  <c r="K25" i="3" s="1"/>
  <c r="BJ25" i="3" s="1"/>
  <c r="Z25" i="3"/>
  <c r="Y25" i="3"/>
  <c r="X25" i="3"/>
  <c r="T25" i="3"/>
  <c r="U25" i="3" s="1"/>
  <c r="V25" i="3" s="1"/>
  <c r="Q25" i="3"/>
  <c r="O25" i="3"/>
  <c r="L25" i="3"/>
  <c r="DJ24" i="3"/>
  <c r="DI24" i="3"/>
  <c r="DG24" i="3"/>
  <c r="T24" i="3" s="1"/>
  <c r="U24" i="3" s="1"/>
  <c r="V24" i="3" s="1"/>
  <c r="BV24" i="3"/>
  <c r="BU24" i="3"/>
  <c r="BN24" i="3"/>
  <c r="BQ24" i="3" s="1"/>
  <c r="BR24" i="3" s="1"/>
  <c r="BM24" i="3"/>
  <c r="BG24" i="3"/>
  <c r="BA24" i="3"/>
  <c r="AV24" i="3"/>
  <c r="AT24" i="3" s="1"/>
  <c r="AM24" i="3"/>
  <c r="AH24" i="3"/>
  <c r="AG24" i="3"/>
  <c r="J24" i="3" s="1"/>
  <c r="I24" i="3" s="1"/>
  <c r="AF24" i="3"/>
  <c r="Z24" i="3"/>
  <c r="Y24" i="3"/>
  <c r="X24" i="3"/>
  <c r="Q24" i="3"/>
  <c r="L24" i="3"/>
  <c r="K24" i="3"/>
  <c r="BJ24" i="3" s="1"/>
  <c r="DJ23" i="3"/>
  <c r="DI23" i="3"/>
  <c r="DG23" i="3"/>
  <c r="DH23" i="3" s="1"/>
  <c r="BI23" i="3" s="1"/>
  <c r="BK23" i="3" s="1"/>
  <c r="BV23" i="3"/>
  <c r="BU23" i="3"/>
  <c r="BM23" i="3"/>
  <c r="BJ23" i="3"/>
  <c r="BG23" i="3"/>
  <c r="BA23" i="3"/>
  <c r="BN23" i="3" s="1"/>
  <c r="BQ23" i="3" s="1"/>
  <c r="AV23" i="3"/>
  <c r="AT23" i="3"/>
  <c r="AU23" i="3" s="1"/>
  <c r="AM23" i="3"/>
  <c r="AH23" i="3"/>
  <c r="AG23" i="3"/>
  <c r="J23" i="3" s="1"/>
  <c r="I23" i="3" s="1"/>
  <c r="AF23" i="3"/>
  <c r="Z23" i="3"/>
  <c r="Y23" i="3"/>
  <c r="X23" i="3"/>
  <c r="T23" i="3"/>
  <c r="Q23" i="3"/>
  <c r="O23" i="3"/>
  <c r="L23" i="3"/>
  <c r="K23" i="3"/>
  <c r="DJ22" i="3"/>
  <c r="DI22" i="3"/>
  <c r="DG22" i="3"/>
  <c r="T22" i="3" s="1"/>
  <c r="BV22" i="3"/>
  <c r="BU22" i="3"/>
  <c r="BT22" i="3"/>
  <c r="BN22" i="3"/>
  <c r="BQ22" i="3" s="1"/>
  <c r="BR22" i="3" s="1"/>
  <c r="BM22" i="3"/>
  <c r="BG22" i="3"/>
  <c r="BA22" i="3"/>
  <c r="AV22" i="3"/>
  <c r="AT22" i="3" s="1"/>
  <c r="AM22" i="3"/>
  <c r="AH22" i="3"/>
  <c r="AG22" i="3"/>
  <c r="AF22" i="3"/>
  <c r="Z22" i="3"/>
  <c r="Y22" i="3"/>
  <c r="X22" i="3"/>
  <c r="Q22" i="3"/>
  <c r="L22" i="3"/>
  <c r="K22" i="3"/>
  <c r="BJ22" i="3" s="1"/>
  <c r="J22" i="3"/>
  <c r="I22" i="3"/>
  <c r="DJ21" i="3"/>
  <c r="DI21" i="3"/>
  <c r="DG21" i="3"/>
  <c r="DH21" i="3" s="1"/>
  <c r="BI21" i="3" s="1"/>
  <c r="BV21" i="3"/>
  <c r="BU21" i="3"/>
  <c r="BM21" i="3"/>
  <c r="BG21" i="3"/>
  <c r="BA21" i="3"/>
  <c r="BN21" i="3" s="1"/>
  <c r="BQ21" i="3" s="1"/>
  <c r="AV21" i="3"/>
  <c r="AT21" i="3"/>
  <c r="AU21" i="3" s="1"/>
  <c r="AM21" i="3"/>
  <c r="AH21" i="3"/>
  <c r="AG21" i="3"/>
  <c r="J21" i="3" s="1"/>
  <c r="I21" i="3" s="1"/>
  <c r="AF21" i="3"/>
  <c r="K21" i="3" s="1"/>
  <c r="BJ21" i="3" s="1"/>
  <c r="Z21" i="3"/>
  <c r="Y21" i="3"/>
  <c r="X21" i="3"/>
  <c r="T21" i="3"/>
  <c r="U21" i="3" s="1"/>
  <c r="V21" i="3" s="1"/>
  <c r="Q21" i="3"/>
  <c r="O21" i="3"/>
  <c r="L21" i="3"/>
  <c r="DJ20" i="3"/>
  <c r="DI20" i="3"/>
  <c r="DG20" i="3"/>
  <c r="T20" i="3" s="1"/>
  <c r="U20" i="3" s="1"/>
  <c r="V20" i="3" s="1"/>
  <c r="BV20" i="3"/>
  <c r="BU20" i="3"/>
  <c r="BN20" i="3"/>
  <c r="BQ20" i="3" s="1"/>
  <c r="BR20" i="3" s="1"/>
  <c r="BM20" i="3"/>
  <c r="BG20" i="3"/>
  <c r="BA20" i="3"/>
  <c r="AV20" i="3"/>
  <c r="AT20" i="3" s="1"/>
  <c r="AM20" i="3"/>
  <c r="AH20" i="3"/>
  <c r="AG20" i="3"/>
  <c r="J20" i="3" s="1"/>
  <c r="I20" i="3" s="1"/>
  <c r="AF20" i="3"/>
  <c r="Z20" i="3"/>
  <c r="Y20" i="3"/>
  <c r="X20" i="3"/>
  <c r="Q20" i="3"/>
  <c r="L20" i="3"/>
  <c r="K20" i="3"/>
  <c r="BJ20" i="3" s="1"/>
  <c r="DJ19" i="3"/>
  <c r="DI19" i="3"/>
  <c r="DG19" i="3"/>
  <c r="DH19" i="3" s="1"/>
  <c r="BI19" i="3" s="1"/>
  <c r="BK19" i="3" s="1"/>
  <c r="BV19" i="3"/>
  <c r="BU19" i="3"/>
  <c r="BM19" i="3"/>
  <c r="BJ19" i="3"/>
  <c r="BG19" i="3"/>
  <c r="BA19" i="3"/>
  <c r="BN19" i="3" s="1"/>
  <c r="BQ19" i="3" s="1"/>
  <c r="AV19" i="3"/>
  <c r="AT19" i="3"/>
  <c r="AU19" i="3" s="1"/>
  <c r="AM19" i="3"/>
  <c r="AH19" i="3"/>
  <c r="AG19" i="3"/>
  <c r="J19" i="3" s="1"/>
  <c r="I19" i="3" s="1"/>
  <c r="AF19" i="3"/>
  <c r="Z19" i="3"/>
  <c r="Y19" i="3"/>
  <c r="X19" i="3"/>
  <c r="T19" i="3"/>
  <c r="Q19" i="3"/>
  <c r="O19" i="3"/>
  <c r="L19" i="3"/>
  <c r="K19" i="3"/>
  <c r="DJ18" i="3"/>
  <c r="DI18" i="3"/>
  <c r="DG18" i="3"/>
  <c r="T18" i="3" s="1"/>
  <c r="BV18" i="3"/>
  <c r="BU18" i="3"/>
  <c r="BT18" i="3"/>
  <c r="BN18" i="3"/>
  <c r="BQ18" i="3" s="1"/>
  <c r="BR18" i="3" s="1"/>
  <c r="BM18" i="3"/>
  <c r="BG18" i="3"/>
  <c r="BA18" i="3"/>
  <c r="AV18" i="3"/>
  <c r="AT18" i="3" s="1"/>
  <c r="AM18" i="3"/>
  <c r="AH18" i="3"/>
  <c r="AG18" i="3"/>
  <c r="AF18" i="3"/>
  <c r="Z18" i="3"/>
  <c r="Y18" i="3"/>
  <c r="X18" i="3"/>
  <c r="Q18" i="3"/>
  <c r="L18" i="3"/>
  <c r="K18" i="3"/>
  <c r="BJ18" i="3" s="1"/>
  <c r="J18" i="3"/>
  <c r="I18" i="3"/>
  <c r="DJ17" i="3"/>
  <c r="DI17" i="3"/>
  <c r="DG17" i="3"/>
  <c r="DH17" i="3" s="1"/>
  <c r="BI17" i="3" s="1"/>
  <c r="BV17" i="3"/>
  <c r="BU17" i="3"/>
  <c r="BM17" i="3"/>
  <c r="BG17" i="3"/>
  <c r="BK17" i="3" s="1"/>
  <c r="BA17" i="3"/>
  <c r="BN17" i="3" s="1"/>
  <c r="BQ17" i="3" s="1"/>
  <c r="AV17" i="3"/>
  <c r="AT17" i="3"/>
  <c r="AU17" i="3" s="1"/>
  <c r="AM17" i="3"/>
  <c r="AH17" i="3"/>
  <c r="AG17" i="3"/>
  <c r="J17" i="3" s="1"/>
  <c r="I17" i="3" s="1"/>
  <c r="AF17" i="3"/>
  <c r="K17" i="3" s="1"/>
  <c r="BJ17" i="3" s="1"/>
  <c r="BL17" i="3" s="1"/>
  <c r="Z17" i="3"/>
  <c r="Y17" i="3"/>
  <c r="X17" i="3"/>
  <c r="T17" i="3"/>
  <c r="U17" i="3" s="1"/>
  <c r="V17" i="3" s="1"/>
  <c r="Q17" i="3"/>
  <c r="O17" i="3"/>
  <c r="L17" i="3"/>
  <c r="DJ29" i="2"/>
  <c r="DI29" i="2"/>
  <c r="DG29" i="2"/>
  <c r="DH29" i="2" s="1"/>
  <c r="BI29" i="2" s="1"/>
  <c r="BK29" i="2" s="1"/>
  <c r="BV29" i="2"/>
  <c r="BU29" i="2"/>
  <c r="BM29" i="2"/>
  <c r="BJ29" i="2"/>
  <c r="BL29" i="2" s="1"/>
  <c r="BG29" i="2"/>
  <c r="BA29" i="2"/>
  <c r="BN29" i="2" s="1"/>
  <c r="BQ29" i="2" s="1"/>
  <c r="BT29" i="2" s="1"/>
  <c r="AV29" i="2"/>
  <c r="AT29" i="2"/>
  <c r="AU29" i="2" s="1"/>
  <c r="AM29" i="2"/>
  <c r="AH29" i="2"/>
  <c r="AG29" i="2"/>
  <c r="AF29" i="2"/>
  <c r="Z29" i="2"/>
  <c r="Y29" i="2"/>
  <c r="X29" i="2"/>
  <c r="Q29" i="2"/>
  <c r="O29" i="2"/>
  <c r="L29" i="2"/>
  <c r="K29" i="2"/>
  <c r="J29" i="2"/>
  <c r="I29" i="2" s="1"/>
  <c r="DJ28" i="2"/>
  <c r="DI28" i="2"/>
  <c r="DG28" i="2"/>
  <c r="DH28" i="2" s="1"/>
  <c r="BI28" i="2" s="1"/>
  <c r="BV28" i="2"/>
  <c r="BU28" i="2"/>
  <c r="BN28" i="2"/>
  <c r="BQ28" i="2" s="1"/>
  <c r="BM28" i="2"/>
  <c r="BG28" i="2"/>
  <c r="BA28" i="2"/>
  <c r="AV28" i="2"/>
  <c r="AT28" i="2" s="1"/>
  <c r="AM28" i="2"/>
  <c r="AH28" i="2"/>
  <c r="Z28" i="2"/>
  <c r="Y28" i="2"/>
  <c r="X28" i="2"/>
  <c r="T28" i="2"/>
  <c r="Q28" i="2"/>
  <c r="L28" i="2"/>
  <c r="DJ27" i="2"/>
  <c r="DI27" i="2"/>
  <c r="DG27" i="2"/>
  <c r="DH27" i="2" s="1"/>
  <c r="BI27" i="2" s="1"/>
  <c r="BK27" i="2" s="1"/>
  <c r="BV27" i="2"/>
  <c r="BU27" i="2"/>
  <c r="BM27" i="2"/>
  <c r="BJ27" i="2"/>
  <c r="BG27" i="2"/>
  <c r="BA27" i="2"/>
  <c r="BN27" i="2" s="1"/>
  <c r="BQ27" i="2" s="1"/>
  <c r="AV27" i="2"/>
  <c r="AT27" i="2"/>
  <c r="AU27" i="2" s="1"/>
  <c r="AM27" i="2"/>
  <c r="AH27" i="2"/>
  <c r="AG27" i="2"/>
  <c r="AF27" i="2"/>
  <c r="Z27" i="2"/>
  <c r="Y27" i="2"/>
  <c r="X27" i="2"/>
  <c r="Q27" i="2"/>
  <c r="O27" i="2"/>
  <c r="L27" i="2"/>
  <c r="K27" i="2"/>
  <c r="J27" i="2"/>
  <c r="I27" i="2" s="1"/>
  <c r="DJ26" i="2"/>
  <c r="DI26" i="2"/>
  <c r="DG26" i="2"/>
  <c r="DH26" i="2" s="1"/>
  <c r="BI26" i="2" s="1"/>
  <c r="BV26" i="2"/>
  <c r="BU26" i="2"/>
  <c r="BN26" i="2"/>
  <c r="BQ26" i="2" s="1"/>
  <c r="BM26" i="2"/>
  <c r="BG26" i="2"/>
  <c r="BA26" i="2"/>
  <c r="AV26" i="2"/>
  <c r="AT26" i="2" s="1"/>
  <c r="AM26" i="2"/>
  <c r="AH26" i="2"/>
  <c r="AF26" i="2"/>
  <c r="K26" i="2" s="1"/>
  <c r="BJ26" i="2" s="1"/>
  <c r="Z26" i="2"/>
  <c r="Y26" i="2"/>
  <c r="X26" i="2"/>
  <c r="T26" i="2"/>
  <c r="Q26" i="2"/>
  <c r="L26" i="2"/>
  <c r="DJ25" i="2"/>
  <c r="DI25" i="2"/>
  <c r="DG25" i="2"/>
  <c r="DH25" i="2" s="1"/>
  <c r="BI25" i="2" s="1"/>
  <c r="BK25" i="2" s="1"/>
  <c r="BV25" i="2"/>
  <c r="BU25" i="2"/>
  <c r="BM25" i="2"/>
  <c r="BJ25" i="2"/>
  <c r="BL25" i="2" s="1"/>
  <c r="BG25" i="2"/>
  <c r="BA25" i="2"/>
  <c r="BN25" i="2" s="1"/>
  <c r="BQ25" i="2" s="1"/>
  <c r="AV25" i="2"/>
  <c r="AT25" i="2"/>
  <c r="AU25" i="2" s="1"/>
  <c r="AM25" i="2"/>
  <c r="AH25" i="2"/>
  <c r="AG25" i="2"/>
  <c r="AF25" i="2"/>
  <c r="Z25" i="2"/>
  <c r="Y25" i="2"/>
  <c r="X25" i="2"/>
  <c r="Q25" i="2"/>
  <c r="O25" i="2"/>
  <c r="L25" i="2"/>
  <c r="K25" i="2"/>
  <c r="J25" i="2"/>
  <c r="I25" i="2" s="1"/>
  <c r="DJ24" i="2"/>
  <c r="DI24" i="2"/>
  <c r="DG24" i="2"/>
  <c r="DH24" i="2" s="1"/>
  <c r="BV24" i="2"/>
  <c r="BU24" i="2"/>
  <c r="BN24" i="2"/>
  <c r="BQ24" i="2" s="1"/>
  <c r="BM24" i="2"/>
  <c r="BI24" i="2"/>
  <c r="BG24" i="2"/>
  <c r="BA24" i="2"/>
  <c r="AV24" i="2"/>
  <c r="AT24" i="2" s="1"/>
  <c r="AM24" i="2"/>
  <c r="AH24" i="2"/>
  <c r="AF24" i="2"/>
  <c r="K24" i="2" s="1"/>
  <c r="BJ24" i="2" s="1"/>
  <c r="Z24" i="2"/>
  <c r="Y24" i="2"/>
  <c r="X24" i="2"/>
  <c r="T24" i="2"/>
  <c r="Q24" i="2"/>
  <c r="DJ23" i="2"/>
  <c r="DI23" i="2"/>
  <c r="DG23" i="2"/>
  <c r="DH23" i="2" s="1"/>
  <c r="BI23" i="2" s="1"/>
  <c r="BK23" i="2" s="1"/>
  <c r="BV23" i="2"/>
  <c r="BU23" i="2"/>
  <c r="BT23" i="2"/>
  <c r="BM23" i="2"/>
  <c r="BG23" i="2"/>
  <c r="BA23" i="2"/>
  <c r="BN23" i="2" s="1"/>
  <c r="BQ23" i="2" s="1"/>
  <c r="AV23" i="2"/>
  <c r="AT23" i="2"/>
  <c r="AU23" i="2" s="1"/>
  <c r="AM23" i="2"/>
  <c r="AH23" i="2"/>
  <c r="AG23" i="2"/>
  <c r="AF23" i="2"/>
  <c r="Z23" i="2"/>
  <c r="Y23" i="2"/>
  <c r="X23" i="2"/>
  <c r="Q23" i="2"/>
  <c r="O23" i="2"/>
  <c r="L23" i="2"/>
  <c r="K23" i="2"/>
  <c r="BJ23" i="2" s="1"/>
  <c r="BL23" i="2" s="1"/>
  <c r="J23" i="2"/>
  <c r="I23" i="2" s="1"/>
  <c r="DJ22" i="2"/>
  <c r="DI22" i="2"/>
  <c r="DG22" i="2"/>
  <c r="DH22" i="2" s="1"/>
  <c r="BV22" i="2"/>
  <c r="BU22" i="2"/>
  <c r="BN22" i="2"/>
  <c r="BQ22" i="2" s="1"/>
  <c r="BM22" i="2"/>
  <c r="BI22" i="2"/>
  <c r="BG22" i="2"/>
  <c r="BA22" i="2"/>
  <c r="AV22" i="2"/>
  <c r="AT22" i="2" s="1"/>
  <c r="AM22" i="2"/>
  <c r="AH22" i="2"/>
  <c r="AF22" i="2"/>
  <c r="K22" i="2" s="1"/>
  <c r="BJ22" i="2" s="1"/>
  <c r="BL22" i="2" s="1"/>
  <c r="Z22" i="2"/>
  <c r="Y22" i="2"/>
  <c r="X22" i="2"/>
  <c r="T22" i="2"/>
  <c r="Q22" i="2"/>
  <c r="L22" i="2"/>
  <c r="DJ21" i="2"/>
  <c r="DI21" i="2"/>
  <c r="DG21" i="2"/>
  <c r="DH21" i="2" s="1"/>
  <c r="BI21" i="2" s="1"/>
  <c r="BK21" i="2" s="1"/>
  <c r="BV21" i="2"/>
  <c r="BU21" i="2"/>
  <c r="BT21" i="2"/>
  <c r="BM21" i="2"/>
  <c r="BG21" i="2"/>
  <c r="BA21" i="2"/>
  <c r="BN21" i="2" s="1"/>
  <c r="BQ21" i="2" s="1"/>
  <c r="AV21" i="2"/>
  <c r="AT21" i="2"/>
  <c r="AU21" i="2" s="1"/>
  <c r="AM21" i="2"/>
  <c r="AH21" i="2"/>
  <c r="AG21" i="2"/>
  <c r="AF21" i="2"/>
  <c r="K21" i="2" s="1"/>
  <c r="BJ21" i="2" s="1"/>
  <c r="BL21" i="2" s="1"/>
  <c r="Z21" i="2"/>
  <c r="Y21" i="2"/>
  <c r="X21" i="2"/>
  <c r="Q21" i="2"/>
  <c r="O21" i="2"/>
  <c r="L21" i="2"/>
  <c r="J21" i="2"/>
  <c r="I21" i="2" s="1"/>
  <c r="DJ20" i="2"/>
  <c r="DI20" i="2"/>
  <c r="DG20" i="2"/>
  <c r="DH20" i="2" s="1"/>
  <c r="BV20" i="2"/>
  <c r="BU20" i="2"/>
  <c r="BN20" i="2"/>
  <c r="BQ20" i="2" s="1"/>
  <c r="BM20" i="2"/>
  <c r="BJ20" i="2"/>
  <c r="BI20" i="2"/>
  <c r="BG20" i="2"/>
  <c r="BK20" i="2" s="1"/>
  <c r="BA20" i="2"/>
  <c r="AV20" i="2"/>
  <c r="AT20" i="2" s="1"/>
  <c r="AM20" i="2"/>
  <c r="AH20" i="2"/>
  <c r="AF20" i="2"/>
  <c r="K20" i="2" s="1"/>
  <c r="Z20" i="2"/>
  <c r="Y20" i="2"/>
  <c r="X20" i="2"/>
  <c r="T20" i="2"/>
  <c r="Q20" i="2"/>
  <c r="L20" i="2"/>
  <c r="DJ19" i="2"/>
  <c r="DI19" i="2"/>
  <c r="DG19" i="2"/>
  <c r="DH19" i="2" s="1"/>
  <c r="BI19" i="2" s="1"/>
  <c r="BK19" i="2" s="1"/>
  <c r="BV19" i="2"/>
  <c r="BU19" i="2"/>
  <c r="BT19" i="2"/>
  <c r="BM19" i="2"/>
  <c r="BG19" i="2"/>
  <c r="BA19" i="2"/>
  <c r="BN19" i="2" s="1"/>
  <c r="BQ19" i="2" s="1"/>
  <c r="AV19" i="2"/>
  <c r="AT19" i="2"/>
  <c r="AU19" i="2" s="1"/>
  <c r="AM19" i="2"/>
  <c r="AH19" i="2"/>
  <c r="AG19" i="2"/>
  <c r="AF19" i="2"/>
  <c r="Z19" i="2"/>
  <c r="Y19" i="2"/>
  <c r="X19" i="2"/>
  <c r="Q19" i="2"/>
  <c r="O19" i="2"/>
  <c r="L19" i="2"/>
  <c r="K19" i="2"/>
  <c r="BJ19" i="2" s="1"/>
  <c r="BL19" i="2" s="1"/>
  <c r="J19" i="2"/>
  <c r="I19" i="2" s="1"/>
  <c r="DJ18" i="2"/>
  <c r="DI18" i="2"/>
  <c r="DG18" i="2"/>
  <c r="DH18" i="2" s="1"/>
  <c r="BV18" i="2"/>
  <c r="BU18" i="2"/>
  <c r="BN18" i="2"/>
  <c r="BQ18" i="2" s="1"/>
  <c r="BM18" i="2"/>
  <c r="BI18" i="2"/>
  <c r="BG18" i="2"/>
  <c r="BA18" i="2"/>
  <c r="AV18" i="2"/>
  <c r="AT18" i="2" s="1"/>
  <c r="AM18" i="2"/>
  <c r="AH18" i="2"/>
  <c r="AF18" i="2"/>
  <c r="K18" i="2" s="1"/>
  <c r="BJ18" i="2" s="1"/>
  <c r="BL18" i="2" s="1"/>
  <c r="Z18" i="2"/>
  <c r="Y18" i="2"/>
  <c r="X18" i="2"/>
  <c r="T18" i="2"/>
  <c r="Q18" i="2"/>
  <c r="L18" i="2"/>
  <c r="DJ17" i="2"/>
  <c r="DI17" i="2"/>
  <c r="DG17" i="2"/>
  <c r="DH17" i="2" s="1"/>
  <c r="BI17" i="2" s="1"/>
  <c r="BK17" i="2" s="1"/>
  <c r="BV17" i="2"/>
  <c r="BU17" i="2"/>
  <c r="BT17" i="2"/>
  <c r="BM17" i="2"/>
  <c r="BG17" i="2"/>
  <c r="BA17" i="2"/>
  <c r="BN17" i="2" s="1"/>
  <c r="BQ17" i="2" s="1"/>
  <c r="AV17" i="2"/>
  <c r="AT17" i="2"/>
  <c r="AU17" i="2" s="1"/>
  <c r="AM17" i="2"/>
  <c r="AH17" i="2"/>
  <c r="AG17" i="2"/>
  <c r="AF17" i="2"/>
  <c r="K17" i="2" s="1"/>
  <c r="BJ17" i="2" s="1"/>
  <c r="BL17" i="2" s="1"/>
  <c r="Z17" i="2"/>
  <c r="Y17" i="2"/>
  <c r="X17" i="2"/>
  <c r="Q17" i="2"/>
  <c r="O17" i="2"/>
  <c r="L17" i="2"/>
  <c r="J17" i="2"/>
  <c r="I17" i="2" s="1"/>
  <c r="AB25" i="8" l="1"/>
  <c r="W27" i="8"/>
  <c r="AA27" i="8" s="1"/>
  <c r="AD27" i="8"/>
  <c r="W21" i="8"/>
  <c r="AA21" i="8" s="1"/>
  <c r="AD21" i="8"/>
  <c r="AD32" i="8"/>
  <c r="W32" i="8"/>
  <c r="AA32" i="8" s="1"/>
  <c r="AC32" i="8"/>
  <c r="AE20" i="8"/>
  <c r="AD24" i="8"/>
  <c r="AC24" i="8"/>
  <c r="W24" i="8"/>
  <c r="AA24" i="8" s="1"/>
  <c r="AB27" i="8"/>
  <c r="R27" i="8"/>
  <c r="P27" i="8" s="1"/>
  <c r="S27" i="8" s="1"/>
  <c r="M27" i="8" s="1"/>
  <c r="N27" i="8" s="1"/>
  <c r="U25" i="8"/>
  <c r="V25" i="8" s="1"/>
  <c r="AC21" i="8"/>
  <c r="AD28" i="8"/>
  <c r="W28" i="8"/>
  <c r="AA28" i="8" s="1"/>
  <c r="AC28" i="8"/>
  <c r="W19" i="8"/>
  <c r="AA19" i="8" s="1"/>
  <c r="AD19" i="8"/>
  <c r="R19" i="8"/>
  <c r="P19" i="8" s="1"/>
  <c r="S19" i="8" s="1"/>
  <c r="M19" i="8" s="1"/>
  <c r="N19" i="8" s="1"/>
  <c r="AC19" i="8"/>
  <c r="W31" i="8"/>
  <c r="AA31" i="8" s="1"/>
  <c r="AD31" i="8"/>
  <c r="AC27" i="8"/>
  <c r="W29" i="8"/>
  <c r="AA29" i="8" s="1"/>
  <c r="AD29" i="8"/>
  <c r="AE29" i="8" s="1"/>
  <c r="AB31" i="8"/>
  <c r="R31" i="8"/>
  <c r="P31" i="8" s="1"/>
  <c r="S31" i="8" s="1"/>
  <c r="M31" i="8" s="1"/>
  <c r="N31" i="8" s="1"/>
  <c r="AB23" i="8"/>
  <c r="R21" i="8"/>
  <c r="P21" i="8" s="1"/>
  <c r="S21" i="8" s="1"/>
  <c r="M21" i="8" s="1"/>
  <c r="N21" i="8" s="1"/>
  <c r="U23" i="8"/>
  <c r="V23" i="8" s="1"/>
  <c r="M29" i="8"/>
  <c r="N29" i="8" s="1"/>
  <c r="AC22" i="8"/>
  <c r="AD22" i="8"/>
  <c r="AE22" i="8" s="1"/>
  <c r="W22" i="8"/>
  <c r="AA22" i="8" s="1"/>
  <c r="R32" i="8"/>
  <c r="P32" i="8" s="1"/>
  <c r="S32" i="8" s="1"/>
  <c r="M32" i="8" s="1"/>
  <c r="N32" i="8" s="1"/>
  <c r="AD26" i="8"/>
  <c r="AE26" i="8" s="1"/>
  <c r="AC26" i="8"/>
  <c r="W26" i="8"/>
  <c r="AA26" i="8" s="1"/>
  <c r="AD30" i="8"/>
  <c r="AC30" i="8"/>
  <c r="W30" i="8"/>
  <c r="AA30" i="8" s="1"/>
  <c r="AC29" i="8"/>
  <c r="W22" i="7"/>
  <c r="AA22" i="7" s="1"/>
  <c r="AD22" i="7"/>
  <c r="AC22" i="7"/>
  <c r="W26" i="7"/>
  <c r="AA26" i="7" s="1"/>
  <c r="AD26" i="7"/>
  <c r="AC26" i="7"/>
  <c r="W20" i="7"/>
  <c r="AA20" i="7" s="1"/>
  <c r="AD20" i="7"/>
  <c r="BL20" i="7"/>
  <c r="AD25" i="7"/>
  <c r="W25" i="7"/>
  <c r="AA25" i="7" s="1"/>
  <c r="AC25" i="7"/>
  <c r="AB20" i="7"/>
  <c r="R20" i="7"/>
  <c r="P20" i="7" s="1"/>
  <c r="S20" i="7" s="1"/>
  <c r="M20" i="7" s="1"/>
  <c r="N20" i="7" s="1"/>
  <c r="AD29" i="7"/>
  <c r="AC29" i="7"/>
  <c r="W29" i="7"/>
  <c r="AA29" i="7" s="1"/>
  <c r="AD19" i="7"/>
  <c r="AC19" i="7"/>
  <c r="W19" i="7"/>
  <c r="AA19" i="7" s="1"/>
  <c r="BL24" i="7"/>
  <c r="R26" i="7"/>
  <c r="P26" i="7" s="1"/>
  <c r="S26" i="7" s="1"/>
  <c r="M26" i="7" s="1"/>
  <c r="N26" i="7" s="1"/>
  <c r="R22" i="7"/>
  <c r="P22" i="7" s="1"/>
  <c r="S22" i="7" s="1"/>
  <c r="M22" i="7" s="1"/>
  <c r="N22" i="7" s="1"/>
  <c r="AB28" i="7"/>
  <c r="AD23" i="7"/>
  <c r="AC23" i="7"/>
  <c r="W23" i="7"/>
  <c r="AA23" i="7" s="1"/>
  <c r="U28" i="7"/>
  <c r="V28" i="7" s="1"/>
  <c r="W17" i="7"/>
  <c r="AA17" i="7" s="1"/>
  <c r="AD17" i="7"/>
  <c r="AC17" i="7"/>
  <c r="U18" i="7"/>
  <c r="V18" i="7" s="1"/>
  <c r="AD27" i="7"/>
  <c r="W27" i="7"/>
  <c r="AA27" i="7" s="1"/>
  <c r="AC27" i="7"/>
  <c r="AD21" i="7"/>
  <c r="AC21" i="7"/>
  <c r="W21" i="7"/>
  <c r="AA21" i="7" s="1"/>
  <c r="W27" i="6"/>
  <c r="AA27" i="6" s="1"/>
  <c r="AD27" i="6"/>
  <c r="AC27" i="6"/>
  <c r="W24" i="6"/>
  <c r="AA24" i="6" s="1"/>
  <c r="AD24" i="6"/>
  <c r="AC24" i="6"/>
  <c r="W18" i="6"/>
  <c r="AA18" i="6" s="1"/>
  <c r="AD18" i="6"/>
  <c r="AC18" i="6"/>
  <c r="W23" i="6"/>
  <c r="AA23" i="6" s="1"/>
  <c r="AD23" i="6"/>
  <c r="AE23" i="6" s="1"/>
  <c r="AC23" i="6"/>
  <c r="W22" i="6"/>
  <c r="AA22" i="6" s="1"/>
  <c r="AC22" i="6"/>
  <c r="AD22" i="6"/>
  <c r="AE22" i="6" s="1"/>
  <c r="W21" i="6"/>
  <c r="AA21" i="6" s="1"/>
  <c r="AD21" i="6"/>
  <c r="AC21" i="6"/>
  <c r="BL28" i="6"/>
  <c r="BL24" i="6"/>
  <c r="BL22" i="6"/>
  <c r="R27" i="6"/>
  <c r="P27" i="6" s="1"/>
  <c r="S27" i="6" s="1"/>
  <c r="M27" i="6" s="1"/>
  <c r="N27" i="6" s="1"/>
  <c r="W28" i="6"/>
  <c r="AA28" i="6" s="1"/>
  <c r="AD28" i="6"/>
  <c r="AC28" i="6"/>
  <c r="W17" i="6"/>
  <c r="AA17" i="6" s="1"/>
  <c r="AD17" i="6"/>
  <c r="AC17" i="6"/>
  <c r="W26" i="6"/>
  <c r="AA26" i="6" s="1"/>
  <c r="AC26" i="6"/>
  <c r="AD26" i="6"/>
  <c r="AE26" i="6" s="1"/>
  <c r="AD19" i="6"/>
  <c r="AC19" i="6"/>
  <c r="W19" i="6"/>
  <c r="AA19" i="6" s="1"/>
  <c r="R26" i="6"/>
  <c r="P26" i="6" s="1"/>
  <c r="S26" i="6" s="1"/>
  <c r="M26" i="6" s="1"/>
  <c r="N26" i="6" s="1"/>
  <c r="W20" i="6"/>
  <c r="AA20" i="6" s="1"/>
  <c r="AD20" i="6"/>
  <c r="AC20" i="6"/>
  <c r="W26" i="5"/>
  <c r="AA26" i="5" s="1"/>
  <c r="AD26" i="5"/>
  <c r="AC26" i="5"/>
  <c r="AD25" i="5"/>
  <c r="W25" i="5"/>
  <c r="AA25" i="5" s="1"/>
  <c r="AC25" i="5"/>
  <c r="AD19" i="5"/>
  <c r="W19" i="5"/>
  <c r="AA19" i="5" s="1"/>
  <c r="AC19" i="5"/>
  <c r="BK18" i="5"/>
  <c r="AD27" i="5"/>
  <c r="W27" i="5"/>
  <c r="AA27" i="5" s="1"/>
  <c r="AC27" i="5"/>
  <c r="W18" i="5"/>
  <c r="AA18" i="5" s="1"/>
  <c r="AD18" i="5"/>
  <c r="AC18" i="5"/>
  <c r="W24" i="5"/>
  <c r="AA24" i="5" s="1"/>
  <c r="AD24" i="5"/>
  <c r="AE24" i="5" s="1"/>
  <c r="BK20" i="5"/>
  <c r="R18" i="5"/>
  <c r="P18" i="5" s="1"/>
  <c r="S18" i="5" s="1"/>
  <c r="M18" i="5" s="1"/>
  <c r="N18" i="5" s="1"/>
  <c r="U28" i="5"/>
  <c r="V28" i="5" s="1"/>
  <c r="W22" i="5"/>
  <c r="AA22" i="5" s="1"/>
  <c r="AD22" i="5"/>
  <c r="AE22" i="5" s="1"/>
  <c r="R22" i="5"/>
  <c r="P22" i="5" s="1"/>
  <c r="S22" i="5" s="1"/>
  <c r="M22" i="5" s="1"/>
  <c r="N22" i="5" s="1"/>
  <c r="BL22" i="5"/>
  <c r="U20" i="5"/>
  <c r="V20" i="5" s="1"/>
  <c r="R27" i="5"/>
  <c r="P27" i="5" s="1"/>
  <c r="S27" i="5" s="1"/>
  <c r="M27" i="5" s="1"/>
  <c r="N27" i="5" s="1"/>
  <c r="AD17" i="5"/>
  <c r="W17" i="5"/>
  <c r="AA17" i="5" s="1"/>
  <c r="AC17" i="5"/>
  <c r="AD21" i="5"/>
  <c r="AC21" i="5"/>
  <c r="W21" i="5"/>
  <c r="AA21" i="5" s="1"/>
  <c r="R17" i="5"/>
  <c r="P17" i="5" s="1"/>
  <c r="S17" i="5" s="1"/>
  <c r="M17" i="5" s="1"/>
  <c r="N17" i="5" s="1"/>
  <c r="AD17" i="3"/>
  <c r="W17" i="3"/>
  <c r="AA17" i="3" s="1"/>
  <c r="W20" i="3"/>
  <c r="AA20" i="3" s="1"/>
  <c r="AD20" i="3"/>
  <c r="AC20" i="3"/>
  <c r="AD29" i="3"/>
  <c r="W29" i="3"/>
  <c r="AA29" i="3" s="1"/>
  <c r="BK25" i="3"/>
  <c r="AB28" i="3"/>
  <c r="AD21" i="3"/>
  <c r="W21" i="3"/>
  <c r="AA21" i="3" s="1"/>
  <c r="BL22" i="3"/>
  <c r="W24" i="3"/>
  <c r="AA24" i="3" s="1"/>
  <c r="AC24" i="3"/>
  <c r="AD24" i="3"/>
  <c r="AE24" i="3" s="1"/>
  <c r="AB20" i="3"/>
  <c r="R20" i="3"/>
  <c r="P20" i="3" s="1"/>
  <c r="S20" i="3" s="1"/>
  <c r="M20" i="3" s="1"/>
  <c r="N20" i="3" s="1"/>
  <c r="BL24" i="3"/>
  <c r="BL26" i="3"/>
  <c r="U28" i="3"/>
  <c r="V28" i="3" s="1"/>
  <c r="R28" i="3" s="1"/>
  <c r="P28" i="3" s="1"/>
  <c r="S28" i="3" s="1"/>
  <c r="M28" i="3" s="1"/>
  <c r="N28" i="3" s="1"/>
  <c r="BL21" i="3"/>
  <c r="AD25" i="3"/>
  <c r="W25" i="3"/>
  <c r="AA25" i="3" s="1"/>
  <c r="BK21" i="3"/>
  <c r="AB24" i="3"/>
  <c r="R24" i="3"/>
  <c r="P24" i="3" s="1"/>
  <c r="S24" i="3" s="1"/>
  <c r="M24" i="3" s="1"/>
  <c r="N24" i="3" s="1"/>
  <c r="BL25" i="3"/>
  <c r="BL28" i="3"/>
  <c r="AB18" i="3"/>
  <c r="BL19" i="3"/>
  <c r="AB22" i="3"/>
  <c r="AC27" i="3"/>
  <c r="R25" i="3"/>
  <c r="P25" i="3" s="1"/>
  <c r="S25" i="3" s="1"/>
  <c r="M25" i="3" s="1"/>
  <c r="N25" i="3" s="1"/>
  <c r="AB25" i="3"/>
  <c r="R29" i="3"/>
  <c r="P29" i="3" s="1"/>
  <c r="S29" i="3" s="1"/>
  <c r="M29" i="3" s="1"/>
  <c r="N29" i="3" s="1"/>
  <c r="AB29" i="3"/>
  <c r="U19" i="3"/>
  <c r="V19" i="3" s="1"/>
  <c r="R19" i="3" s="1"/>
  <c r="P19" i="3" s="1"/>
  <c r="S19" i="3" s="1"/>
  <c r="M19" i="3" s="1"/>
  <c r="N19" i="3" s="1"/>
  <c r="AE20" i="3"/>
  <c r="U23" i="3"/>
  <c r="V23" i="3" s="1"/>
  <c r="AC23" i="3" s="1"/>
  <c r="U27" i="3"/>
  <c r="V27" i="3" s="1"/>
  <c r="BT17" i="3"/>
  <c r="BS17" i="3"/>
  <c r="BW17" i="3" s="1"/>
  <c r="BX17" i="3" s="1"/>
  <c r="BR17" i="3"/>
  <c r="BT21" i="3"/>
  <c r="BS21" i="3"/>
  <c r="BW21" i="3" s="1"/>
  <c r="BX21" i="3" s="1"/>
  <c r="BR21" i="3"/>
  <c r="BT25" i="3"/>
  <c r="BS25" i="3"/>
  <c r="BW25" i="3" s="1"/>
  <c r="BX25" i="3" s="1"/>
  <c r="BR25" i="3"/>
  <c r="BT29" i="3"/>
  <c r="BS29" i="3"/>
  <c r="BW29" i="3" s="1"/>
  <c r="BX29" i="3" s="1"/>
  <c r="BR29" i="3"/>
  <c r="BS18" i="3"/>
  <c r="BW18" i="3" s="1"/>
  <c r="BX18" i="3" s="1"/>
  <c r="BS22" i="3"/>
  <c r="BW22" i="3" s="1"/>
  <c r="BX22" i="3" s="1"/>
  <c r="BS26" i="3"/>
  <c r="BW26" i="3" s="1"/>
  <c r="BX26" i="3" s="1"/>
  <c r="BL23" i="3"/>
  <c r="AB26" i="3"/>
  <c r="R26" i="3"/>
  <c r="P26" i="3" s="1"/>
  <c r="S26" i="3" s="1"/>
  <c r="M26" i="3" s="1"/>
  <c r="N26" i="3" s="1"/>
  <c r="BL27" i="3"/>
  <c r="R17" i="3"/>
  <c r="P17" i="3" s="1"/>
  <c r="S17" i="3" s="1"/>
  <c r="M17" i="3" s="1"/>
  <c r="N17" i="3" s="1"/>
  <c r="AB17" i="3"/>
  <c r="R21" i="3"/>
  <c r="P21" i="3" s="1"/>
  <c r="S21" i="3" s="1"/>
  <c r="M21" i="3" s="1"/>
  <c r="N21" i="3" s="1"/>
  <c r="AB21" i="3"/>
  <c r="U18" i="3"/>
  <c r="V18" i="3" s="1"/>
  <c r="R18" i="3" s="1"/>
  <c r="P18" i="3" s="1"/>
  <c r="S18" i="3" s="1"/>
  <c r="M18" i="3" s="1"/>
  <c r="N18" i="3" s="1"/>
  <c r="U22" i="3"/>
  <c r="V22" i="3" s="1"/>
  <c r="U26" i="3"/>
  <c r="V26" i="3" s="1"/>
  <c r="O20" i="3"/>
  <c r="AU20" i="3"/>
  <c r="O24" i="3"/>
  <c r="AU24" i="3"/>
  <c r="AU28" i="3"/>
  <c r="O28" i="3"/>
  <c r="AC17" i="3"/>
  <c r="AC21" i="3"/>
  <c r="AC25" i="3"/>
  <c r="AC29" i="3"/>
  <c r="AB19" i="3"/>
  <c r="AB23" i="3"/>
  <c r="R27" i="3"/>
  <c r="P27" i="3" s="1"/>
  <c r="S27" i="3" s="1"/>
  <c r="M27" i="3" s="1"/>
  <c r="N27" i="3" s="1"/>
  <c r="AB27" i="3"/>
  <c r="BT19" i="3"/>
  <c r="BS19" i="3"/>
  <c r="BW19" i="3" s="1"/>
  <c r="BX19" i="3" s="1"/>
  <c r="BR19" i="3"/>
  <c r="BT23" i="3"/>
  <c r="BS23" i="3"/>
  <c r="BW23" i="3" s="1"/>
  <c r="BX23" i="3" s="1"/>
  <c r="BR23" i="3"/>
  <c r="BT27" i="3"/>
  <c r="BS27" i="3"/>
  <c r="BW27" i="3" s="1"/>
  <c r="BX27" i="3" s="1"/>
  <c r="BR27" i="3"/>
  <c r="BS20" i="3"/>
  <c r="BW20" i="3" s="1"/>
  <c r="BX20" i="3" s="1"/>
  <c r="BS24" i="3"/>
  <c r="BW24" i="3" s="1"/>
  <c r="BX24" i="3" s="1"/>
  <c r="BS28" i="3"/>
  <c r="BW28" i="3" s="1"/>
  <c r="BX28" i="3" s="1"/>
  <c r="AU18" i="3"/>
  <c r="O18" i="3"/>
  <c r="BT20" i="3"/>
  <c r="AU22" i="3"/>
  <c r="O22" i="3"/>
  <c r="BT24" i="3"/>
  <c r="AU26" i="3"/>
  <c r="O26" i="3"/>
  <c r="BT28" i="3"/>
  <c r="DH18" i="3"/>
  <c r="BI18" i="3" s="1"/>
  <c r="BK18" i="3" s="1"/>
  <c r="DH20" i="3"/>
  <c r="BI20" i="3" s="1"/>
  <c r="BK20" i="3" s="1"/>
  <c r="DH22" i="3"/>
  <c r="BI22" i="3" s="1"/>
  <c r="BK22" i="3" s="1"/>
  <c r="DH24" i="3"/>
  <c r="BI24" i="3" s="1"/>
  <c r="BK24" i="3" s="1"/>
  <c r="DH26" i="3"/>
  <c r="BI26" i="3" s="1"/>
  <c r="BK26" i="3" s="1"/>
  <c r="DH28" i="3"/>
  <c r="BI28" i="3" s="1"/>
  <c r="BK28" i="3" s="1"/>
  <c r="BR20" i="2"/>
  <c r="BT20" i="2"/>
  <c r="BS20" i="2"/>
  <c r="BW20" i="2" s="1"/>
  <c r="BX20" i="2" s="1"/>
  <c r="AB29" i="2"/>
  <c r="BS27" i="2"/>
  <c r="BW27" i="2" s="1"/>
  <c r="BX27" i="2" s="1"/>
  <c r="BR27" i="2"/>
  <c r="AU28" i="2"/>
  <c r="O28" i="2"/>
  <c r="AG28" i="2"/>
  <c r="J28" i="2" s="1"/>
  <c r="I28" i="2" s="1"/>
  <c r="BL26" i="2"/>
  <c r="BR18" i="2"/>
  <c r="BT18" i="2"/>
  <c r="BS18" i="2"/>
  <c r="BW18" i="2" s="1"/>
  <c r="BX18" i="2" s="1"/>
  <c r="BR22" i="2"/>
  <c r="BT22" i="2"/>
  <c r="BS22" i="2"/>
  <c r="BW22" i="2" s="1"/>
  <c r="BX22" i="2" s="1"/>
  <c r="BL24" i="2"/>
  <c r="BL27" i="2"/>
  <c r="BK28" i="2"/>
  <c r="AB27" i="2"/>
  <c r="BS19" i="2"/>
  <c r="BW19" i="2" s="1"/>
  <c r="BX19" i="2" s="1"/>
  <c r="BR19" i="2"/>
  <c r="BS23" i="2"/>
  <c r="BW23" i="2" s="1"/>
  <c r="BX23" i="2" s="1"/>
  <c r="BR23" i="2"/>
  <c r="AG24" i="2"/>
  <c r="J24" i="2" s="1"/>
  <c r="I24" i="2" s="1"/>
  <c r="AU24" i="2"/>
  <c r="O24" i="2"/>
  <c r="BT27" i="2"/>
  <c r="AG20" i="2"/>
  <c r="J20" i="2" s="1"/>
  <c r="I20" i="2" s="1"/>
  <c r="AU20" i="2"/>
  <c r="O20" i="2"/>
  <c r="BR28" i="2"/>
  <c r="BT28" i="2"/>
  <c r="BS28" i="2"/>
  <c r="BW28" i="2" s="1"/>
  <c r="BX28" i="2" s="1"/>
  <c r="BK24" i="2"/>
  <c r="BL20" i="2"/>
  <c r="BR24" i="2"/>
  <c r="BT24" i="2"/>
  <c r="BS24" i="2"/>
  <c r="BW24" i="2" s="1"/>
  <c r="BX24" i="2" s="1"/>
  <c r="BS25" i="2"/>
  <c r="BW25" i="2" s="1"/>
  <c r="BX25" i="2" s="1"/>
  <c r="BR25" i="2"/>
  <c r="BS21" i="2"/>
  <c r="BW21" i="2" s="1"/>
  <c r="BX21" i="2" s="1"/>
  <c r="BR21" i="2"/>
  <c r="L24" i="2"/>
  <c r="BK26" i="2"/>
  <c r="AU18" i="2"/>
  <c r="O18" i="2"/>
  <c r="AG18" i="2"/>
  <c r="J18" i="2" s="1"/>
  <c r="I18" i="2" s="1"/>
  <c r="AU22" i="2"/>
  <c r="O22" i="2"/>
  <c r="AG22" i="2"/>
  <c r="J22" i="2" s="1"/>
  <c r="I22" i="2" s="1"/>
  <c r="AB25" i="2"/>
  <c r="BS17" i="2"/>
  <c r="BW17" i="2" s="1"/>
  <c r="BX17" i="2" s="1"/>
  <c r="BR17" i="2"/>
  <c r="BT25" i="2"/>
  <c r="AB19" i="2"/>
  <c r="AB23" i="2"/>
  <c r="BS29" i="2"/>
  <c r="BW29" i="2" s="1"/>
  <c r="BX29" i="2" s="1"/>
  <c r="BR29" i="2"/>
  <c r="AG26" i="2"/>
  <c r="J26" i="2" s="1"/>
  <c r="I26" i="2" s="1"/>
  <c r="AU26" i="2"/>
  <c r="O26" i="2"/>
  <c r="AB17" i="2"/>
  <c r="BK18" i="2"/>
  <c r="AB21" i="2"/>
  <c r="BK22" i="2"/>
  <c r="BR26" i="2"/>
  <c r="BT26" i="2"/>
  <c r="BS26" i="2"/>
  <c r="BW26" i="2" s="1"/>
  <c r="BX26" i="2" s="1"/>
  <c r="AF28" i="2"/>
  <c r="K28" i="2" s="1"/>
  <c r="BJ28" i="2" s="1"/>
  <c r="BL28" i="2" s="1"/>
  <c r="T17" i="2"/>
  <c r="T19" i="2"/>
  <c r="T21" i="2"/>
  <c r="T23" i="2"/>
  <c r="T25" i="2"/>
  <c r="T27" i="2"/>
  <c r="T29" i="2"/>
  <c r="AE28" i="8" l="1"/>
  <c r="W25" i="8"/>
  <c r="AA25" i="8" s="1"/>
  <c r="AD25" i="8"/>
  <c r="AC25" i="8"/>
  <c r="AE31" i="8"/>
  <c r="AE27" i="8"/>
  <c r="AE24" i="8"/>
  <c r="AE32" i="8"/>
  <c r="AE21" i="8"/>
  <c r="AE19" i="8"/>
  <c r="R25" i="8"/>
  <c r="P25" i="8" s="1"/>
  <c r="S25" i="8" s="1"/>
  <c r="M25" i="8" s="1"/>
  <c r="N25" i="8" s="1"/>
  <c r="W23" i="8"/>
  <c r="AA23" i="8" s="1"/>
  <c r="AD23" i="8"/>
  <c r="AC23" i="8"/>
  <c r="R23" i="8"/>
  <c r="P23" i="8" s="1"/>
  <c r="S23" i="8" s="1"/>
  <c r="M23" i="8" s="1"/>
  <c r="N23" i="8" s="1"/>
  <c r="AE30" i="8"/>
  <c r="AE29" i="7"/>
  <c r="W18" i="7"/>
  <c r="AA18" i="7" s="1"/>
  <c r="AD18" i="7"/>
  <c r="R18" i="7"/>
  <c r="P18" i="7" s="1"/>
  <c r="S18" i="7" s="1"/>
  <c r="M18" i="7" s="1"/>
  <c r="N18" i="7" s="1"/>
  <c r="AC18" i="7"/>
  <c r="AE25" i="7"/>
  <c r="AE23" i="7"/>
  <c r="AE26" i="7"/>
  <c r="AE22" i="7"/>
  <c r="AE21" i="7"/>
  <c r="AE19" i="7"/>
  <c r="AE27" i="7"/>
  <c r="AE17" i="7"/>
  <c r="W28" i="7"/>
  <c r="AA28" i="7" s="1"/>
  <c r="AD28" i="7"/>
  <c r="AC28" i="7"/>
  <c r="AE20" i="7"/>
  <c r="R28" i="7"/>
  <c r="P28" i="7" s="1"/>
  <c r="S28" i="7" s="1"/>
  <c r="M28" i="7" s="1"/>
  <c r="N28" i="7" s="1"/>
  <c r="AE20" i="6"/>
  <c r="AE21" i="6"/>
  <c r="AE19" i="6"/>
  <c r="AE18" i="6"/>
  <c r="AE17" i="6"/>
  <c r="AE24" i="6"/>
  <c r="AE28" i="6"/>
  <c r="AE27" i="6"/>
  <c r="AE18" i="5"/>
  <c r="AE21" i="5"/>
  <c r="AE27" i="5"/>
  <c r="AE17" i="5"/>
  <c r="W20" i="5"/>
  <c r="AA20" i="5" s="1"/>
  <c r="AD20" i="5"/>
  <c r="AC20" i="5"/>
  <c r="R20" i="5"/>
  <c r="P20" i="5" s="1"/>
  <c r="S20" i="5" s="1"/>
  <c r="M20" i="5" s="1"/>
  <c r="N20" i="5" s="1"/>
  <c r="AE19" i="5"/>
  <c r="AE25" i="5"/>
  <c r="AE26" i="5"/>
  <c r="W28" i="5"/>
  <c r="AA28" i="5" s="1"/>
  <c r="AC28" i="5"/>
  <c r="AD28" i="5"/>
  <c r="AE28" i="5" s="1"/>
  <c r="R28" i="5"/>
  <c r="P28" i="5" s="1"/>
  <c r="S28" i="5" s="1"/>
  <c r="M28" i="5" s="1"/>
  <c r="N28" i="5" s="1"/>
  <c r="AD22" i="3"/>
  <c r="AC22" i="3"/>
  <c r="W22" i="3"/>
  <c r="AA22" i="3" s="1"/>
  <c r="AD18" i="3"/>
  <c r="AC18" i="3"/>
  <c r="W18" i="3"/>
  <c r="AA18" i="3" s="1"/>
  <c r="AE21" i="3"/>
  <c r="R23" i="3"/>
  <c r="P23" i="3" s="1"/>
  <c r="S23" i="3" s="1"/>
  <c r="M23" i="3" s="1"/>
  <c r="N23" i="3" s="1"/>
  <c r="AC19" i="3"/>
  <c r="AD27" i="3"/>
  <c r="AE27" i="3" s="1"/>
  <c r="W27" i="3"/>
  <c r="AA27" i="3" s="1"/>
  <c r="AD19" i="3"/>
  <c r="W19" i="3"/>
  <c r="AA19" i="3" s="1"/>
  <c r="W28" i="3"/>
  <c r="AA28" i="3" s="1"/>
  <c r="AC28" i="3"/>
  <c r="AD28" i="3"/>
  <c r="AE28" i="3" s="1"/>
  <c r="BL18" i="3"/>
  <c r="R22" i="3"/>
  <c r="P22" i="3" s="1"/>
  <c r="S22" i="3" s="1"/>
  <c r="M22" i="3" s="1"/>
  <c r="N22" i="3" s="1"/>
  <c r="AD23" i="3"/>
  <c r="AE23" i="3" s="1"/>
  <c r="W23" i="3"/>
  <c r="AA23" i="3" s="1"/>
  <c r="AE25" i="3"/>
  <c r="BL20" i="3"/>
  <c r="AE29" i="3"/>
  <c r="AD26" i="3"/>
  <c r="AC26" i="3"/>
  <c r="W26" i="3"/>
  <c r="AA26" i="3" s="1"/>
  <c r="AE17" i="3"/>
  <c r="U27" i="2"/>
  <c r="V27" i="2" s="1"/>
  <c r="U25" i="2"/>
  <c r="V25" i="2" s="1"/>
  <c r="AB26" i="2"/>
  <c r="AB18" i="2"/>
  <c r="U18" i="2"/>
  <c r="V18" i="2" s="1"/>
  <c r="U26" i="2"/>
  <c r="V26" i="2" s="1"/>
  <c r="R26" i="2" s="1"/>
  <c r="P26" i="2" s="1"/>
  <c r="S26" i="2" s="1"/>
  <c r="M26" i="2" s="1"/>
  <c r="N26" i="2" s="1"/>
  <c r="U23" i="2"/>
  <c r="V23" i="2" s="1"/>
  <c r="AB20" i="2"/>
  <c r="R20" i="2"/>
  <c r="P20" i="2" s="1"/>
  <c r="S20" i="2" s="1"/>
  <c r="M20" i="2" s="1"/>
  <c r="N20" i="2" s="1"/>
  <c r="U21" i="2"/>
  <c r="V21" i="2" s="1"/>
  <c r="U19" i="2"/>
  <c r="V19" i="2" s="1"/>
  <c r="U17" i="2"/>
  <c r="V17" i="2" s="1"/>
  <c r="AB28" i="2"/>
  <c r="U20" i="2"/>
  <c r="V20" i="2" s="1"/>
  <c r="AB24" i="2"/>
  <c r="U24" i="2"/>
  <c r="V24" i="2" s="1"/>
  <c r="U28" i="2"/>
  <c r="V28" i="2" s="1"/>
  <c r="AB22" i="2"/>
  <c r="U22" i="2"/>
  <c r="V22" i="2" s="1"/>
  <c r="R22" i="2" s="1"/>
  <c r="P22" i="2" s="1"/>
  <c r="S22" i="2" s="1"/>
  <c r="M22" i="2" s="1"/>
  <c r="N22" i="2" s="1"/>
  <c r="U29" i="2"/>
  <c r="V29" i="2" s="1"/>
  <c r="AE23" i="8" l="1"/>
  <c r="AE25" i="8"/>
  <c r="AE28" i="7"/>
  <c r="AE18" i="7"/>
  <c r="AE20" i="5"/>
  <c r="AE19" i="3"/>
  <c r="AE26" i="3"/>
  <c r="AE18" i="3"/>
  <c r="AE22" i="3"/>
  <c r="W29" i="2"/>
  <c r="AA29" i="2" s="1"/>
  <c r="AD29" i="2"/>
  <c r="AE29" i="2" s="1"/>
  <c r="AC29" i="2"/>
  <c r="R29" i="2"/>
  <c r="P29" i="2" s="1"/>
  <c r="S29" i="2" s="1"/>
  <c r="M29" i="2" s="1"/>
  <c r="N29" i="2" s="1"/>
  <c r="W17" i="2"/>
  <c r="AA17" i="2" s="1"/>
  <c r="AD17" i="2"/>
  <c r="R17" i="2"/>
  <c r="P17" i="2" s="1"/>
  <c r="S17" i="2" s="1"/>
  <c r="M17" i="2" s="1"/>
  <c r="N17" i="2" s="1"/>
  <c r="AC17" i="2"/>
  <c r="W21" i="2"/>
  <c r="AA21" i="2" s="1"/>
  <c r="AD21" i="2"/>
  <c r="AE21" i="2" s="1"/>
  <c r="R21" i="2"/>
  <c r="P21" i="2" s="1"/>
  <c r="S21" i="2" s="1"/>
  <c r="M21" i="2" s="1"/>
  <c r="N21" i="2" s="1"/>
  <c r="AC21" i="2"/>
  <c r="W23" i="2"/>
  <c r="AA23" i="2" s="1"/>
  <c r="AD23" i="2"/>
  <c r="AC23" i="2"/>
  <c r="R23" i="2"/>
  <c r="P23" i="2" s="1"/>
  <c r="S23" i="2" s="1"/>
  <c r="M23" i="2" s="1"/>
  <c r="N23" i="2" s="1"/>
  <c r="W18" i="2"/>
  <c r="AA18" i="2" s="1"/>
  <c r="AD18" i="2"/>
  <c r="AC18" i="2"/>
  <c r="W28" i="2"/>
  <c r="AA28" i="2" s="1"/>
  <c r="AD28" i="2"/>
  <c r="AE28" i="2" s="1"/>
  <c r="AC28" i="2"/>
  <c r="AD20" i="2"/>
  <c r="AC20" i="2"/>
  <c r="W20" i="2"/>
  <c r="AA20" i="2" s="1"/>
  <c r="W25" i="2"/>
  <c r="AA25" i="2" s="1"/>
  <c r="AD25" i="2"/>
  <c r="R25" i="2"/>
  <c r="P25" i="2" s="1"/>
  <c r="S25" i="2" s="1"/>
  <c r="M25" i="2" s="1"/>
  <c r="N25" i="2" s="1"/>
  <c r="AC25" i="2"/>
  <c r="W19" i="2"/>
  <c r="AA19" i="2" s="1"/>
  <c r="AD19" i="2"/>
  <c r="AE19" i="2" s="1"/>
  <c r="AC19" i="2"/>
  <c r="R19" i="2"/>
  <c r="P19" i="2" s="1"/>
  <c r="S19" i="2" s="1"/>
  <c r="M19" i="2" s="1"/>
  <c r="N19" i="2" s="1"/>
  <c r="W26" i="2"/>
  <c r="AA26" i="2" s="1"/>
  <c r="AD26" i="2"/>
  <c r="AC26" i="2"/>
  <c r="R28" i="2"/>
  <c r="P28" i="2" s="1"/>
  <c r="S28" i="2" s="1"/>
  <c r="M28" i="2" s="1"/>
  <c r="N28" i="2" s="1"/>
  <c r="W22" i="2"/>
  <c r="AA22" i="2" s="1"/>
  <c r="AD22" i="2"/>
  <c r="AC22" i="2"/>
  <c r="R18" i="2"/>
  <c r="P18" i="2" s="1"/>
  <c r="S18" i="2" s="1"/>
  <c r="M18" i="2" s="1"/>
  <c r="N18" i="2" s="1"/>
  <c r="W24" i="2"/>
  <c r="AA24" i="2" s="1"/>
  <c r="AD24" i="2"/>
  <c r="AC24" i="2"/>
  <c r="R24" i="2"/>
  <c r="P24" i="2" s="1"/>
  <c r="S24" i="2" s="1"/>
  <c r="M24" i="2" s="1"/>
  <c r="N24" i="2" s="1"/>
  <c r="W27" i="2"/>
  <c r="AA27" i="2" s="1"/>
  <c r="AD27" i="2"/>
  <c r="R27" i="2"/>
  <c r="P27" i="2" s="1"/>
  <c r="S27" i="2" s="1"/>
  <c r="M27" i="2" s="1"/>
  <c r="N27" i="2" s="1"/>
  <c r="AC27" i="2"/>
  <c r="AE26" i="2" l="1"/>
  <c r="AE23" i="2"/>
  <c r="AE22" i="2"/>
  <c r="AE27" i="2"/>
  <c r="AE17" i="2"/>
  <c r="AE24" i="2"/>
  <c r="AE20" i="2"/>
  <c r="AE18" i="2"/>
  <c r="AE25" i="2"/>
</calcChain>
</file>

<file path=xl/sharedStrings.xml><?xml version="1.0" encoding="utf-8"?>
<sst xmlns="http://schemas.openxmlformats.org/spreadsheetml/2006/main" count="6248" uniqueCount="742">
  <si>
    <t>SysConst</t>
  </si>
  <si>
    <t>AvgTime</t>
  </si>
  <si>
    <t>Oxygen</t>
  </si>
  <si>
    <t>0.5</t>
  </si>
  <si>
    <t>21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</si>
  <si>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</si>
  <si>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</si>
  <si>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</si>
  <si>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</si>
  <si>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</si>
  <si>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</si>
  <si>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</si>
  <si>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</si>
  <si>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</si>
  <si>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</si>
  <si>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</si>
  <si>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</si>
  <si>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</si>
  <si>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</si>
  <si>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</si>
  <si>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</si>
  <si>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</si>
  <si>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</si>
  <si>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</si>
  <si>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</si>
  <si>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</si>
  <si>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</si>
  <si>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</si>
  <si>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</si>
  <si>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</si>
  <si>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</si>
  <si>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</si>
  <si>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</si>
  <si>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</si>
  <si>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</si>
  <si>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</si>
  <si>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</si>
  <si>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</si>
  <si>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</si>
  <si>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</si>
  <si>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</si>
  <si>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</si>
  <si>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</si>
  <si>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</si>
  <si>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</si>
  <si>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</si>
  <si>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</si>
  <si>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</si>
  <si>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</si>
  <si>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</si>
  <si>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</si>
  <si>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</si>
  <si>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</si>
  <si>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</si>
  <si>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</si>
  <si>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</si>
  <si>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</si>
  <si>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</si>
  <si>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</si>
  <si>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</si>
  <si>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</si>
  <si>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</si>
  <si>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</si>
  <si>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</si>
  <si>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</si>
  <si>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</si>
  <si>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</si>
  <si>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</si>
  <si>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</si>
  <si>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</si>
  <si>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</si>
  <si>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</si>
  <si>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</si>
  <si>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</si>
  <si>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</si>
  <si>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</si>
  <si>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</si>
  <si>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</si>
  <si>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</si>
  <si>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</si>
  <si>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</si>
  <si>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</si>
  <si>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</si>
  <si>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</si>
  <si>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</si>
  <si>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</si>
  <si>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</si>
  <si>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</si>
  <si>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</si>
  <si>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</si>
  <si>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</si>
  <si>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</si>
  <si>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</si>
  <si>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</si>
  <si>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</si>
  <si>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</si>
  <si>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</si>
  <si>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</si>
  <si>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</si>
  <si>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</si>
  <si>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</si>
  <si>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</si>
  <si>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</si>
  <si>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</si>
  <si>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</si>
  <si>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</si>
  <si>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</si>
  <si>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</si>
  <si>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</si>
  <si>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</si>
  <si>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</si>
  <si>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</si>
  <si>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</si>
  <si>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</si>
  <si>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</si>
  <si>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</si>
  <si>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</si>
  <si>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</si>
  <si>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</si>
  <si>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</si>
  <si>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</si>
  <si>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</si>
  <si>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</si>
  <si>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</si>
  <si>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</si>
  <si>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</si>
  <si>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</si>
  <si>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</si>
  <si>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</si>
  <si>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</si>
  <si>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</si>
  <si>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</si>
  <si>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</si>
  <si>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</si>
  <si>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</si>
  <si>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</si>
  <si>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</si>
  <si>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</si>
  <si>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</si>
  <si>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</si>
  <si>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</si>
  <si>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</si>
  <si>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</si>
  <si>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</si>
  <si>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</si>
  <si>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</si>
  <si>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</si>
  <si>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</si>
  <si>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</si>
  <si>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</si>
  <si>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</si>
  <si>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</si>
  <si>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</si>
  <si>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</si>
  <si>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</si>
  <si>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</si>
  <si>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</si>
  <si>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</si>
  <si>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</si>
  <si>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</si>
  <si>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</si>
  <si>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</si>
  <si>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</si>
  <si>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</si>
  <si>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</si>
  <si>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</si>
  <si>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</si>
  <si>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</si>
  <si>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</si>
  <si>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</si>
  <si>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</si>
  <si>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</si>
  <si>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</si>
  <si>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</si>
  <si>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</si>
  <si>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</si>
  <si>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</si>
  <si>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</si>
  <si>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</si>
  <si>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</si>
  <si>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</si>
  <si>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</si>
  <si>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</si>
  <si>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</si>
  <si>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</si>
  <si>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</si>
  <si>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</si>
  <si>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</si>
  <si>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</si>
  <si>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</si>
  <si>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</si>
  <si>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</si>
  <si>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</si>
  <si>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</si>
  <si>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</si>
  <si>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</si>
  <si>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</si>
  <si>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</si>
  <si>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</si>
  <si>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</si>
  <si>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</si>
  <si>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</si>
  <si>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</si>
  <si>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</si>
  <si>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</si>
  <si>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</si>
  <si>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</si>
  <si>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</si>
  <si>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</si>
  <si>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</si>
  <si>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</si>
  <si>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</si>
  <si>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</si>
  <si>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</si>
  <si>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</si>
  <si>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</si>
  <si>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</si>
  <si>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</si>
  <si>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</si>
  <si>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</si>
  <si>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</si>
  <si>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</si>
  <si>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</si>
  <si>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</si>
  <si>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</si>
  <si>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</si>
  <si>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</si>
  <si>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</si>
  <si>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</si>
  <si>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</si>
  <si>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</si>
  <si>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</si>
  <si>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</si>
  <si>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</si>
  <si>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</si>
  <si>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</si>
  <si>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</si>
  <si>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</si>
  <si>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</si>
  <si>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</si>
  <si>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</si>
  <si>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</si>
  <si>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</si>
  <si>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</si>
  <si>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</si>
  <si>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</si>
  <si>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</si>
  <si>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</si>
  <si>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</si>
  <si>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</si>
  <si>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</si>
  <si>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</si>
  <si>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</si>
  <si>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</si>
  <si>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</si>
  <si>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</si>
  <si>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</si>
  <si>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</si>
  <si>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</si>
  <si>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</si>
  <si>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</si>
  <si>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</si>
  <si>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</si>
  <si>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</si>
  <si>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</si>
  <si>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</si>
  <si>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</si>
  <si>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</si>
  <si>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</si>
  <si>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</si>
  <si>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</si>
  <si>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</si>
  <si>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</si>
  <si>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</si>
  <si>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</si>
  <si>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</si>
  <si>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</si>
  <si>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</si>
  <si>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</si>
  <si>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</si>
  <si>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</si>
  <si>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</si>
  <si>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</si>
  <si>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</si>
  <si>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</si>
  <si>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</si>
  <si>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</si>
  <si>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</si>
  <si>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</si>
  <si>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</si>
  <si>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</si>
  <si>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</si>
  <si>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</si>
  <si>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</si>
  <si>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</si>
  <si>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</si>
  <si>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</si>
  <si>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</si>
  <si>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</si>
  <si>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</si>
  <si>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</si>
  <si>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</si>
  <si>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</si>
  <si>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</si>
  <si>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</si>
  <si>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</si>
  <si>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</si>
  <si>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</si>
  <si>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</si>
  <si>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</si>
  <si>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</si>
  <si>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</si>
  <si>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</si>
  <si>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</si>
  <si>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</si>
  <si>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</si>
  <si>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</si>
  <si>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</si>
  <si>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</si>
  <si>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</si>
  <si>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</si>
  <si>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</si>
  <si>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</si>
  <si>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</si>
  <si>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</si>
  <si>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</si>
  <si>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</si>
  <si>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</si>
  <si>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</si>
  <si>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</si>
  <si>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</si>
  <si>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</si>
  <si>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</si>
  <si>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</si>
  <si>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</si>
  <si>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</si>
  <si>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</si>
  <si>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</si>
  <si>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</si>
  <si>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</si>
  <si>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</si>
  <si>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</si>
  <si>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</si>
  <si>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</si>
  <si>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</si>
  <si>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</si>
  <si>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</si>
  <si>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</si>
  <si>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</si>
  <si>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</si>
  <si>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</si>
  <si>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</si>
  <si>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</si>
  <si>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</si>
  <si>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</si>
  <si>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</si>
  <si>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</si>
  <si>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</si>
  <si>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</si>
  <si>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</si>
  <si>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</si>
  <si>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</si>
  <si>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</si>
  <si>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</si>
  <si>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</si>
  <si>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</si>
  <si>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</si>
  <si>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</si>
  <si>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</si>
  <si>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</si>
  <si>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</si>
  <si>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</si>
  <si>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</si>
  <si>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</si>
  <si>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</si>
  <si>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</si>
  <si>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</si>
  <si>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</si>
  <si>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</si>
  <si>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</si>
  <si>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</si>
  <si>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</si>
  <si>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</si>
  <si>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</si>
  <si>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</si>
  <si>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</si>
  <si>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</si>
  <si>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</si>
  <si>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</si>
  <si>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</si>
  <si>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</si>
  <si>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</si>
  <si>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</si>
  <si>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</si>
  <si>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</si>
  <si>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</si>
  <si>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</si>
  <si>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</si>
  <si>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</si>
  <si>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</si>
  <si>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</si>
  <si>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</si>
  <si>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</si>
  <si>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</si>
  <si>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2/2</t>
  </si>
  <si>
    <t>00000000</t>
  </si>
  <si>
    <t>iiiiiiii</t>
  </si>
  <si>
    <t>off</t>
  </si>
  <si>
    <t>on</t>
  </si>
  <si>
    <t>1/2</t>
  </si>
  <si>
    <t>3.19981 220.765 377.674 612.978 890.041 1101.17 1264.19 1374.88</t>
  </si>
  <si>
    <t>-0.414132 225.435 384.023 589.508 807.097 1005.17 1200.86 1401.25</t>
  </si>
  <si>
    <t>20260725 11:34:33</t>
  </si>
  <si>
    <t>11:34:33</t>
  </si>
  <si>
    <t>RECT-4643-20260725-10_52_09</t>
  </si>
  <si>
    <t>RECT-4644-20260725-11_34_09</t>
  </si>
  <si>
    <t>11:32:40</t>
  </si>
  <si>
    <t>20260725 11:37:34</t>
  </si>
  <si>
    <t>11:37:34</t>
  </si>
  <si>
    <t>RECT-4645-20260725-11_37_11</t>
  </si>
  <si>
    <t>11:36:11</t>
  </si>
  <si>
    <t>20260725 11:40:36</t>
  </si>
  <si>
    <t>11:40:36</t>
  </si>
  <si>
    <t>RECT-4646-20260725-11_40_12</t>
  </si>
  <si>
    <t>11:38:35</t>
  </si>
  <si>
    <t>20260725 11:43:37</t>
  </si>
  <si>
    <t>11:43:37</t>
  </si>
  <si>
    <t>RECT-4647-20260725-11_43_14</t>
  </si>
  <si>
    <t>11:41:35</t>
  </si>
  <si>
    <t>20260725 11:46:39</t>
  </si>
  <si>
    <t>11:46:39</t>
  </si>
  <si>
    <t>RECT-4648-20260725-11_46_15</t>
  </si>
  <si>
    <t>11:45:08</t>
  </si>
  <si>
    <t>20260725 11:49:40</t>
  </si>
  <si>
    <t>11:49:40</t>
  </si>
  <si>
    <t>RECT-4649-20260725-11_49_17</t>
  </si>
  <si>
    <t>11:48:29</t>
  </si>
  <si>
    <t>20260725 11:52:42</t>
  </si>
  <si>
    <t>11:52:42</t>
  </si>
  <si>
    <t>RECT-4650-20260725-11_52_18</t>
  </si>
  <si>
    <t>11:51:15</t>
  </si>
  <si>
    <t>20260725 11:55:43</t>
  </si>
  <si>
    <t>11:55:43</t>
  </si>
  <si>
    <t>RECT-4651-20260725-11_55_20</t>
  </si>
  <si>
    <t>11:54:34</t>
  </si>
  <si>
    <t>20260725 11:58:45</t>
  </si>
  <si>
    <t>11:58:45</t>
  </si>
  <si>
    <t>RECT-4652-20260725-11_58_21</t>
  </si>
  <si>
    <t>11:57:18</t>
  </si>
  <si>
    <t>20260725 12:01:46</t>
  </si>
  <si>
    <t>12:01:46</t>
  </si>
  <si>
    <t>RECT-4653-20260725-12_01_23</t>
  </si>
  <si>
    <t>12:00:37</t>
  </si>
  <si>
    <t>20260725 12:04:48</t>
  </si>
  <si>
    <t>12:04:48</t>
  </si>
  <si>
    <t>RECT-4654-20260725-12_04_25</t>
  </si>
  <si>
    <t>12:03:28</t>
  </si>
  <si>
    <t>20260725 12:07:49</t>
  </si>
  <si>
    <t>12:07:49</t>
  </si>
  <si>
    <t>RECT-4655-20260725-12_07_26</t>
  </si>
  <si>
    <t>12:08:09</t>
  </si>
  <si>
    <t>20260725 12:11:10</t>
  </si>
  <si>
    <t>12:11:10</t>
  </si>
  <si>
    <t>RECT-4656-20260725-12_10_47</t>
  </si>
  <si>
    <t>12:11:29</t>
  </si>
  <si>
    <t>20260725 12:45:08</t>
  </si>
  <si>
    <t>12:45:08</t>
  </si>
  <si>
    <t>RECT-4657-20260725-12_44_45</t>
  </si>
  <si>
    <t>12:43:01</t>
  </si>
  <si>
    <t>20260725 12:48:09</t>
  </si>
  <si>
    <t>12:48:09</t>
  </si>
  <si>
    <t>RECT-4658-20260725-12_47_46</t>
  </si>
  <si>
    <t>12:46:17</t>
  </si>
  <si>
    <t>20260725 12:51:11</t>
  </si>
  <si>
    <t>12:51:11</t>
  </si>
  <si>
    <t>RECT-4659-20260725-12_50_48</t>
  </si>
  <si>
    <t>12:49:09</t>
  </si>
  <si>
    <t>20260725 12:54:12</t>
  </si>
  <si>
    <t>12:54:12</t>
  </si>
  <si>
    <t>RECT-4660-20260725-12_53_49</t>
  </si>
  <si>
    <t>12:52:22</t>
  </si>
  <si>
    <t>20260725 12:57:14</t>
  </si>
  <si>
    <t>12:57:14</t>
  </si>
  <si>
    <t>RECT-4661-20260725-12_56_51</t>
  </si>
  <si>
    <t>12:55:50</t>
  </si>
  <si>
    <t>20260725 13:00:15</t>
  </si>
  <si>
    <t>13:00:15</t>
  </si>
  <si>
    <t>RECT-4662-20260725-12_59_52</t>
  </si>
  <si>
    <t>12:58:47</t>
  </si>
  <si>
    <t>20260725 13:03:17</t>
  </si>
  <si>
    <t>13:03:17</t>
  </si>
  <si>
    <t>RECT-4663-20260725-13_02_54</t>
  </si>
  <si>
    <t>13:02:32</t>
  </si>
  <si>
    <t>20260725 13:06:18</t>
  </si>
  <si>
    <t>13:06:18</t>
  </si>
  <si>
    <t>RECT-4664-20260725-13_05_55</t>
  </si>
  <si>
    <t>13:05:34</t>
  </si>
  <si>
    <t>20260725 13:09:20</t>
  </si>
  <si>
    <t>13:09:20</t>
  </si>
  <si>
    <t>RECT-4665-20260725-13_08_57</t>
  </si>
  <si>
    <t>13:09:44</t>
  </si>
  <si>
    <t>20260725 13:12:45</t>
  </si>
  <si>
    <t>13:12:45</t>
  </si>
  <si>
    <t>RECT-4666-20260725-13_12_22</t>
  </si>
  <si>
    <t>13:11:38</t>
  </si>
  <si>
    <t>20260725 13:15:46</t>
  </si>
  <si>
    <t>13:15:46</t>
  </si>
  <si>
    <t>RECT-4667-20260725-13_15_23</t>
  </si>
  <si>
    <t>13:16:05</t>
  </si>
  <si>
    <t>20260725 13:19:06</t>
  </si>
  <si>
    <t>13:19:06</t>
  </si>
  <si>
    <t>RECT-4668-20260725-13_18_43</t>
  </si>
  <si>
    <t>13:17:35</t>
  </si>
  <si>
    <t>20260725 13:22:08</t>
  </si>
  <si>
    <t>13:22:08</t>
  </si>
  <si>
    <t>RECT-4669-20260725-13_21_45</t>
  </si>
  <si>
    <t>13:22:27</t>
  </si>
  <si>
    <t>10.2394 223.627 406.312 656.676 914.891 1117.77 1272.39 1378.06</t>
  </si>
  <si>
    <t>1.59907 214.975 384.082 597.546 804.751 1004.44 1200.49 1401.46</t>
  </si>
  <si>
    <t>20260727 09:24:53</t>
  </si>
  <si>
    <t>09:24:53</t>
  </si>
  <si>
    <t>RECT-4670-20260727-09_24_27</t>
  </si>
  <si>
    <t>09:23:04</t>
  </si>
  <si>
    <t>20260727 09:27:55</t>
  </si>
  <si>
    <t>09:27:55</t>
  </si>
  <si>
    <t>RECT-4671-20260727-09_27_29</t>
  </si>
  <si>
    <t>09:26:00</t>
  </si>
  <si>
    <t>20260727 09:30:56</t>
  </si>
  <si>
    <t>09:30:56</t>
  </si>
  <si>
    <t>RECT-4672-20260727-09_30_30</t>
  </si>
  <si>
    <t>09:28:53</t>
  </si>
  <si>
    <t>20260727 09:33:58</t>
  </si>
  <si>
    <t>09:33:58</t>
  </si>
  <si>
    <t>RECT-4673-20260727-09_33_32</t>
  </si>
  <si>
    <t>09:32:14</t>
  </si>
  <si>
    <t>20260727 09:36:59</t>
  </si>
  <si>
    <t>09:36:59</t>
  </si>
  <si>
    <t>RECT-4674-20260727-09_36_33</t>
  </si>
  <si>
    <t>09:35:38</t>
  </si>
  <si>
    <t>20260727 09:40:01</t>
  </si>
  <si>
    <t>09:40:01</t>
  </si>
  <si>
    <t>RECT-4675-20260727-09_39_35</t>
  </si>
  <si>
    <t>09:38:46</t>
  </si>
  <si>
    <t>20260727 09:43:02</t>
  </si>
  <si>
    <t>09:43:02</t>
  </si>
  <si>
    <t>RECT-4676-20260727-09_42_36</t>
  </si>
  <si>
    <t>09:41:44</t>
  </si>
  <si>
    <t>20260727 09:46:04</t>
  </si>
  <si>
    <t>09:46:04</t>
  </si>
  <si>
    <t>RECT-4677-20260727-09_45_38</t>
  </si>
  <si>
    <t>09:45:04</t>
  </si>
  <si>
    <t>20260727 09:49:05</t>
  </si>
  <si>
    <t>09:49:05</t>
  </si>
  <si>
    <t>RECT-4678-20260727-09_48_39</t>
  </si>
  <si>
    <t>09:48:14</t>
  </si>
  <si>
    <t>20260727 09:52:07</t>
  </si>
  <si>
    <t>09:52:07</t>
  </si>
  <si>
    <t>RECT-4679-20260727-09_51_41</t>
  </si>
  <si>
    <t>09:50:38</t>
  </si>
  <si>
    <t>20260727 09:55:08</t>
  </si>
  <si>
    <t>09:55:08</t>
  </si>
  <si>
    <t>RECT-4680-20260727-09_54_42</t>
  </si>
  <si>
    <t>09:53:45</t>
  </si>
  <si>
    <t>20260727 09:58:10</t>
  </si>
  <si>
    <t>09:58:10</t>
  </si>
  <si>
    <t>RECT-4681-20260727-09_57_44</t>
  </si>
  <si>
    <t>09:56:39</t>
  </si>
  <si>
    <t>20260727 10:01:11</t>
  </si>
  <si>
    <t>10:01:11</t>
  </si>
  <si>
    <t>RECT-4682-20260727-10_00_45</t>
  </si>
  <si>
    <t>10:01:40</t>
  </si>
  <si>
    <t>20260727 10:22:30</t>
  </si>
  <si>
    <t>10:22:30</t>
  </si>
  <si>
    <t>RECT-4683-20260727-10_22_04</t>
  </si>
  <si>
    <t>10:20:39</t>
  </si>
  <si>
    <t>20260727 10:25:32</t>
  </si>
  <si>
    <t>10:25:32</t>
  </si>
  <si>
    <t>RECT-4684-20260727-10_25_06</t>
  </si>
  <si>
    <t>10:23:58</t>
  </si>
  <si>
    <t>20260727 10:28:33</t>
  </si>
  <si>
    <t>10:28:33</t>
  </si>
  <si>
    <t>RECT-4685-20260727-10_28_07</t>
  </si>
  <si>
    <t>10:26:27</t>
  </si>
  <si>
    <t>20260727 10:31:35</t>
  </si>
  <si>
    <t>10:31:35</t>
  </si>
  <si>
    <t>RECT-4686-20260727-10_31_09</t>
  </si>
  <si>
    <t>10:29:44</t>
  </si>
  <si>
    <t>20260727 10:34:36</t>
  </si>
  <si>
    <t>10:34:36</t>
  </si>
  <si>
    <t>RECT-4687-20260727-10_34_10</t>
  </si>
  <si>
    <t>10:33:00</t>
  </si>
  <si>
    <t>20260727 10:37:38</t>
  </si>
  <si>
    <t>10:37:38</t>
  </si>
  <si>
    <t>RECT-4688-20260727-10_37_12</t>
  </si>
  <si>
    <t>10:35:40</t>
  </si>
  <si>
    <t>20260727 10:40:39</t>
  </si>
  <si>
    <t>10:40:39</t>
  </si>
  <si>
    <t>RECT-4689-20260727-10_40_13</t>
  </si>
  <si>
    <t>10:38:46</t>
  </si>
  <si>
    <t>20260727 10:43:41</t>
  </si>
  <si>
    <t>10:43:41</t>
  </si>
  <si>
    <t>RECT-4690-20260727-10_43_15</t>
  </si>
  <si>
    <t>10:41:47</t>
  </si>
  <si>
    <t>20260727 10:46:42</t>
  </si>
  <si>
    <t>10:46:42</t>
  </si>
  <si>
    <t>RECT-4691-20260727-10_46_16</t>
  </si>
  <si>
    <t>10:44:36</t>
  </si>
  <si>
    <t>20260727 10:49:44</t>
  </si>
  <si>
    <t>10:49:44</t>
  </si>
  <si>
    <t>RECT-4692-20260727-10_49_18</t>
  </si>
  <si>
    <t>10:47:39</t>
  </si>
  <si>
    <t>20260727 10:52:45</t>
  </si>
  <si>
    <t>10:52:45</t>
  </si>
  <si>
    <t>RECT-4693-20260727-10_52_19</t>
  </si>
  <si>
    <t>10:50:31</t>
  </si>
  <si>
    <t>20260727 10:55:47</t>
  </si>
  <si>
    <t>10:55:47</t>
  </si>
  <si>
    <t>RECT-4694-20260727-10_55_21</t>
  </si>
  <si>
    <t>10:53:31</t>
  </si>
  <si>
    <t>20260727 10:58:48</t>
  </si>
  <si>
    <t>10:58:48</t>
  </si>
  <si>
    <t>RECT-4695-20260727-10_58_22</t>
  </si>
  <si>
    <t>10:56:36</t>
  </si>
  <si>
    <t>6.64088 222.501 388.49 632.74 899.399 1104.51 1261.85 1384.36</t>
  </si>
  <si>
    <t>-0.0624733 220.664 383.856 594.041 805.783 1004.45 1201.29 1400.9</t>
  </si>
  <si>
    <t>20260728 11:12:01</t>
  </si>
  <si>
    <t>11:12:01</t>
  </si>
  <si>
    <t>RECT-4724-20260728-10_43_12</t>
  </si>
  <si>
    <t>RECT-4725-20260728-11_11_35</t>
  </si>
  <si>
    <t>11:10:06</t>
  </si>
  <si>
    <t>20260728 11:15:03</t>
  </si>
  <si>
    <t>11:15:03</t>
  </si>
  <si>
    <t>RECT-4726-20260728-11_14_37</t>
  </si>
  <si>
    <t>11:13:00</t>
  </si>
  <si>
    <t>20260728 11:18:04</t>
  </si>
  <si>
    <t>11:18:04</t>
  </si>
  <si>
    <t>RECT-4727-20260728-11_17_38</t>
  </si>
  <si>
    <t>11:15:57</t>
  </si>
  <si>
    <t>20260728 11:21:06</t>
  </si>
  <si>
    <t>11:21:06</t>
  </si>
  <si>
    <t>RECT-4728-20260728-11_20_40</t>
  </si>
  <si>
    <t>11:19:09</t>
  </si>
  <si>
    <t>20260728 11:24:07</t>
  </si>
  <si>
    <t>11:24:07</t>
  </si>
  <si>
    <t>RECT-4729-20260728-11_23_41</t>
  </si>
  <si>
    <t>11:22:03</t>
  </si>
  <si>
    <t>20260728 11:27:09</t>
  </si>
  <si>
    <t>11:27:09</t>
  </si>
  <si>
    <t>RECT-4730-20260728-11_26_43</t>
  </si>
  <si>
    <t>11:25:01</t>
  </si>
  <si>
    <t>20260728 11:30:10</t>
  </si>
  <si>
    <t>11:30:10</t>
  </si>
  <si>
    <t>RECT-4731-20260728-11_29_44</t>
  </si>
  <si>
    <t>11:28:07</t>
  </si>
  <si>
    <t>20260728 11:33:12</t>
  </si>
  <si>
    <t>11:33:12</t>
  </si>
  <si>
    <t>RECT-4732-20260728-11_32_46</t>
  </si>
  <si>
    <t>11:31:05</t>
  </si>
  <si>
    <t>20260728 11:36:13</t>
  </si>
  <si>
    <t>11:36:13</t>
  </si>
  <si>
    <t>RECT-4733-20260728-11_35_47</t>
  </si>
  <si>
    <t>11:34:11</t>
  </si>
  <si>
    <t>20260728 11:39:15</t>
  </si>
  <si>
    <t>11:39:15</t>
  </si>
  <si>
    <t>RECT-4734-20260728-11_38_49</t>
  </si>
  <si>
    <t>11:37:08</t>
  </si>
  <si>
    <t>20260728 11:42:17</t>
  </si>
  <si>
    <t>11:42:17</t>
  </si>
  <si>
    <t>RECT-4735-20260728-11_41_51</t>
  </si>
  <si>
    <t>11:40:18</t>
  </si>
  <si>
    <t>20260728 11:45:18</t>
  </si>
  <si>
    <t>11:45:18</t>
  </si>
  <si>
    <t>RECT-4736-20260728-11_44_52</t>
  </si>
  <si>
    <t>11:43:08</t>
  </si>
  <si>
    <t>20260728 11:48:20</t>
  </si>
  <si>
    <t>11:48:20</t>
  </si>
  <si>
    <t>RECT-4737-20260728-11_47_54</t>
  </si>
  <si>
    <t>11:46:04</t>
  </si>
  <si>
    <t>20260728 09:57:52</t>
  </si>
  <si>
    <t>09:57:52</t>
  </si>
  <si>
    <t>RECT-4708-20260727-11_51_08</t>
  </si>
  <si>
    <t>RECT-4709-20260728-09_57_25</t>
  </si>
  <si>
    <t>09:55:46</t>
  </si>
  <si>
    <t>20260728 10:00:53</t>
  </si>
  <si>
    <t>10:00:53</t>
  </si>
  <si>
    <t>RECT-4710-20260728-10_00_27</t>
  </si>
  <si>
    <t>09:58:44</t>
  </si>
  <si>
    <t>20260728 10:03:55</t>
  </si>
  <si>
    <t>10:03:55</t>
  </si>
  <si>
    <t>RECT-4711-20260728-10_03_28</t>
  </si>
  <si>
    <t>10:02:00</t>
  </si>
  <si>
    <t>20260728 10:07:20</t>
  </si>
  <si>
    <t>10:07:20</t>
  </si>
  <si>
    <t>RECT-4712-20260728-10_06_53</t>
  </si>
  <si>
    <t>10:05:11</t>
  </si>
  <si>
    <t>20260728 10:10:21</t>
  </si>
  <si>
    <t>10:10:21</t>
  </si>
  <si>
    <t>RECT-4713-20260728-10_09_55</t>
  </si>
  <si>
    <t>10:08:11</t>
  </si>
  <si>
    <t>20260728 10:13:23</t>
  </si>
  <si>
    <t>10:13:23</t>
  </si>
  <si>
    <t>RECT-4714-20260728-10_12_56</t>
  </si>
  <si>
    <t>10:11:23</t>
  </si>
  <si>
    <t>20260728 10:16:24</t>
  </si>
  <si>
    <t>10:16:24</t>
  </si>
  <si>
    <t>RECT-4715-20260728-10_15_58</t>
  </si>
  <si>
    <t>10:14:26</t>
  </si>
  <si>
    <t>20260728 10:19:26</t>
  </si>
  <si>
    <t>10:19:26</t>
  </si>
  <si>
    <t>RECT-4716-20260728-10_19_00</t>
  </si>
  <si>
    <t>10:17:22</t>
  </si>
  <si>
    <t>20260728 10:22:27</t>
  </si>
  <si>
    <t>10:22:27</t>
  </si>
  <si>
    <t>RECT-4717-20260728-10_22_01</t>
  </si>
  <si>
    <t>10:20:27</t>
  </si>
  <si>
    <t>20260728 10:25:29</t>
  </si>
  <si>
    <t>10:25:29</t>
  </si>
  <si>
    <t>RECT-4718-20260728-10_25_03</t>
  </si>
  <si>
    <t>10:23:51</t>
  </si>
  <si>
    <t>20260728 10:28:30</t>
  </si>
  <si>
    <t>10:28:30</t>
  </si>
  <si>
    <t>RECT-4719-20260728-10_28_04</t>
  </si>
  <si>
    <t>10:26:25</t>
  </si>
  <si>
    <t>20260728 10:31:32</t>
  </si>
  <si>
    <t>10:31:32</t>
  </si>
  <si>
    <t>RECT-4720-20260728-10_31_06</t>
  </si>
  <si>
    <t>10:29:27</t>
  </si>
  <si>
    <t>20260728 10:34:33</t>
  </si>
  <si>
    <t>10:34:33</t>
  </si>
  <si>
    <t>RECT-4721-20260728-10_34_07</t>
  </si>
  <si>
    <t>10:32:28</t>
  </si>
  <si>
    <t>20260728 10:37:35</t>
  </si>
  <si>
    <t>10:37:35</t>
  </si>
  <si>
    <t>RECT-4722-20260728-10_37_09</t>
  </si>
  <si>
    <t>10:35:35</t>
  </si>
  <si>
    <t>20260728 10:40:36</t>
  </si>
  <si>
    <t>10:40:36</t>
  </si>
  <si>
    <t>RECT-4723-20260728-10_40_10</t>
  </si>
  <si>
    <t>10:38:30</t>
  </si>
  <si>
    <t>20260728 10:43:38</t>
  </si>
  <si>
    <t>10:43:38</t>
  </si>
  <si>
    <t>10:41:24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</si>
</sst>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67BF-7B42-4871-B8A8-99A8BDB7F28C}">
  <dimension ref="A2:KJ29"/>
  <sheetViews>
    <sheetView workbookViewId="0">
      <selection activeCell="K24" sqref="K24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410</v>
      </c>
      <c r="G13" t="s">
        <v>411</v>
      </c>
      <c r="H13">
        <v>0</v>
      </c>
    </row>
    <row r="14" spans="1:296" x14ac:dyDescent="0.3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57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61</v>
      </c>
      <c r="BK14" t="s">
        <v>61</v>
      </c>
      <c r="BL14" t="s">
        <v>61</v>
      </c>
      <c r="BM14" t="s">
        <v>61</v>
      </c>
      <c r="BN14" t="s">
        <v>61</v>
      </c>
      <c r="BO14" t="s">
        <v>61</v>
      </c>
      <c r="BP14" t="s">
        <v>61</v>
      </c>
      <c r="BQ14" t="s">
        <v>61</v>
      </c>
      <c r="BR14" t="s">
        <v>61</v>
      </c>
      <c r="BS14" t="s">
        <v>61</v>
      </c>
      <c r="BT14" t="s">
        <v>61</v>
      </c>
      <c r="BU14" t="s">
        <v>61</v>
      </c>
      <c r="BV14" t="s">
        <v>61</v>
      </c>
      <c r="BW14" t="s">
        <v>61</v>
      </c>
      <c r="BX14" t="s">
        <v>61</v>
      </c>
      <c r="BY14" t="s">
        <v>62</v>
      </c>
      <c r="BZ14" t="s">
        <v>62</v>
      </c>
      <c r="CA14" t="s">
        <v>62</v>
      </c>
      <c r="CB14" t="s">
        <v>62</v>
      </c>
      <c r="CC14" t="s">
        <v>62</v>
      </c>
      <c r="CD14" t="s">
        <v>62</v>
      </c>
      <c r="CE14" t="s">
        <v>62</v>
      </c>
      <c r="CF14" t="s">
        <v>62</v>
      </c>
      <c r="CG14" t="s">
        <v>62</v>
      </c>
      <c r="CH14" t="s">
        <v>62</v>
      </c>
      <c r="CI14" t="s">
        <v>62</v>
      </c>
      <c r="CJ14" t="s">
        <v>62</v>
      </c>
      <c r="CK14" t="s">
        <v>62</v>
      </c>
      <c r="CL14" t="s">
        <v>62</v>
      </c>
      <c r="CM14" t="s">
        <v>62</v>
      </c>
      <c r="CN14" t="s">
        <v>62</v>
      </c>
      <c r="CO14" t="s">
        <v>62</v>
      </c>
      <c r="CP14" t="s">
        <v>62</v>
      </c>
      <c r="CQ14" t="s">
        <v>62</v>
      </c>
      <c r="CR14" t="s">
        <v>62</v>
      </c>
      <c r="CS14" t="s">
        <v>62</v>
      </c>
      <c r="CT14" t="s">
        <v>63</v>
      </c>
      <c r="CU14" t="s">
        <v>63</v>
      </c>
      <c r="CV14" t="s">
        <v>63</v>
      </c>
      <c r="CW14" t="s">
        <v>63</v>
      </c>
      <c r="CX14" t="s">
        <v>63</v>
      </c>
      <c r="CY14" t="s">
        <v>63</v>
      </c>
      <c r="CZ14" t="s">
        <v>63</v>
      </c>
      <c r="DA14" t="s">
        <v>63</v>
      </c>
      <c r="DB14" t="s">
        <v>63</v>
      </c>
      <c r="DC14" t="s">
        <v>63</v>
      </c>
      <c r="DD14" t="s">
        <v>63</v>
      </c>
      <c r="DE14" t="s">
        <v>63</v>
      </c>
      <c r="DF14" t="s">
        <v>63</v>
      </c>
      <c r="DG14" t="s">
        <v>64</v>
      </c>
      <c r="DH14" t="s">
        <v>64</v>
      </c>
      <c r="DI14" t="s">
        <v>64</v>
      </c>
      <c r="DJ14" t="s">
        <v>64</v>
      </c>
      <c r="DK14" t="s">
        <v>65</v>
      </c>
      <c r="DL14" t="s">
        <v>65</v>
      </c>
      <c r="DM14" t="s">
        <v>65</v>
      </c>
      <c r="DN14" t="s">
        <v>65</v>
      </c>
      <c r="DO14" t="s">
        <v>65</v>
      </c>
      <c r="DP14" t="s">
        <v>66</v>
      </c>
      <c r="DQ14" t="s">
        <v>66</v>
      </c>
      <c r="DR14" t="s">
        <v>66</v>
      </c>
      <c r="DS14" t="s">
        <v>66</v>
      </c>
      <c r="DT14" t="s">
        <v>66</v>
      </c>
      <c r="DU14" t="s">
        <v>66</v>
      </c>
      <c r="DV14" t="s">
        <v>66</v>
      </c>
      <c r="DW14" t="s">
        <v>66</v>
      </c>
      <c r="DX14" t="s">
        <v>66</v>
      </c>
      <c r="DY14" t="s">
        <v>66</v>
      </c>
      <c r="DZ14" t="s">
        <v>66</v>
      </c>
      <c r="EA14" t="s">
        <v>66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s">
        <v>67</v>
      </c>
      <c r="EI14" t="s">
        <v>67</v>
      </c>
      <c r="EJ14" t="s">
        <v>67</v>
      </c>
      <c r="EK14" t="s">
        <v>67</v>
      </c>
      <c r="EL14" t="s">
        <v>67</v>
      </c>
      <c r="EM14" t="s">
        <v>67</v>
      </c>
      <c r="EN14" t="s">
        <v>67</v>
      </c>
      <c r="EO14" t="s">
        <v>67</v>
      </c>
      <c r="EP14" t="s">
        <v>67</v>
      </c>
      <c r="EQ14" t="s">
        <v>67</v>
      </c>
      <c r="ER14" t="s">
        <v>68</v>
      </c>
      <c r="ES14" t="s">
        <v>68</v>
      </c>
      <c r="ET14" t="s">
        <v>68</v>
      </c>
      <c r="EU14" t="s">
        <v>68</v>
      </c>
      <c r="EV14" t="s">
        <v>68</v>
      </c>
      <c r="EW14" t="s">
        <v>68</v>
      </c>
      <c r="EX14" t="s">
        <v>68</v>
      </c>
      <c r="EY14" t="s">
        <v>68</v>
      </c>
      <c r="EZ14" t="s">
        <v>68</v>
      </c>
      <c r="FA14" t="s">
        <v>68</v>
      </c>
      <c r="FB14" t="s">
        <v>68</v>
      </c>
      <c r="FC14" t="s">
        <v>68</v>
      </c>
      <c r="FD14" t="s">
        <v>68</v>
      </c>
      <c r="FE14" t="s">
        <v>68</v>
      </c>
      <c r="FF14" t="s">
        <v>68</v>
      </c>
      <c r="FG14" t="s">
        <v>68</v>
      </c>
      <c r="FH14" t="s">
        <v>68</v>
      </c>
      <c r="FI14" t="s">
        <v>68</v>
      </c>
      <c r="FJ14" t="s">
        <v>69</v>
      </c>
      <c r="FK14" t="s">
        <v>69</v>
      </c>
      <c r="FL14" t="s">
        <v>69</v>
      </c>
      <c r="FM14" t="s">
        <v>69</v>
      </c>
      <c r="FN14" t="s">
        <v>69</v>
      </c>
      <c r="FO14" t="s">
        <v>70</v>
      </c>
      <c r="FP14" t="s">
        <v>70</v>
      </c>
      <c r="FQ14" t="s">
        <v>70</v>
      </c>
      <c r="FR14" t="s">
        <v>70</v>
      </c>
      <c r="FS14" t="s">
        <v>70</v>
      </c>
      <c r="FT14" t="s">
        <v>70</v>
      </c>
      <c r="FU14" t="s">
        <v>70</v>
      </c>
      <c r="FV14" t="s">
        <v>70</v>
      </c>
      <c r="FW14" t="s">
        <v>70</v>
      </c>
      <c r="FX14" t="s">
        <v>70</v>
      </c>
      <c r="FY14" t="s">
        <v>70</v>
      </c>
      <c r="FZ14" t="s">
        <v>70</v>
      </c>
      <c r="GA14" t="s">
        <v>70</v>
      </c>
      <c r="GB14" t="s">
        <v>71</v>
      </c>
      <c r="GC14" t="s">
        <v>71</v>
      </c>
      <c r="GD14" t="s">
        <v>71</v>
      </c>
      <c r="GE14" t="s">
        <v>71</v>
      </c>
      <c r="GF14" t="s">
        <v>71</v>
      </c>
      <c r="GG14" t="s">
        <v>71</v>
      </c>
      <c r="GH14" t="s">
        <v>71</v>
      </c>
      <c r="GI14" t="s">
        <v>71</v>
      </c>
      <c r="GJ14" t="s">
        <v>71</v>
      </c>
      <c r="GK14" t="s">
        <v>71</v>
      </c>
      <c r="GL14" t="s">
        <v>71</v>
      </c>
      <c r="GM14" t="s">
        <v>71</v>
      </c>
      <c r="GN14" t="s">
        <v>71</v>
      </c>
      <c r="GO14" t="s">
        <v>71</v>
      </c>
      <c r="GP14" t="s">
        <v>71</v>
      </c>
      <c r="GQ14" t="s">
        <v>72</v>
      </c>
      <c r="GR14" t="s">
        <v>72</v>
      </c>
      <c r="GS14" t="s">
        <v>72</v>
      </c>
      <c r="GT14" t="s">
        <v>72</v>
      </c>
      <c r="GU14" t="s">
        <v>72</v>
      </c>
      <c r="GV14" t="s">
        <v>72</v>
      </c>
      <c r="GW14" t="s">
        <v>72</v>
      </c>
      <c r="GX14" t="s">
        <v>72</v>
      </c>
      <c r="GY14" t="s">
        <v>72</v>
      </c>
      <c r="GZ14" t="s">
        <v>72</v>
      </c>
      <c r="HA14" t="s">
        <v>72</v>
      </c>
      <c r="HB14" t="s">
        <v>72</v>
      </c>
      <c r="HC14" t="s">
        <v>72</v>
      </c>
      <c r="HD14" t="s">
        <v>72</v>
      </c>
      <c r="HE14" t="s">
        <v>72</v>
      </c>
      <c r="HF14" t="s">
        <v>72</v>
      </c>
      <c r="HG14" t="s">
        <v>72</v>
      </c>
      <c r="HH14" t="s">
        <v>72</v>
      </c>
      <c r="HI14" t="s">
        <v>73</v>
      </c>
      <c r="HJ14" t="s">
        <v>73</v>
      </c>
      <c r="HK14" t="s">
        <v>73</v>
      </c>
      <c r="HL14" t="s">
        <v>73</v>
      </c>
      <c r="HM14" t="s">
        <v>73</v>
      </c>
      <c r="HN14" t="s">
        <v>73</v>
      </c>
      <c r="HO14" t="s">
        <v>73</v>
      </c>
      <c r="HP14" t="s">
        <v>73</v>
      </c>
      <c r="HQ14" t="s">
        <v>73</v>
      </c>
      <c r="HR14" t="s">
        <v>73</v>
      </c>
      <c r="HS14" t="s">
        <v>73</v>
      </c>
      <c r="HT14" t="s">
        <v>73</v>
      </c>
      <c r="HU14" t="s">
        <v>73</v>
      </c>
      <c r="HV14" t="s">
        <v>73</v>
      </c>
      <c r="HW14" t="s">
        <v>73</v>
      </c>
      <c r="HX14" t="s">
        <v>73</v>
      </c>
      <c r="HY14" t="s">
        <v>73</v>
      </c>
      <c r="HZ14" t="s">
        <v>73</v>
      </c>
      <c r="IA14" t="s">
        <v>73</v>
      </c>
      <c r="IB14" t="s">
        <v>74</v>
      </c>
      <c r="IC14" t="s">
        <v>74</v>
      </c>
      <c r="ID14" t="s">
        <v>74</v>
      </c>
      <c r="IE14" t="s">
        <v>74</v>
      </c>
      <c r="IF14" t="s">
        <v>74</v>
      </c>
      <c r="IG14" t="s">
        <v>74</v>
      </c>
      <c r="IH14" t="s">
        <v>74</v>
      </c>
      <c r="II14" t="s">
        <v>74</v>
      </c>
      <c r="IJ14" t="s">
        <v>74</v>
      </c>
      <c r="IK14" t="s">
        <v>74</v>
      </c>
      <c r="IL14" t="s">
        <v>74</v>
      </c>
      <c r="IM14" t="s">
        <v>74</v>
      </c>
      <c r="IN14" t="s">
        <v>74</v>
      </c>
      <c r="IO14" t="s">
        <v>74</v>
      </c>
      <c r="IP14" t="s">
        <v>74</v>
      </c>
      <c r="IQ14" t="s">
        <v>74</v>
      </c>
      <c r="IR14" t="s">
        <v>74</v>
      </c>
      <c r="IS14" t="s">
        <v>74</v>
      </c>
      <c r="IT14" t="s">
        <v>74</v>
      </c>
      <c r="IU14" t="s">
        <v>75</v>
      </c>
      <c r="IV14" t="s">
        <v>75</v>
      </c>
      <c r="IW14" t="s">
        <v>75</v>
      </c>
      <c r="IX14" t="s">
        <v>75</v>
      </c>
      <c r="IY14" t="s">
        <v>75</v>
      </c>
      <c r="IZ14" t="s">
        <v>75</v>
      </c>
      <c r="JA14" t="s">
        <v>75</v>
      </c>
      <c r="JB14" t="s">
        <v>75</v>
      </c>
      <c r="JC14" t="s">
        <v>75</v>
      </c>
      <c r="JD14" t="s">
        <v>75</v>
      </c>
      <c r="JE14" t="s">
        <v>75</v>
      </c>
      <c r="JF14" t="s">
        <v>75</v>
      </c>
      <c r="JG14" t="s">
        <v>75</v>
      </c>
      <c r="JH14" t="s">
        <v>75</v>
      </c>
      <c r="JI14" t="s">
        <v>75</v>
      </c>
      <c r="JJ14" t="s">
        <v>75</v>
      </c>
      <c r="JK14" t="s">
        <v>75</v>
      </c>
      <c r="JL14" t="s">
        <v>75</v>
      </c>
      <c r="JM14" t="s">
        <v>76</v>
      </c>
      <c r="JN14" t="s">
        <v>76</v>
      </c>
      <c r="JO14" t="s">
        <v>76</v>
      </c>
      <c r="JP14" t="s">
        <v>76</v>
      </c>
      <c r="JQ14" t="s">
        <v>76</v>
      </c>
      <c r="JR14" t="s">
        <v>76</v>
      </c>
      <c r="JS14" t="s">
        <v>76</v>
      </c>
      <c r="JT14" t="s">
        <v>76</v>
      </c>
      <c r="JU14" t="s">
        <v>77</v>
      </c>
      <c r="JV14" t="s">
        <v>77</v>
      </c>
      <c r="JW14" t="s">
        <v>77</v>
      </c>
      <c r="JX14" t="s">
        <v>77</v>
      </c>
      <c r="JY14" t="s">
        <v>77</v>
      </c>
      <c r="JZ14" t="s">
        <v>77</v>
      </c>
      <c r="KA14" t="s">
        <v>77</v>
      </c>
      <c r="KB14" t="s">
        <v>77</v>
      </c>
      <c r="KC14" t="s">
        <v>77</v>
      </c>
      <c r="KD14" t="s">
        <v>77</v>
      </c>
      <c r="KE14" t="s">
        <v>77</v>
      </c>
      <c r="KF14" t="s">
        <v>77</v>
      </c>
      <c r="KG14" t="s">
        <v>77</v>
      </c>
      <c r="KH14" t="s">
        <v>77</v>
      </c>
      <c r="KI14" t="s">
        <v>77</v>
      </c>
      <c r="KJ14" t="s">
        <v>77</v>
      </c>
    </row>
    <row r="15" spans="1:296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t="s">
        <v>97</v>
      </c>
      <c r="U15" t="s">
        <v>98</v>
      </c>
      <c r="V15" t="s">
        <v>99</v>
      </c>
      <c r="W15" t="s">
        <v>100</v>
      </c>
      <c r="X15" t="s">
        <v>101</v>
      </c>
      <c r="Y15" t="s">
        <v>102</v>
      </c>
      <c r="Z15" t="s">
        <v>103</v>
      </c>
      <c r="AA15" t="s">
        <v>104</v>
      </c>
      <c r="AB15" t="s">
        <v>105</v>
      </c>
      <c r="AC15" t="s">
        <v>106</v>
      </c>
      <c r="AD15" t="s">
        <v>107</v>
      </c>
      <c r="AE15" t="s">
        <v>108</v>
      </c>
      <c r="AF15" t="s">
        <v>109</v>
      </c>
      <c r="AG15" t="s">
        <v>110</v>
      </c>
      <c r="AH15" t="s">
        <v>111</v>
      </c>
      <c r="AI15" t="s">
        <v>112</v>
      </c>
      <c r="AJ15" t="s">
        <v>113</v>
      </c>
      <c r="AK15" t="s">
        <v>114</v>
      </c>
      <c r="AL15" t="s">
        <v>115</v>
      </c>
      <c r="AM15" t="s">
        <v>116</v>
      </c>
      <c r="AN15" t="s">
        <v>117</v>
      </c>
      <c r="AO15" t="s">
        <v>118</v>
      </c>
      <c r="AP15" t="s">
        <v>119</v>
      </c>
      <c r="AQ15" t="s">
        <v>120</v>
      </c>
      <c r="AR15" t="s">
        <v>60</v>
      </c>
      <c r="AS15" t="s">
        <v>121</v>
      </c>
      <c r="AT15" t="s">
        <v>122</v>
      </c>
      <c r="AU15" t="s">
        <v>123</v>
      </c>
      <c r="AV15" t="s">
        <v>124</v>
      </c>
      <c r="AW15" t="s">
        <v>125</v>
      </c>
      <c r="AX15" t="s">
        <v>126</v>
      </c>
      <c r="AY15" t="s">
        <v>127</v>
      </c>
      <c r="AZ15" t="s">
        <v>128</v>
      </c>
      <c r="BA15" t="s">
        <v>129</v>
      </c>
      <c r="BB15" t="s">
        <v>130</v>
      </c>
      <c r="BC15" t="s">
        <v>131</v>
      </c>
      <c r="BD15" t="s">
        <v>132</v>
      </c>
      <c r="BE15" t="s">
        <v>133</v>
      </c>
      <c r="BF15" t="s">
        <v>134</v>
      </c>
      <c r="BG15" t="s">
        <v>135</v>
      </c>
      <c r="BH15" t="s">
        <v>136</v>
      </c>
      <c r="BI15" t="s">
        <v>137</v>
      </c>
      <c r="BJ15" t="s">
        <v>138</v>
      </c>
      <c r="BK15" t="s">
        <v>139</v>
      </c>
      <c r="BL15" t="s">
        <v>140</v>
      </c>
      <c r="BM15" t="s">
        <v>141</v>
      </c>
      <c r="BN15" t="s">
        <v>142</v>
      </c>
      <c r="BO15" t="s">
        <v>143</v>
      </c>
      <c r="BP15" t="s">
        <v>144</v>
      </c>
      <c r="BQ15" t="s">
        <v>145</v>
      </c>
      <c r="BR15" t="s">
        <v>146</v>
      </c>
      <c r="BS15" t="s">
        <v>147</v>
      </c>
      <c r="BT15" t="s">
        <v>148</v>
      </c>
      <c r="BU15" t="s">
        <v>149</v>
      </c>
      <c r="BV15" t="s">
        <v>150</v>
      </c>
      <c r="BW15" t="s">
        <v>151</v>
      </c>
      <c r="BX15" t="s">
        <v>152</v>
      </c>
      <c r="BY15" t="s">
        <v>153</v>
      </c>
      <c r="BZ15" t="s">
        <v>154</v>
      </c>
      <c r="CA15" t="s">
        <v>155</v>
      </c>
      <c r="CB15" t="s">
        <v>156</v>
      </c>
      <c r="CC15" t="s">
        <v>157</v>
      </c>
      <c r="CD15" t="s">
        <v>158</v>
      </c>
      <c r="CE15" t="s">
        <v>159</v>
      </c>
      <c r="CF15" t="s">
        <v>160</v>
      </c>
      <c r="CG15" t="s">
        <v>161</v>
      </c>
      <c r="CH15" t="s">
        <v>162</v>
      </c>
      <c r="CI15" t="s">
        <v>163</v>
      </c>
      <c r="CJ15" t="s">
        <v>164</v>
      </c>
      <c r="CK15" t="s">
        <v>165</v>
      </c>
      <c r="CL15" t="s">
        <v>166</v>
      </c>
      <c r="CM15" t="s">
        <v>167</v>
      </c>
      <c r="CN15" t="s">
        <v>168</v>
      </c>
      <c r="CO15" t="s">
        <v>169</v>
      </c>
      <c r="CP15" t="s">
        <v>170</v>
      </c>
      <c r="CQ15" t="s">
        <v>171</v>
      </c>
      <c r="CR15" t="s">
        <v>172</v>
      </c>
      <c r="CS15" t="s">
        <v>173</v>
      </c>
      <c r="CT15" t="s">
        <v>153</v>
      </c>
      <c r="CU15" t="s">
        <v>174</v>
      </c>
      <c r="CV15" t="s">
        <v>175</v>
      </c>
      <c r="CW15" t="s">
        <v>176</v>
      </c>
      <c r="CX15" t="s">
        <v>127</v>
      </c>
      <c r="CY15" t="s">
        <v>177</v>
      </c>
      <c r="CZ15" t="s">
        <v>178</v>
      </c>
      <c r="DA15" t="s">
        <v>179</v>
      </c>
      <c r="DB15" t="s">
        <v>180</v>
      </c>
      <c r="DC15" t="s">
        <v>181</v>
      </c>
      <c r="DD15" t="s">
        <v>182</v>
      </c>
      <c r="DE15" t="s">
        <v>183</v>
      </c>
      <c r="DF15" t="s">
        <v>184</v>
      </c>
      <c r="DG15" t="s">
        <v>185</v>
      </c>
      <c r="DH15" t="s">
        <v>186</v>
      </c>
      <c r="DI15" t="s">
        <v>187</v>
      </c>
      <c r="DJ15" t="s">
        <v>188</v>
      </c>
      <c r="DK15" t="s">
        <v>189</v>
      </c>
      <c r="DL15" t="s">
        <v>190</v>
      </c>
      <c r="DM15" t="s">
        <v>191</v>
      </c>
      <c r="DN15" t="s">
        <v>192</v>
      </c>
      <c r="DO15" t="s">
        <v>193</v>
      </c>
      <c r="DP15" t="s">
        <v>85</v>
      </c>
      <c r="DQ15" t="s">
        <v>194</v>
      </c>
      <c r="DR15" t="s">
        <v>195</v>
      </c>
      <c r="DS15" t="s">
        <v>196</v>
      </c>
      <c r="DT15" t="s">
        <v>197</v>
      </c>
      <c r="DU15" t="s">
        <v>198</v>
      </c>
      <c r="DV15" t="s">
        <v>199</v>
      </c>
      <c r="DW15" t="s">
        <v>200</v>
      </c>
      <c r="DX15" t="s">
        <v>201</v>
      </c>
      <c r="DY15" t="s">
        <v>202</v>
      </c>
      <c r="DZ15" t="s">
        <v>203</v>
      </c>
      <c r="EA15" t="s">
        <v>204</v>
      </c>
      <c r="EB15" t="s">
        <v>205</v>
      </c>
      <c r="EC15" t="s">
        <v>206</v>
      </c>
      <c r="ED15" t="s">
        <v>207</v>
      </c>
      <c r="EE15" t="s">
        <v>208</v>
      </c>
      <c r="EF15" t="s">
        <v>209</v>
      </c>
      <c r="EG15" t="s">
        <v>210</v>
      </c>
      <c r="EH15" t="s">
        <v>211</v>
      </c>
      <c r="EI15" t="s">
        <v>212</v>
      </c>
      <c r="EJ15" t="s">
        <v>213</v>
      </c>
      <c r="EK15" t="s">
        <v>214</v>
      </c>
      <c r="EL15" t="s">
        <v>215</v>
      </c>
      <c r="EM15" t="s">
        <v>216</v>
      </c>
      <c r="EN15" t="s">
        <v>217</v>
      </c>
      <c r="EO15" t="s">
        <v>218</v>
      </c>
      <c r="EP15" t="s">
        <v>219</v>
      </c>
      <c r="EQ15" t="s">
        <v>220</v>
      </c>
      <c r="ER15" t="s">
        <v>221</v>
      </c>
      <c r="ES15" t="s">
        <v>222</v>
      </c>
      <c r="ET15" t="s">
        <v>223</v>
      </c>
      <c r="EU15" t="s">
        <v>224</v>
      </c>
      <c r="EV15" t="s">
        <v>225</v>
      </c>
      <c r="EW15" t="s">
        <v>226</v>
      </c>
      <c r="EX15" t="s">
        <v>227</v>
      </c>
      <c r="EY15" t="s">
        <v>228</v>
      </c>
      <c r="EZ15" t="s">
        <v>229</v>
      </c>
      <c r="FA15" t="s">
        <v>230</v>
      </c>
      <c r="FB15" t="s">
        <v>231</v>
      </c>
      <c r="FC15" t="s">
        <v>232</v>
      </c>
      <c r="FD15" t="s">
        <v>233</v>
      </c>
      <c r="FE15" t="s">
        <v>234</v>
      </c>
      <c r="FF15" t="s">
        <v>235</v>
      </c>
      <c r="FG15" t="s">
        <v>236</v>
      </c>
      <c r="FH15" t="s">
        <v>237</v>
      </c>
      <c r="FI15" t="s">
        <v>238</v>
      </c>
      <c r="FJ15" t="s">
        <v>239</v>
      </c>
      <c r="FK15" t="s">
        <v>240</v>
      </c>
      <c r="FL15" t="s">
        <v>241</v>
      </c>
      <c r="FM15" t="s">
        <v>242</v>
      </c>
      <c r="FN15" t="s">
        <v>243</v>
      </c>
      <c r="FO15" t="s">
        <v>79</v>
      </c>
      <c r="FP15" t="s">
        <v>82</v>
      </c>
      <c r="FQ15" t="s">
        <v>244</v>
      </c>
      <c r="FR15" t="s">
        <v>245</v>
      </c>
      <c r="FS15" t="s">
        <v>246</v>
      </c>
      <c r="FT15" t="s">
        <v>247</v>
      </c>
      <c r="FU15" t="s">
        <v>248</v>
      </c>
      <c r="FV15" t="s">
        <v>249</v>
      </c>
      <c r="FW15" t="s">
        <v>250</v>
      </c>
      <c r="FX15" t="s">
        <v>251</v>
      </c>
      <c r="FY15" t="s">
        <v>252</v>
      </c>
      <c r="FZ15" t="s">
        <v>253</v>
      </c>
      <c r="GA15" t="s">
        <v>254</v>
      </c>
      <c r="GB15" t="s">
        <v>255</v>
      </c>
      <c r="GC15" t="s">
        <v>256</v>
      </c>
      <c r="GD15" t="s">
        <v>257</v>
      </c>
      <c r="GE15" t="s">
        <v>258</v>
      </c>
      <c r="GF15" t="s">
        <v>259</v>
      </c>
      <c r="GG15" t="s">
        <v>260</v>
      </c>
      <c r="GH15" t="s">
        <v>261</v>
      </c>
      <c r="GI15" t="s">
        <v>262</v>
      </c>
      <c r="GJ15" t="s">
        <v>263</v>
      </c>
      <c r="GK15" t="s">
        <v>264</v>
      </c>
      <c r="GL15" t="s">
        <v>265</v>
      </c>
      <c r="GM15" t="s">
        <v>266</v>
      </c>
      <c r="GN15" t="s">
        <v>267</v>
      </c>
      <c r="GO15" t="s">
        <v>268</v>
      </c>
      <c r="GP15" t="s">
        <v>269</v>
      </c>
      <c r="GQ15" t="s">
        <v>270</v>
      </c>
      <c r="GR15" t="s">
        <v>271</v>
      </c>
      <c r="GS15" t="s">
        <v>272</v>
      </c>
      <c r="GT15" t="s">
        <v>273</v>
      </c>
      <c r="GU15" t="s">
        <v>274</v>
      </c>
      <c r="GV15" t="s">
        <v>275</v>
      </c>
      <c r="GW15" t="s">
        <v>276</v>
      </c>
      <c r="GX15" t="s">
        <v>277</v>
      </c>
      <c r="GY15" t="s">
        <v>278</v>
      </c>
      <c r="GZ15" t="s">
        <v>279</v>
      </c>
      <c r="HA15" t="s">
        <v>280</v>
      </c>
      <c r="HB15" t="s">
        <v>281</v>
      </c>
      <c r="HC15" t="s">
        <v>282</v>
      </c>
      <c r="HD15" t="s">
        <v>283</v>
      </c>
      <c r="HE15" t="s">
        <v>284</v>
      </c>
      <c r="HF15" t="s">
        <v>285</v>
      </c>
      <c r="HG15" t="s">
        <v>286</v>
      </c>
      <c r="HH15" t="s">
        <v>287</v>
      </c>
      <c r="HI15" t="s">
        <v>288</v>
      </c>
      <c r="HJ15" t="s">
        <v>289</v>
      </c>
      <c r="HK15" t="s">
        <v>290</v>
      </c>
      <c r="HL15" t="s">
        <v>291</v>
      </c>
      <c r="HM15" t="s">
        <v>292</v>
      </c>
      <c r="HN15" t="s">
        <v>293</v>
      </c>
      <c r="HO15" t="s">
        <v>294</v>
      </c>
      <c r="HP15" t="s">
        <v>295</v>
      </c>
      <c r="HQ15" t="s">
        <v>296</v>
      </c>
      <c r="HR15" t="s">
        <v>297</v>
      </c>
      <c r="HS15" t="s">
        <v>298</v>
      </c>
      <c r="HT15" t="s">
        <v>299</v>
      </c>
      <c r="HU15" t="s">
        <v>300</v>
      </c>
      <c r="HV15" t="s">
        <v>301</v>
      </c>
      <c r="HW15" t="s">
        <v>302</v>
      </c>
      <c r="HX15" t="s">
        <v>303</v>
      </c>
      <c r="HY15" t="s">
        <v>304</v>
      </c>
      <c r="HZ15" t="s">
        <v>305</v>
      </c>
      <c r="IA15" t="s">
        <v>306</v>
      </c>
      <c r="IB15" t="s">
        <v>307</v>
      </c>
      <c r="IC15" t="s">
        <v>308</v>
      </c>
      <c r="ID15" t="s">
        <v>309</v>
      </c>
      <c r="IE15" t="s">
        <v>310</v>
      </c>
      <c r="IF15" t="s">
        <v>311</v>
      </c>
      <c r="IG15" t="s">
        <v>312</v>
      </c>
      <c r="IH15" t="s">
        <v>313</v>
      </c>
      <c r="II15" t="s">
        <v>314</v>
      </c>
      <c r="IJ15" t="s">
        <v>315</v>
      </c>
      <c r="IK15" t="s">
        <v>316</v>
      </c>
      <c r="IL15" t="s">
        <v>317</v>
      </c>
      <c r="IM15" t="s">
        <v>318</v>
      </c>
      <c r="IN15" t="s">
        <v>319</v>
      </c>
      <c r="IO15" t="s">
        <v>320</v>
      </c>
      <c r="IP15" t="s">
        <v>321</v>
      </c>
      <c r="IQ15" t="s">
        <v>322</v>
      </c>
      <c r="IR15" t="s">
        <v>323</v>
      </c>
      <c r="IS15" t="s">
        <v>324</v>
      </c>
      <c r="IT15" t="s">
        <v>325</v>
      </c>
      <c r="IU15" t="s">
        <v>326</v>
      </c>
      <c r="IV15" t="s">
        <v>327</v>
      </c>
      <c r="IW15" t="s">
        <v>328</v>
      </c>
      <c r="IX15" t="s">
        <v>329</v>
      </c>
      <c r="IY15" t="s">
        <v>330</v>
      </c>
      <c r="IZ15" t="s">
        <v>331</v>
      </c>
      <c r="JA15" t="s">
        <v>332</v>
      </c>
      <c r="JB15" t="s">
        <v>333</v>
      </c>
      <c r="JC15" t="s">
        <v>334</v>
      </c>
      <c r="JD15" t="s">
        <v>335</v>
      </c>
      <c r="JE15" t="s">
        <v>336</v>
      </c>
      <c r="JF15" t="s">
        <v>337</v>
      </c>
      <c r="JG15" t="s">
        <v>338</v>
      </c>
      <c r="JH15" t="s">
        <v>339</v>
      </c>
      <c r="JI15" t="s">
        <v>340</v>
      </c>
      <c r="JJ15" t="s">
        <v>341</v>
      </c>
      <c r="JK15" t="s">
        <v>342</v>
      </c>
      <c r="JL15" t="s">
        <v>343</v>
      </c>
      <c r="JM15" t="s">
        <v>344</v>
      </c>
      <c r="JN15" t="s">
        <v>345</v>
      </c>
      <c r="JO15" t="s">
        <v>346</v>
      </c>
      <c r="JP15" t="s">
        <v>347</v>
      </c>
      <c r="JQ15" t="s">
        <v>348</v>
      </c>
      <c r="JR15" t="s">
        <v>349</v>
      </c>
      <c r="JS15" t="s">
        <v>350</v>
      </c>
      <c r="JT15" t="s">
        <v>351</v>
      </c>
      <c r="JU15" t="s">
        <v>352</v>
      </c>
      <c r="JV15" t="s">
        <v>353</v>
      </c>
      <c r="JW15" t="s">
        <v>354</v>
      </c>
      <c r="JX15" t="s">
        <v>355</v>
      </c>
      <c r="JY15" t="s">
        <v>356</v>
      </c>
      <c r="JZ15" t="s">
        <v>357</v>
      </c>
      <c r="KA15" t="s">
        <v>358</v>
      </c>
      <c r="KB15" t="s">
        <v>359</v>
      </c>
      <c r="KC15" t="s">
        <v>360</v>
      </c>
      <c r="KD15" t="s">
        <v>361</v>
      </c>
      <c r="KE15" t="s">
        <v>362</v>
      </c>
      <c r="KF15" t="s">
        <v>363</v>
      </c>
      <c r="KG15" t="s">
        <v>364</v>
      </c>
      <c r="KH15" t="s">
        <v>365</v>
      </c>
      <c r="KI15" t="s">
        <v>366</v>
      </c>
      <c r="KJ15" t="s">
        <v>367</v>
      </c>
    </row>
    <row r="16" spans="1:296" x14ac:dyDescent="0.3">
      <c r="B16" t="s">
        <v>368</v>
      </c>
      <c r="C16" t="s">
        <v>368</v>
      </c>
      <c r="F16" t="s">
        <v>368</v>
      </c>
      <c r="H16" t="s">
        <v>368</v>
      </c>
      <c r="I16" t="s">
        <v>369</v>
      </c>
      <c r="J16" t="s">
        <v>370</v>
      </c>
      <c r="K16" t="s">
        <v>371</v>
      </c>
      <c r="L16" t="s">
        <v>372</v>
      </c>
      <c r="M16" t="s">
        <v>372</v>
      </c>
      <c r="N16" t="s">
        <v>201</v>
      </c>
      <c r="O16" t="s">
        <v>201</v>
      </c>
      <c r="P16" t="s">
        <v>369</v>
      </c>
      <c r="Q16" t="s">
        <v>369</v>
      </c>
      <c r="R16" t="s">
        <v>369</v>
      </c>
      <c r="S16" t="s">
        <v>369</v>
      </c>
      <c r="T16" t="s">
        <v>373</v>
      </c>
      <c r="U16" t="s">
        <v>374</v>
      </c>
      <c r="V16" t="s">
        <v>374</v>
      </c>
      <c r="W16" t="s">
        <v>375</v>
      </c>
      <c r="X16" t="s">
        <v>376</v>
      </c>
      <c r="Y16" t="s">
        <v>375</v>
      </c>
      <c r="Z16" t="s">
        <v>375</v>
      </c>
      <c r="AA16" t="s">
        <v>375</v>
      </c>
      <c r="AB16" t="s">
        <v>373</v>
      </c>
      <c r="AC16" t="s">
        <v>373</v>
      </c>
      <c r="AD16" t="s">
        <v>373</v>
      </c>
      <c r="AE16" t="s">
        <v>373</v>
      </c>
      <c r="AF16" t="s">
        <v>371</v>
      </c>
      <c r="AG16" t="s">
        <v>370</v>
      </c>
      <c r="AH16" t="s">
        <v>371</v>
      </c>
      <c r="AI16" t="s">
        <v>372</v>
      </c>
      <c r="AJ16" t="s">
        <v>372</v>
      </c>
      <c r="AK16" t="s">
        <v>377</v>
      </c>
      <c r="AL16" t="s">
        <v>378</v>
      </c>
      <c r="AM16" t="s">
        <v>370</v>
      </c>
      <c r="AN16" t="s">
        <v>379</v>
      </c>
      <c r="AO16" t="s">
        <v>379</v>
      </c>
      <c r="AP16" t="s">
        <v>380</v>
      </c>
      <c r="AQ16" t="s">
        <v>378</v>
      </c>
      <c r="AR16" t="s">
        <v>381</v>
      </c>
      <c r="AS16" t="s">
        <v>376</v>
      </c>
      <c r="AU16" t="s">
        <v>376</v>
      </c>
      <c r="AV16" t="s">
        <v>381</v>
      </c>
      <c r="BB16" t="s">
        <v>371</v>
      </c>
      <c r="BI16" t="s">
        <v>371</v>
      </c>
      <c r="BJ16" t="s">
        <v>371</v>
      </c>
      <c r="BK16" t="s">
        <v>371</v>
      </c>
      <c r="BL16" t="s">
        <v>382</v>
      </c>
      <c r="BZ16" t="s">
        <v>383</v>
      </c>
      <c r="CB16" t="s">
        <v>383</v>
      </c>
      <c r="CC16" t="s">
        <v>371</v>
      </c>
      <c r="CF16" t="s">
        <v>383</v>
      </c>
      <c r="CG16" t="s">
        <v>376</v>
      </c>
      <c r="CJ16" t="s">
        <v>384</v>
      </c>
      <c r="CK16" t="s">
        <v>384</v>
      </c>
      <c r="CM16" t="s">
        <v>385</v>
      </c>
      <c r="CN16" t="s">
        <v>383</v>
      </c>
      <c r="CP16" t="s">
        <v>383</v>
      </c>
      <c r="CQ16" t="s">
        <v>371</v>
      </c>
      <c r="CU16" t="s">
        <v>383</v>
      </c>
      <c r="CW16" t="s">
        <v>386</v>
      </c>
      <c r="CZ16" t="s">
        <v>383</v>
      </c>
      <c r="DA16" t="s">
        <v>383</v>
      </c>
      <c r="DC16" t="s">
        <v>383</v>
      </c>
      <c r="DE16" t="s">
        <v>383</v>
      </c>
      <c r="DG16" t="s">
        <v>371</v>
      </c>
      <c r="DH16" t="s">
        <v>371</v>
      </c>
      <c r="DJ16" t="s">
        <v>387</v>
      </c>
      <c r="DK16" t="s">
        <v>388</v>
      </c>
      <c r="DN16" t="s">
        <v>369</v>
      </c>
      <c r="DP16" t="s">
        <v>368</v>
      </c>
      <c r="DQ16" t="s">
        <v>372</v>
      </c>
      <c r="DR16" t="s">
        <v>372</v>
      </c>
      <c r="DS16" t="s">
        <v>379</v>
      </c>
      <c r="DT16" t="s">
        <v>379</v>
      </c>
      <c r="DU16" t="s">
        <v>372</v>
      </c>
      <c r="DV16" t="s">
        <v>379</v>
      </c>
      <c r="DW16" t="s">
        <v>381</v>
      </c>
      <c r="DX16" t="s">
        <v>375</v>
      </c>
      <c r="DY16" t="s">
        <v>375</v>
      </c>
      <c r="DZ16" t="s">
        <v>374</v>
      </c>
      <c r="EA16" t="s">
        <v>374</v>
      </c>
      <c r="EB16" t="s">
        <v>374</v>
      </c>
      <c r="EC16" t="s">
        <v>374</v>
      </c>
      <c r="ED16" t="s">
        <v>374</v>
      </c>
      <c r="EE16" t="s">
        <v>389</v>
      </c>
      <c r="EF16" t="s">
        <v>371</v>
      </c>
      <c r="EG16" t="s">
        <v>371</v>
      </c>
      <c r="EH16" t="s">
        <v>372</v>
      </c>
      <c r="EI16" t="s">
        <v>372</v>
      </c>
      <c r="EJ16" t="s">
        <v>372</v>
      </c>
      <c r="EK16" t="s">
        <v>379</v>
      </c>
      <c r="EL16" t="s">
        <v>372</v>
      </c>
      <c r="EM16" t="s">
        <v>379</v>
      </c>
      <c r="EN16" t="s">
        <v>375</v>
      </c>
      <c r="EO16" t="s">
        <v>375</v>
      </c>
      <c r="EP16" t="s">
        <v>374</v>
      </c>
      <c r="EQ16" t="s">
        <v>374</v>
      </c>
      <c r="ER16" t="s">
        <v>371</v>
      </c>
      <c r="EW16" t="s">
        <v>371</v>
      </c>
      <c r="EZ16" t="s">
        <v>374</v>
      </c>
      <c r="FA16" t="s">
        <v>374</v>
      </c>
      <c r="FB16" t="s">
        <v>374</v>
      </c>
      <c r="FC16" t="s">
        <v>374</v>
      </c>
      <c r="FD16" t="s">
        <v>374</v>
      </c>
      <c r="FE16" t="s">
        <v>371</v>
      </c>
      <c r="FF16" t="s">
        <v>371</v>
      </c>
      <c r="FG16" t="s">
        <v>371</v>
      </c>
      <c r="FH16" t="s">
        <v>368</v>
      </c>
      <c r="FK16" t="s">
        <v>390</v>
      </c>
      <c r="FL16" t="s">
        <v>390</v>
      </c>
      <c r="FN16" t="s">
        <v>368</v>
      </c>
      <c r="FO16" t="s">
        <v>391</v>
      </c>
      <c r="FQ16" t="s">
        <v>368</v>
      </c>
      <c r="FR16" t="s">
        <v>368</v>
      </c>
      <c r="FT16" t="s">
        <v>392</v>
      </c>
      <c r="FU16" t="s">
        <v>393</v>
      </c>
      <c r="FV16" t="s">
        <v>392</v>
      </c>
      <c r="FW16" t="s">
        <v>393</v>
      </c>
      <c r="FX16" t="s">
        <v>392</v>
      </c>
      <c r="FY16" t="s">
        <v>393</v>
      </c>
      <c r="FZ16" t="s">
        <v>376</v>
      </c>
      <c r="GA16" t="s">
        <v>376</v>
      </c>
      <c r="GB16" t="s">
        <v>372</v>
      </c>
      <c r="GC16" t="s">
        <v>394</v>
      </c>
      <c r="GD16" t="s">
        <v>372</v>
      </c>
      <c r="GG16" t="s">
        <v>395</v>
      </c>
      <c r="GJ16" t="s">
        <v>379</v>
      </c>
      <c r="GK16" t="s">
        <v>396</v>
      </c>
      <c r="GL16" t="s">
        <v>379</v>
      </c>
      <c r="GQ16" t="s">
        <v>397</v>
      </c>
      <c r="GR16" t="s">
        <v>397</v>
      </c>
      <c r="HE16" t="s">
        <v>397</v>
      </c>
      <c r="HF16" t="s">
        <v>397</v>
      </c>
      <c r="HG16" t="s">
        <v>398</v>
      </c>
      <c r="HH16" t="s">
        <v>398</v>
      </c>
      <c r="HI16" t="s">
        <v>374</v>
      </c>
      <c r="HJ16" t="s">
        <v>374</v>
      </c>
      <c r="HK16" t="s">
        <v>376</v>
      </c>
      <c r="HL16" t="s">
        <v>374</v>
      </c>
      <c r="HM16" t="s">
        <v>379</v>
      </c>
      <c r="HN16" t="s">
        <v>376</v>
      </c>
      <c r="HO16" t="s">
        <v>376</v>
      </c>
      <c r="HQ16" t="s">
        <v>397</v>
      </c>
      <c r="HR16" t="s">
        <v>397</v>
      </c>
      <c r="HS16" t="s">
        <v>397</v>
      </c>
      <c r="HT16" t="s">
        <v>397</v>
      </c>
      <c r="HU16" t="s">
        <v>397</v>
      </c>
      <c r="HV16" t="s">
        <v>397</v>
      </c>
      <c r="HW16" t="s">
        <v>397</v>
      </c>
      <c r="HX16" t="s">
        <v>399</v>
      </c>
      <c r="HY16" t="s">
        <v>399</v>
      </c>
      <c r="HZ16" t="s">
        <v>399</v>
      </c>
      <c r="IA16" t="s">
        <v>400</v>
      </c>
      <c r="IB16" t="s">
        <v>397</v>
      </c>
      <c r="IC16" t="s">
        <v>397</v>
      </c>
      <c r="ID16" t="s">
        <v>397</v>
      </c>
      <c r="IE16" t="s">
        <v>397</v>
      </c>
      <c r="IF16" t="s">
        <v>397</v>
      </c>
      <c r="IG16" t="s">
        <v>397</v>
      </c>
      <c r="IH16" t="s">
        <v>397</v>
      </c>
      <c r="II16" t="s">
        <v>397</v>
      </c>
      <c r="IJ16" t="s">
        <v>397</v>
      </c>
      <c r="IK16" t="s">
        <v>397</v>
      </c>
      <c r="IL16" t="s">
        <v>397</v>
      </c>
      <c r="IM16" t="s">
        <v>397</v>
      </c>
      <c r="IT16" t="s">
        <v>397</v>
      </c>
      <c r="IU16" t="s">
        <v>376</v>
      </c>
      <c r="IV16" t="s">
        <v>376</v>
      </c>
      <c r="IW16" t="s">
        <v>392</v>
      </c>
      <c r="IX16" t="s">
        <v>393</v>
      </c>
      <c r="IY16" t="s">
        <v>392</v>
      </c>
      <c r="JC16" t="s">
        <v>393</v>
      </c>
      <c r="JG16" t="s">
        <v>372</v>
      </c>
      <c r="JH16" t="s">
        <v>372</v>
      </c>
      <c r="JI16" t="s">
        <v>379</v>
      </c>
      <c r="JJ16" t="s">
        <v>379</v>
      </c>
      <c r="JK16" t="s">
        <v>401</v>
      </c>
      <c r="JL16" t="s">
        <v>401</v>
      </c>
      <c r="JM16" t="s">
        <v>397</v>
      </c>
      <c r="JN16" t="s">
        <v>397</v>
      </c>
      <c r="JO16" t="s">
        <v>397</v>
      </c>
      <c r="JP16" t="s">
        <v>397</v>
      </c>
      <c r="JQ16" t="s">
        <v>397</v>
      </c>
      <c r="JR16" t="s">
        <v>397</v>
      </c>
      <c r="JS16" t="s">
        <v>374</v>
      </c>
      <c r="JT16" t="s">
        <v>397</v>
      </c>
      <c r="JV16" t="s">
        <v>381</v>
      </c>
      <c r="JW16" t="s">
        <v>381</v>
      </c>
      <c r="JX16" t="s">
        <v>374</v>
      </c>
      <c r="JY16" t="s">
        <v>374</v>
      </c>
      <c r="JZ16" t="s">
        <v>374</v>
      </c>
      <c r="KA16" t="s">
        <v>374</v>
      </c>
      <c r="KB16" t="s">
        <v>374</v>
      </c>
      <c r="KC16" t="s">
        <v>376</v>
      </c>
      <c r="KD16" t="s">
        <v>376</v>
      </c>
      <c r="KE16" t="s">
        <v>376</v>
      </c>
      <c r="KF16" t="s">
        <v>374</v>
      </c>
      <c r="KG16" t="s">
        <v>372</v>
      </c>
      <c r="KH16" t="s">
        <v>379</v>
      </c>
      <c r="KI16" t="s">
        <v>376</v>
      </c>
      <c r="KJ16" t="s">
        <v>376</v>
      </c>
    </row>
    <row r="17" spans="1:296" x14ac:dyDescent="0.3">
      <c r="A17">
        <v>1</v>
      </c>
      <c r="B17">
        <v>1784997273</v>
      </c>
      <c r="C17">
        <v>0</v>
      </c>
      <c r="D17" t="s">
        <v>412</v>
      </c>
      <c r="E17" t="s">
        <v>413</v>
      </c>
      <c r="F17">
        <v>15</v>
      </c>
      <c r="H17">
        <v>1784997265</v>
      </c>
      <c r="I17">
        <f t="shared" ref="I17:I29" si="0">(J17)/1000</f>
        <v>2.4497215042914677E-3</v>
      </c>
      <c r="J17">
        <f t="shared" ref="J17:J29" si="1">IF(DO17, AM17, AG17)</f>
        <v>2.4497215042914675</v>
      </c>
      <c r="K17">
        <f t="shared" ref="K17:K29" si="2">IF(DO17, AH17, AF17)</f>
        <v>36.646886114797084</v>
      </c>
      <c r="L17">
        <f t="shared" ref="L17:L29" si="3">DQ17 - IF(AT17&gt;1, K17*DK17*100/(AV17), 0)</f>
        <v>419.93893548387092</v>
      </c>
      <c r="M17">
        <f t="shared" ref="M17:M29" si="4">((S17-I17/2)*L17-K17)/(S17+I17/2)</f>
        <v>59.08005363245416</v>
      </c>
      <c r="N17">
        <f t="shared" ref="N17:N29" si="5">M17*(DX17+DY17)/1000</f>
        <v>5.7799084616941494</v>
      </c>
      <c r="O17">
        <f t="shared" ref="O17:O29" si="6">(DQ17 - IF(AT17&gt;1, K17*DK17*100/(AV17), 0))*(DX17+DY17)/1000</f>
        <v>41.083385294436027</v>
      </c>
      <c r="P17">
        <f t="shared" ref="P17:P29" si="7">2/((1/R17-1/Q17)+SIGN(R17)*SQRT((1/R17-1/Q17)*(1/R17-1/Q17) + 4*DL17/((DL17+1)*(DL17+1))*(2*1/R17*1/Q17-1/Q17*1/Q17)))</f>
        <v>0.16968998505449423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2.8899451218163965</v>
      </c>
      <c r="R17">
        <f t="shared" ref="R17:R29" si="9">I17*(1000-(1000*0.61365*EXP(17.502*V17/(240.97+V17))/(DX17+DY17)+DS17)/2)/(1000*0.61365*EXP(17.502*V17/(240.97+V17))/(DX17+DY17)-DS17)</f>
        <v>0.16434263741556138</v>
      </c>
      <c r="S17">
        <f t="shared" ref="S17:S29" si="10">1/((DL17+1)/(P17/1.6)+1/(Q17/1.37)) + DL17/((DL17+1)/(P17/1.6) + DL17/(Q17/1.37))</f>
        <v>0.10318054936896105</v>
      </c>
      <c r="T17">
        <f t="shared" ref="T17:T29" si="11">(DG17*DJ17)</f>
        <v>319.77454672310961</v>
      </c>
      <c r="U17">
        <f t="shared" ref="U17:U29" si="12">(DZ17+(T17+2*0.95*0.0000000567*(((DZ17+$B$7)+273)^4-(DZ17+273)^4)-44100*I17)/(1.84*29.3*Q17+8*0.95*0.0000000567*(DZ17+273)^3))</f>
        <v>29.146466236525562</v>
      </c>
      <c r="V17">
        <f t="shared" ref="V17:V29" si="13">($C$7*EA17+$D$7*EB17+$E$7*U17)</f>
        <v>28.22376774193549</v>
      </c>
      <c r="W17">
        <f t="shared" ref="W17:W29" si="14">0.61365*EXP(17.502*V17/(240.97+V17))</f>
        <v>3.844625550258594</v>
      </c>
      <c r="X17">
        <f t="shared" ref="X17:X29" si="15">(Y17/Z17*100)</f>
        <v>64.556771309577726</v>
      </c>
      <c r="Y17">
        <f t="shared" ref="Y17:Y29" si="16">DS17*(DX17+DY17)/1000</f>
        <v>2.4331152501214963</v>
      </c>
      <c r="Z17">
        <f t="shared" ref="Z17:Z29" si="17">0.61365*EXP(17.502*DZ17/(240.97+DZ17))</f>
        <v>3.7689543649165063</v>
      </c>
      <c r="AA17">
        <f t="shared" ref="AA17:AA29" si="18">(W17-DS17*(DX17+DY17)/1000)</f>
        <v>1.4115103001370977</v>
      </c>
      <c r="AB17">
        <f t="shared" ref="AB17:AB29" si="19">(-I17*44100)</f>
        <v>-108.03271833925372</v>
      </c>
      <c r="AC17">
        <f t="shared" ref="AC17:AC29" si="20">2*29.3*Q17*0.92*(DZ17-V17)</f>
        <v>-53.148328987444401</v>
      </c>
      <c r="AD17">
        <f t="shared" ref="AD17:AD29" si="21">2*0.95*0.0000000567*(((DZ17+$B$7)+273)^4-(V17+273)^4)</f>
        <v>-4.0108934996699066</v>
      </c>
      <c r="AE17">
        <f t="shared" ref="AE17:AE29" si="22">T17+AD17+AB17+AC17</f>
        <v>154.58260589674154</v>
      </c>
      <c r="AF17">
        <f t="shared" ref="AF17:AF29" si="23">DW17*AT17*(DR17-DQ17*(1000-AT17*DT17)/(1000-AT17*DS17))/(100*DK17)</f>
        <v>36.646886114797084</v>
      </c>
      <c r="AG17">
        <f t="shared" ref="AG17:AG29" si="24">1000*DW17*AT17*(DS17-DT17)/(100*DK17*(1000-AT17*DS17))</f>
        <v>2.4497215042914675</v>
      </c>
      <c r="AH17">
        <f t="shared" ref="AH17:AH29" si="25">(AI17 - AJ17 - DX17*1000/(8.314*(DZ17+273.15)) * AL17/DW17 * AK17) * DW17/(100*DK17) * (1000 - DT17)/1000</f>
        <v>36.388825054426313</v>
      </c>
      <c r="AI17">
        <v>475.54527635355959</v>
      </c>
      <c r="AJ17">
        <v>430.72046666666671</v>
      </c>
      <c r="AK17">
        <v>3.3582584277392753E-2</v>
      </c>
      <c r="AL17">
        <v>67.086467571770754</v>
      </c>
      <c r="AM17">
        <f t="shared" ref="AM17:AM29" si="26">(AO17 - AN17 + DX17*1000/(8.314*(DZ17+273.15)) * AQ17/DW17 * AP17) * DW17/(100*DK17) * 1000/(1000 - AO17)</f>
        <v>2.545986903321301</v>
      </c>
      <c r="AN17">
        <v>22.0505648780907</v>
      </c>
      <c r="AO17">
        <v>24.960328484848489</v>
      </c>
      <c r="AP17">
        <v>1.131050553294001E-2</v>
      </c>
      <c r="AQ17">
        <v>78.244571194449563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51541.088383448412</v>
      </c>
      <c r="AW17" t="s">
        <v>414</v>
      </c>
      <c r="AX17">
        <v>13238.7</v>
      </c>
      <c r="AY17">
        <v>563.55294117647065</v>
      </c>
      <c r="AZ17">
        <v>2281.46</v>
      </c>
      <c r="BA17">
        <f t="shared" ref="BA17:BA29" si="30">1-AY17/AZ17</f>
        <v>0.75298583311718348</v>
      </c>
      <c r="BB17">
        <v>-2.6862788665954151</v>
      </c>
      <c r="BC17" t="s">
        <v>415</v>
      </c>
      <c r="BD17">
        <v>13170.5</v>
      </c>
      <c r="BE17">
        <v>785.61029411764707</v>
      </c>
      <c r="BF17">
        <v>981.04</v>
      </c>
      <c r="BG17">
        <f t="shared" ref="BG17:BG29" si="31">1-BE17/BF17</f>
        <v>0.19920666423627265</v>
      </c>
      <c r="BH17">
        <v>0.5</v>
      </c>
      <c r="BI17">
        <f t="shared" ref="BI17:BI29" si="32">DH17</f>
        <v>1680.2820579043357</v>
      </c>
      <c r="BJ17">
        <f t="shared" ref="BJ17:BJ29" si="33">K17</f>
        <v>36.646886114797084</v>
      </c>
      <c r="BK17">
        <f t="shared" ref="BK17:BK29" si="34">BG17*BH17*BI17</f>
        <v>167.36169186559113</v>
      </c>
      <c r="BL17">
        <f t="shared" ref="BL17:BL29" si="35">(BJ17-BB17)/BI17</f>
        <v>2.3408668084243672E-2</v>
      </c>
      <c r="BM17">
        <f t="shared" ref="BM17:BM29" si="36">(AZ17-BF17)/BF17</f>
        <v>1.32555247492457</v>
      </c>
      <c r="BN17">
        <f t="shared" ref="BN17:BN29" si="37">AY17/(BA17+AY17/BF17)</f>
        <v>424.54429926885115</v>
      </c>
      <c r="BO17" t="s">
        <v>402</v>
      </c>
      <c r="BP17">
        <v>0</v>
      </c>
      <c r="BQ17">
        <f t="shared" ref="BQ17:BQ29" si="38">IF(BP17&lt;&gt;0, BP17, BN17)</f>
        <v>424.54429926885115</v>
      </c>
      <c r="BR17">
        <f t="shared" ref="BR17:BR29" si="39">1-BQ17/BF17</f>
        <v>0.56725077543336544</v>
      </c>
      <c r="BS17">
        <f t="shared" ref="BS17:BS29" si="40">(BF17-BE17)/(BF17-BQ17)</f>
        <v>0.35117918364075162</v>
      </c>
      <c r="BT17">
        <f t="shared" ref="BT17:BT29" si="41">(AZ17-BF17)/(AZ17-BQ17)</f>
        <v>0.70031181247913832</v>
      </c>
      <c r="BU17">
        <f t="shared" ref="BU17:BU29" si="42">(BF17-BE17)/(BF17-AY17)</f>
        <v>0.46810961382388744</v>
      </c>
      <c r="BV17">
        <f t="shared" ref="BV17:BV29" si="43">(AZ17-BF17)/(AZ17-AY17)</f>
        <v>0.75697925177079362</v>
      </c>
      <c r="BW17">
        <f t="shared" ref="BW17:BW29" si="44">(BS17*BQ17/BE17)</f>
        <v>0.18977745270512372</v>
      </c>
      <c r="BX17">
        <f t="shared" ref="BX17:BX29" si="45">(1-BW17)</f>
        <v>0.81022254729487631</v>
      </c>
      <c r="DG17">
        <f t="shared" ref="DG17:DG29" si="46">$B$11*EF17+$C$11*EG17+$F$11*ER17*(1-EU17)</f>
        <v>1999.9793548387099</v>
      </c>
      <c r="DH17">
        <f t="shared" ref="DH17:DH29" si="47">DG17*DI17</f>
        <v>1680.2820579043357</v>
      </c>
      <c r="DI17">
        <f t="shared" ref="DI17:DI29" si="48">($B$11*$D$9+$C$11*$D$9+$F$11*((FE17+EW17)/MAX(FE17+EW17+FF17, 0.1)*$I$9+FF17/MAX(FE17+EW17+FF17, 0.1)*$J$9))/($B$11+$C$11+$F$11)</f>
        <v>0.84014970146521517</v>
      </c>
      <c r="DJ17">
        <f t="shared" ref="DJ17:DJ29" si="49">($B$11*$K$9+$C$11*$K$9+$F$11*((FE17+EW17)/MAX(FE17+EW17+FF17, 0.1)*$P$9+FF17/MAX(FE17+EW17+FF17, 0.1)*$Q$9))/($B$11+$C$11+$F$11)</f>
        <v>0.15988892382786526</v>
      </c>
      <c r="DK17">
        <v>6</v>
      </c>
      <c r="DL17">
        <v>0.5</v>
      </c>
      <c r="DM17" t="s">
        <v>403</v>
      </c>
      <c r="DN17">
        <v>2</v>
      </c>
      <c r="DO17" t="b">
        <v>0</v>
      </c>
      <c r="DP17">
        <v>1784997265</v>
      </c>
      <c r="DQ17">
        <v>419.93893548387092</v>
      </c>
      <c r="DR17">
        <v>465.14941935483881</v>
      </c>
      <c r="DS17">
        <v>24.87039032258064</v>
      </c>
      <c r="DT17">
        <v>22.00385161290323</v>
      </c>
      <c r="DU17">
        <v>429.11500000000001</v>
      </c>
      <c r="DV17">
        <v>25.990319354838711</v>
      </c>
      <c r="DW17">
        <v>500.0028709677419</v>
      </c>
      <c r="DX17">
        <v>97.773625806451605</v>
      </c>
      <c r="DY17">
        <v>5.8182161290322582E-2</v>
      </c>
      <c r="DZ17">
        <v>27.882641935483871</v>
      </c>
      <c r="EA17">
        <v>28.22376774193549</v>
      </c>
      <c r="EB17">
        <v>999.90000000000032</v>
      </c>
      <c r="EC17">
        <v>0</v>
      </c>
      <c r="ED17">
        <v>0</v>
      </c>
      <c r="EE17">
        <v>9998.5483870967746</v>
      </c>
      <c r="EF17">
        <v>0</v>
      </c>
      <c r="EG17">
        <v>222.0244193548387</v>
      </c>
      <c r="EH17">
        <v>-45.210403225806452</v>
      </c>
      <c r="EI17">
        <v>430.64951612903229</v>
      </c>
      <c r="EJ17">
        <v>475.6147096774194</v>
      </c>
      <c r="EK17">
        <v>2.8665148387096768</v>
      </c>
      <c r="EL17">
        <v>465.14941935483881</v>
      </c>
      <c r="EM17">
        <v>22.00385161290323</v>
      </c>
      <c r="EN17">
        <v>2.431666451612903</v>
      </c>
      <c r="EO17">
        <v>2.1513964516129018</v>
      </c>
      <c r="EP17">
        <v>20.57618387096775</v>
      </c>
      <c r="EQ17">
        <v>18.6048935483871</v>
      </c>
      <c r="ER17">
        <v>1999.9793548387099</v>
      </c>
      <c r="ES17">
        <v>0.9949960000000001</v>
      </c>
      <c r="ET17">
        <v>5.0038099999999992E-3</v>
      </c>
      <c r="EU17">
        <v>0</v>
      </c>
      <c r="EV17">
        <v>785.6730645161291</v>
      </c>
      <c r="EW17">
        <v>5.0010700000000003</v>
      </c>
      <c r="EX17">
        <v>19255.212903225809</v>
      </c>
      <c r="EY17">
        <v>18241.422580645161</v>
      </c>
      <c r="EZ17">
        <v>45.549999999999983</v>
      </c>
      <c r="FA17">
        <v>46.691064516129011</v>
      </c>
      <c r="FB17">
        <v>46.125</v>
      </c>
      <c r="FC17">
        <v>46.416999999999973</v>
      </c>
      <c r="FD17">
        <v>46.375</v>
      </c>
      <c r="FE17">
        <v>1984.9993548387099</v>
      </c>
      <c r="FF17">
        <v>9.980000000000004</v>
      </c>
      <c r="FG17">
        <v>0</v>
      </c>
      <c r="FH17">
        <v>1784997273.9000001</v>
      </c>
      <c r="FI17">
        <v>0</v>
      </c>
      <c r="FJ17">
        <v>785.61029411764707</v>
      </c>
      <c r="FK17">
        <v>-1.34411770102121</v>
      </c>
      <c r="FL17">
        <v>379.87745329323047</v>
      </c>
      <c r="FM17">
        <v>19212.28823529412</v>
      </c>
      <c r="FN17">
        <v>10</v>
      </c>
      <c r="FO17">
        <v>1784997160.0999999</v>
      </c>
      <c r="FP17" t="s">
        <v>416</v>
      </c>
      <c r="FQ17">
        <v>1784997160.0999999</v>
      </c>
      <c r="FR17">
        <v>1784997153.0999999</v>
      </c>
      <c r="FS17">
        <v>1</v>
      </c>
      <c r="FT17">
        <v>-0.49399999999999999</v>
      </c>
      <c r="FU17">
        <v>-0.16200000000000001</v>
      </c>
      <c r="FV17">
        <v>-9.3350000000000009</v>
      </c>
      <c r="FW17">
        <v>-1.224</v>
      </c>
      <c r="FX17">
        <v>463</v>
      </c>
      <c r="FY17">
        <v>21</v>
      </c>
      <c r="FZ17">
        <v>0.23</v>
      </c>
      <c r="GA17">
        <v>7.0000000000000007E-2</v>
      </c>
      <c r="GB17">
        <v>419.93909999999988</v>
      </c>
      <c r="GC17">
        <v>1.1345939933648351E-2</v>
      </c>
      <c r="GD17">
        <v>8.5574665253995097E-2</v>
      </c>
      <c r="GE17">
        <v>-1</v>
      </c>
      <c r="GF17">
        <v>785.69705882352935</v>
      </c>
      <c r="GG17">
        <v>-0.68763942682779966</v>
      </c>
      <c r="GH17">
        <v>0.23636150542268389</v>
      </c>
      <c r="GI17">
        <v>1</v>
      </c>
      <c r="GJ17">
        <v>2.8476159999999999</v>
      </c>
      <c r="GK17">
        <v>0.33020532833020022</v>
      </c>
      <c r="GL17">
        <v>3.5659331022889373E-2</v>
      </c>
      <c r="GM17">
        <v>1</v>
      </c>
      <c r="GN17">
        <v>2</v>
      </c>
      <c r="GO17">
        <v>2</v>
      </c>
      <c r="GP17" t="s">
        <v>404</v>
      </c>
      <c r="GQ17">
        <v>3.1305100000000001</v>
      </c>
      <c r="GR17">
        <v>2.7349899999999998</v>
      </c>
      <c r="GS17">
        <v>9.0949199999999994E-2</v>
      </c>
      <c r="GT17">
        <v>9.7383300000000006E-2</v>
      </c>
      <c r="GU17">
        <v>0.11741</v>
      </c>
      <c r="GV17">
        <v>0.10465000000000001</v>
      </c>
      <c r="GW17">
        <v>22614.1</v>
      </c>
      <c r="GX17">
        <v>30006.2</v>
      </c>
      <c r="GY17">
        <v>27007</v>
      </c>
      <c r="GZ17">
        <v>34217.300000000003</v>
      </c>
      <c r="HA17">
        <v>34943.699999999997</v>
      </c>
      <c r="HB17">
        <v>38557.599999999999</v>
      </c>
      <c r="HC17">
        <v>39893.5</v>
      </c>
      <c r="HD17">
        <v>43134.1</v>
      </c>
      <c r="HE17">
        <v>1.9208000000000001</v>
      </c>
      <c r="HF17">
        <v>1.6818</v>
      </c>
      <c r="HG17">
        <v>-8.9407E-2</v>
      </c>
      <c r="HH17">
        <v>0</v>
      </c>
      <c r="HI17">
        <v>29.6327</v>
      </c>
      <c r="HJ17">
        <v>999.9</v>
      </c>
      <c r="HK17">
        <v>45.5</v>
      </c>
      <c r="HL17">
        <v>41.5</v>
      </c>
      <c r="HM17">
        <v>37.363399999999999</v>
      </c>
      <c r="HN17">
        <v>61.540399999999998</v>
      </c>
      <c r="HO17">
        <v>3.9583400000000002</v>
      </c>
      <c r="HP17">
        <v>1</v>
      </c>
      <c r="HQ17">
        <v>0.99158500000000005</v>
      </c>
      <c r="HR17">
        <v>9.2810500000000005</v>
      </c>
      <c r="HS17">
        <v>19.989000000000001</v>
      </c>
      <c r="HT17">
        <v>5.2100999999999997</v>
      </c>
      <c r="HU17">
        <v>11.9153</v>
      </c>
      <c r="HV17">
        <v>4.9820000000000002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1.86768</v>
      </c>
      <c r="IC17">
        <v>1.8633999999999999</v>
      </c>
      <c r="ID17">
        <v>1.8629500000000001</v>
      </c>
      <c r="IE17">
        <v>1.86246</v>
      </c>
      <c r="IF17">
        <v>1.86243</v>
      </c>
      <c r="IG17">
        <v>1.8629500000000001</v>
      </c>
      <c r="IH17">
        <v>1.8638600000000001</v>
      </c>
      <c r="II17">
        <v>1.86185</v>
      </c>
      <c r="IJ17">
        <v>0</v>
      </c>
      <c r="IK17">
        <v>0</v>
      </c>
      <c r="IL17">
        <v>0</v>
      </c>
      <c r="IM17">
        <v>4.5</v>
      </c>
      <c r="IN17" t="s">
        <v>405</v>
      </c>
      <c r="IO17" t="s">
        <v>406</v>
      </c>
      <c r="IP17" t="s">
        <v>407</v>
      </c>
      <c r="IQ17" t="s">
        <v>408</v>
      </c>
      <c r="IR17" t="s">
        <v>408</v>
      </c>
      <c r="IS17" t="s">
        <v>407</v>
      </c>
      <c r="IT17">
        <v>0</v>
      </c>
      <c r="IU17">
        <v>100</v>
      </c>
      <c r="IV17">
        <v>100</v>
      </c>
      <c r="IW17">
        <v>-9.1769999999999996</v>
      </c>
      <c r="IX17">
        <v>-1.1173</v>
      </c>
      <c r="IY17">
        <v>-7.1766549693838879</v>
      </c>
      <c r="IZ17">
        <v>-5.6215304933332991E-3</v>
      </c>
      <c r="JA17">
        <v>2.3979931213773931E-6</v>
      </c>
      <c r="JB17">
        <v>-3.6297174575716598E-10</v>
      </c>
      <c r="JC17">
        <v>-1.568172910028089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2</v>
      </c>
      <c r="JM17">
        <v>1.1962900000000001</v>
      </c>
      <c r="JN17">
        <v>2.5561500000000001</v>
      </c>
      <c r="JO17">
        <v>1.50024</v>
      </c>
      <c r="JP17">
        <v>2.2729499999999998</v>
      </c>
      <c r="JQ17">
        <v>1.4477500000000001</v>
      </c>
      <c r="JR17">
        <v>2.52563</v>
      </c>
      <c r="JS17">
        <v>47.301900000000003</v>
      </c>
      <c r="JT17">
        <v>23.763500000000001</v>
      </c>
      <c r="JU17">
        <v>18</v>
      </c>
      <c r="JV17">
        <v>548.96199999999999</v>
      </c>
      <c r="JW17">
        <v>403.90800000000002</v>
      </c>
      <c r="JX17">
        <v>22.7638</v>
      </c>
      <c r="JY17">
        <v>38.668599999999998</v>
      </c>
      <c r="JZ17">
        <v>30.0001</v>
      </c>
      <c r="KA17">
        <v>38.717700000000001</v>
      </c>
      <c r="KB17">
        <v>38.729199999999999</v>
      </c>
      <c r="KC17">
        <v>23.937999999999999</v>
      </c>
      <c r="KD17">
        <v>43.722499999999997</v>
      </c>
      <c r="KE17">
        <v>0</v>
      </c>
      <c r="KF17">
        <v>21.137799999999999</v>
      </c>
      <c r="KG17">
        <v>465.21499999999997</v>
      </c>
      <c r="KH17">
        <v>22.104299999999999</v>
      </c>
      <c r="KI17">
        <v>99.691900000000004</v>
      </c>
      <c r="KJ17">
        <v>97.3245</v>
      </c>
    </row>
    <row r="18" spans="1:296" x14ac:dyDescent="0.3">
      <c r="A18">
        <v>2</v>
      </c>
      <c r="B18">
        <v>1784997454.5</v>
      </c>
      <c r="C18">
        <v>181.5</v>
      </c>
      <c r="D18" t="s">
        <v>417</v>
      </c>
      <c r="E18" t="s">
        <v>418</v>
      </c>
      <c r="F18">
        <v>15</v>
      </c>
      <c r="H18">
        <v>1784997446.5</v>
      </c>
      <c r="I18">
        <f t="shared" si="0"/>
        <v>3.0678264839231603E-3</v>
      </c>
      <c r="J18">
        <f t="shared" si="1"/>
        <v>3.0678264839231604</v>
      </c>
      <c r="K18">
        <f t="shared" si="2"/>
        <v>36.871959462673473</v>
      </c>
      <c r="L18">
        <f t="shared" si="3"/>
        <v>419.88529032258072</v>
      </c>
      <c r="M18">
        <f t="shared" si="4"/>
        <v>133.59844301678021</v>
      </c>
      <c r="N18">
        <f t="shared" si="5"/>
        <v>13.069491576265994</v>
      </c>
      <c r="O18">
        <f t="shared" si="6"/>
        <v>41.075982181766193</v>
      </c>
      <c r="P18">
        <f t="shared" si="7"/>
        <v>0.21836972789946113</v>
      </c>
      <c r="Q18">
        <f t="shared" si="8"/>
        <v>2.8905531929707693</v>
      </c>
      <c r="R18">
        <f t="shared" si="9"/>
        <v>0.20960133711774204</v>
      </c>
      <c r="S18">
        <f t="shared" si="10"/>
        <v>0.13175930310958711</v>
      </c>
      <c r="T18">
        <f t="shared" si="11"/>
        <v>271.90625921918758</v>
      </c>
      <c r="U18">
        <f t="shared" si="12"/>
        <v>28.454510342353096</v>
      </c>
      <c r="V18">
        <f t="shared" si="13"/>
        <v>27.97002580645162</v>
      </c>
      <c r="W18">
        <f t="shared" si="14"/>
        <v>3.7882136573754264</v>
      </c>
      <c r="X18">
        <f t="shared" si="15"/>
        <v>64.635298052259742</v>
      </c>
      <c r="Y18">
        <f t="shared" si="16"/>
        <v>2.4016742396054904</v>
      </c>
      <c r="Z18">
        <f t="shared" si="17"/>
        <v>3.7157316698124583</v>
      </c>
      <c r="AA18">
        <f t="shared" si="18"/>
        <v>1.3865394177699359</v>
      </c>
      <c r="AB18">
        <f t="shared" si="19"/>
        <v>-135.29114794101136</v>
      </c>
      <c r="AC18">
        <f t="shared" si="20"/>
        <v>-51.56747627290158</v>
      </c>
      <c r="AD18">
        <f t="shared" si="21"/>
        <v>-3.8811421112291304</v>
      </c>
      <c r="AE18">
        <f t="shared" si="22"/>
        <v>81.166492894045518</v>
      </c>
      <c r="AF18">
        <f t="shared" si="23"/>
        <v>36.871959462673473</v>
      </c>
      <c r="AG18">
        <f t="shared" si="24"/>
        <v>3.0678264839231604</v>
      </c>
      <c r="AH18">
        <f t="shared" si="25"/>
        <v>36.863768374138331</v>
      </c>
      <c r="AI18">
        <v>475.66745101191941</v>
      </c>
      <c r="AJ18">
        <v>430.47141818181791</v>
      </c>
      <c r="AK18">
        <v>2.5127344902520351E-3</v>
      </c>
      <c r="AL18">
        <v>67.076725573630782</v>
      </c>
      <c r="AM18">
        <f t="shared" si="26"/>
        <v>3.0887957068745062</v>
      </c>
      <c r="AN18">
        <v>20.96721515857142</v>
      </c>
      <c r="AO18">
        <v>24.580526060606061</v>
      </c>
      <c r="AP18">
        <v>3.386733266734518E-4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51600.004597823077</v>
      </c>
      <c r="AW18" t="s">
        <v>414</v>
      </c>
      <c r="AX18">
        <v>13238.7</v>
      </c>
      <c r="AY18">
        <v>563.55294117647065</v>
      </c>
      <c r="AZ18">
        <v>2281.46</v>
      </c>
      <c r="BA18">
        <f t="shared" si="30"/>
        <v>0.75298583311718348</v>
      </c>
      <c r="BB18">
        <v>-2.6862788665954151</v>
      </c>
      <c r="BC18" t="s">
        <v>419</v>
      </c>
      <c r="BD18">
        <v>13183</v>
      </c>
      <c r="BE18">
        <v>792.40929411764705</v>
      </c>
      <c r="BF18">
        <v>1038.47</v>
      </c>
      <c r="BG18">
        <f t="shared" si="31"/>
        <v>0.23694541573887828</v>
      </c>
      <c r="BH18">
        <v>0.5</v>
      </c>
      <c r="BI18">
        <f t="shared" si="32"/>
        <v>1428.2942338591813</v>
      </c>
      <c r="BJ18">
        <f t="shared" si="33"/>
        <v>36.871959462673473</v>
      </c>
      <c r="BK18">
        <f t="shared" si="34"/>
        <v>169.21388551960317</v>
      </c>
      <c r="BL18">
        <f t="shared" si="35"/>
        <v>2.7696140887150722E-2</v>
      </c>
      <c r="BM18">
        <f t="shared" si="36"/>
        <v>1.1969435804597148</v>
      </c>
      <c r="BN18">
        <f t="shared" si="37"/>
        <v>434.95366221870188</v>
      </c>
      <c r="BO18" t="s">
        <v>402</v>
      </c>
      <c r="BP18">
        <v>0</v>
      </c>
      <c r="BQ18">
        <f t="shared" si="38"/>
        <v>434.95366221870188</v>
      </c>
      <c r="BR18">
        <f t="shared" si="39"/>
        <v>0.58115914545562042</v>
      </c>
      <c r="BS18">
        <f t="shared" si="40"/>
        <v>0.40771175605111837</v>
      </c>
      <c r="BT18">
        <f t="shared" si="41"/>
        <v>0.67315772200031354</v>
      </c>
      <c r="BU18">
        <f t="shared" si="42"/>
        <v>0.5181130079679549</v>
      </c>
      <c r="BV18">
        <f t="shared" si="43"/>
        <v>0.72354903812505089</v>
      </c>
      <c r="BW18">
        <f t="shared" si="44"/>
        <v>0.22379308614939505</v>
      </c>
      <c r="BX18">
        <f t="shared" si="45"/>
        <v>0.77620691385060492</v>
      </c>
      <c r="DG18">
        <f t="shared" si="46"/>
        <v>1699.9874193548389</v>
      </c>
      <c r="DH18">
        <f t="shared" si="47"/>
        <v>1428.2942338591813</v>
      </c>
      <c r="DI18">
        <f t="shared" si="48"/>
        <v>0.8401792963863417</v>
      </c>
      <c r="DJ18">
        <f t="shared" si="49"/>
        <v>0.15994604202563953</v>
      </c>
      <c r="DK18">
        <v>6</v>
      </c>
      <c r="DL18">
        <v>0.5</v>
      </c>
      <c r="DM18" t="s">
        <v>403</v>
      </c>
      <c r="DN18">
        <v>2</v>
      </c>
      <c r="DO18" t="b">
        <v>0</v>
      </c>
      <c r="DP18">
        <v>1784997446.5</v>
      </c>
      <c r="DQ18">
        <v>419.88529032258072</v>
      </c>
      <c r="DR18">
        <v>465.67670967741941</v>
      </c>
      <c r="DS18">
        <v>24.5503</v>
      </c>
      <c r="DT18">
        <v>20.95934193548387</v>
      </c>
      <c r="DU18">
        <v>429.10558064516118</v>
      </c>
      <c r="DV18">
        <v>25.70152580645161</v>
      </c>
      <c r="DW18">
        <v>500.00758064516123</v>
      </c>
      <c r="DX18">
        <v>97.768348387096765</v>
      </c>
      <c r="DY18">
        <v>5.8327441935483872E-2</v>
      </c>
      <c r="DZ18">
        <v>27.63911612903226</v>
      </c>
      <c r="EA18">
        <v>27.97002580645162</v>
      </c>
      <c r="EB18">
        <v>999.90000000000032</v>
      </c>
      <c r="EC18">
        <v>0</v>
      </c>
      <c r="ED18">
        <v>0</v>
      </c>
      <c r="EE18">
        <v>10002.58064516129</v>
      </c>
      <c r="EF18">
        <v>0</v>
      </c>
      <c r="EG18">
        <v>227.1011935483871</v>
      </c>
      <c r="EH18">
        <v>-45.791500000000013</v>
      </c>
      <c r="EI18">
        <v>430.45296774193548</v>
      </c>
      <c r="EJ18">
        <v>475.64590322580642</v>
      </c>
      <c r="EK18">
        <v>3.590947741935484</v>
      </c>
      <c r="EL18">
        <v>465.67670967741941</v>
      </c>
      <c r="EM18">
        <v>20.95934193548387</v>
      </c>
      <c r="EN18">
        <v>2.4002416129032258</v>
      </c>
      <c r="EO18">
        <v>2.049160967741936</v>
      </c>
      <c r="EP18">
        <v>20.365400000000001</v>
      </c>
      <c r="EQ18">
        <v>17.829396774193551</v>
      </c>
      <c r="ER18">
        <v>1699.9874193548389</v>
      </c>
      <c r="ES18">
        <v>0.9940033548387095</v>
      </c>
      <c r="ET18">
        <v>5.9968951612903217E-3</v>
      </c>
      <c r="EU18">
        <v>0</v>
      </c>
      <c r="EV18">
        <v>792.38874193548406</v>
      </c>
      <c r="EW18">
        <v>5.0010700000000003</v>
      </c>
      <c r="EX18">
        <v>16993.316129032261</v>
      </c>
      <c r="EY18">
        <v>15492.416129032261</v>
      </c>
      <c r="EZ18">
        <v>45.401000000000003</v>
      </c>
      <c r="FA18">
        <v>46.936999999999969</v>
      </c>
      <c r="FB18">
        <v>46.25</v>
      </c>
      <c r="FC18">
        <v>46.682999999999971</v>
      </c>
      <c r="FD18">
        <v>46.409000000000013</v>
      </c>
      <c r="FE18">
        <v>1684.8174193548391</v>
      </c>
      <c r="FF18">
        <v>10.160000000000011</v>
      </c>
      <c r="FG18">
        <v>0</v>
      </c>
      <c r="FH18">
        <v>180.69999980926511</v>
      </c>
      <c r="FI18">
        <v>0</v>
      </c>
      <c r="FJ18">
        <v>792.40929411764705</v>
      </c>
      <c r="FK18">
        <v>0.2367647050689034</v>
      </c>
      <c r="FL18">
        <v>-189.01961617079829</v>
      </c>
      <c r="FM18">
        <v>16969.976470588241</v>
      </c>
      <c r="FN18">
        <v>10</v>
      </c>
      <c r="FO18">
        <v>1784997371</v>
      </c>
      <c r="FP18" t="s">
        <v>420</v>
      </c>
      <c r="FQ18">
        <v>1784997369</v>
      </c>
      <c r="FR18">
        <v>1784997371</v>
      </c>
      <c r="FS18">
        <v>2</v>
      </c>
      <c r="FT18">
        <v>-4.3999999999999997E-2</v>
      </c>
      <c r="FU18">
        <v>-2.3E-2</v>
      </c>
      <c r="FV18">
        <v>-9.3859999999999992</v>
      </c>
      <c r="FW18">
        <v>-1.2350000000000001</v>
      </c>
      <c r="FX18">
        <v>465</v>
      </c>
      <c r="FY18">
        <v>21</v>
      </c>
      <c r="FZ18">
        <v>0.19</v>
      </c>
      <c r="GA18">
        <v>0.08</v>
      </c>
      <c r="GB18">
        <v>419.88276666666673</v>
      </c>
      <c r="GC18">
        <v>0.1296106785323648</v>
      </c>
      <c r="GD18">
        <v>5.5057353934085132E-2</v>
      </c>
      <c r="GE18">
        <v>-1</v>
      </c>
      <c r="GF18">
        <v>792.33382352941192</v>
      </c>
      <c r="GG18">
        <v>0.87061878966753092</v>
      </c>
      <c r="GH18">
        <v>0.22474723980353981</v>
      </c>
      <c r="GI18">
        <v>1</v>
      </c>
      <c r="GJ18">
        <v>3.6315599999999999</v>
      </c>
      <c r="GK18">
        <v>-0.54783894934334088</v>
      </c>
      <c r="GL18">
        <v>7.3545690254426213E-2</v>
      </c>
      <c r="GM18">
        <v>0</v>
      </c>
      <c r="GN18">
        <v>1</v>
      </c>
      <c r="GO18">
        <v>2</v>
      </c>
      <c r="GP18" t="s">
        <v>409</v>
      </c>
      <c r="GQ18">
        <v>3.13076</v>
      </c>
      <c r="GR18">
        <v>2.7341299999999999</v>
      </c>
      <c r="GS18">
        <v>9.0901899999999994E-2</v>
      </c>
      <c r="GT18">
        <v>9.7374500000000003E-2</v>
      </c>
      <c r="GU18">
        <v>0.116262</v>
      </c>
      <c r="GV18">
        <v>0.100921</v>
      </c>
      <c r="GW18">
        <v>22612.2</v>
      </c>
      <c r="GX18">
        <v>30002.6</v>
      </c>
      <c r="GY18">
        <v>27003.8</v>
      </c>
      <c r="GZ18">
        <v>34213.699999999997</v>
      </c>
      <c r="HA18">
        <v>34985.5</v>
      </c>
      <c r="HB18">
        <v>38713.199999999997</v>
      </c>
      <c r="HC18">
        <v>39889.199999999997</v>
      </c>
      <c r="HD18">
        <v>43129</v>
      </c>
      <c r="HE18">
        <v>1.9218</v>
      </c>
      <c r="HF18">
        <v>1.6759999999999999</v>
      </c>
      <c r="HG18">
        <v>-9.7870799999999994E-2</v>
      </c>
      <c r="HH18">
        <v>0</v>
      </c>
      <c r="HI18">
        <v>29.5459</v>
      </c>
      <c r="HJ18">
        <v>999.9</v>
      </c>
      <c r="HK18">
        <v>45.5</v>
      </c>
      <c r="HL18">
        <v>41.7</v>
      </c>
      <c r="HM18">
        <v>37.759</v>
      </c>
      <c r="HN18">
        <v>61.410499999999999</v>
      </c>
      <c r="HO18">
        <v>3.98638</v>
      </c>
      <c r="HP18">
        <v>1</v>
      </c>
      <c r="HQ18">
        <v>0.99418700000000004</v>
      </c>
      <c r="HR18">
        <v>8.4313500000000001</v>
      </c>
      <c r="HS18">
        <v>20.033300000000001</v>
      </c>
      <c r="HT18">
        <v>5.2088999999999999</v>
      </c>
      <c r="HU18">
        <v>11.914099999999999</v>
      </c>
      <c r="HV18">
        <v>4.9824000000000002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1.86768</v>
      </c>
      <c r="IC18">
        <v>1.8633999999999999</v>
      </c>
      <c r="ID18">
        <v>1.8629500000000001</v>
      </c>
      <c r="IE18">
        <v>1.86249</v>
      </c>
      <c r="IF18">
        <v>1.86246</v>
      </c>
      <c r="IG18">
        <v>1.8629500000000001</v>
      </c>
      <c r="IH18">
        <v>1.86395</v>
      </c>
      <c r="II18">
        <v>1.86185</v>
      </c>
      <c r="IJ18">
        <v>0</v>
      </c>
      <c r="IK18">
        <v>0</v>
      </c>
      <c r="IL18">
        <v>0</v>
      </c>
      <c r="IM18">
        <v>4.5</v>
      </c>
      <c r="IN18" t="s">
        <v>405</v>
      </c>
      <c r="IO18" t="s">
        <v>406</v>
      </c>
      <c r="IP18" t="s">
        <v>407</v>
      </c>
      <c r="IQ18" t="s">
        <v>408</v>
      </c>
      <c r="IR18" t="s">
        <v>408</v>
      </c>
      <c r="IS18" t="s">
        <v>407</v>
      </c>
      <c r="IT18">
        <v>0</v>
      </c>
      <c r="IU18">
        <v>100</v>
      </c>
      <c r="IV18">
        <v>100</v>
      </c>
      <c r="IW18">
        <v>-9.2200000000000006</v>
      </c>
      <c r="IX18">
        <v>-1.1503000000000001</v>
      </c>
      <c r="IY18">
        <v>-7.2210685942929409</v>
      </c>
      <c r="IZ18">
        <v>-5.6215304933332991E-3</v>
      </c>
      <c r="JA18">
        <v>2.3979931213773931E-6</v>
      </c>
      <c r="JB18">
        <v>-3.6297174575716598E-10</v>
      </c>
      <c r="JC18">
        <v>-1.591197386601432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1.4</v>
      </c>
      <c r="JL18">
        <v>1.4</v>
      </c>
      <c r="JM18">
        <v>1.1975100000000001</v>
      </c>
      <c r="JN18">
        <v>2.5537100000000001</v>
      </c>
      <c r="JO18">
        <v>1.50024</v>
      </c>
      <c r="JP18">
        <v>2.2729499999999998</v>
      </c>
      <c r="JQ18">
        <v>1.4477500000000001</v>
      </c>
      <c r="JR18">
        <v>2.51831</v>
      </c>
      <c r="JS18">
        <v>47.601900000000001</v>
      </c>
      <c r="JT18">
        <v>23.780999999999999</v>
      </c>
      <c r="JU18">
        <v>18</v>
      </c>
      <c r="JV18">
        <v>550.53700000000003</v>
      </c>
      <c r="JW18">
        <v>401.03699999999998</v>
      </c>
      <c r="JX18">
        <v>22.9511</v>
      </c>
      <c r="JY18">
        <v>38.7913</v>
      </c>
      <c r="JZ18">
        <v>29.999300000000002</v>
      </c>
      <c r="KA18">
        <v>38.831499999999998</v>
      </c>
      <c r="KB18">
        <v>38.838500000000003</v>
      </c>
      <c r="KC18">
        <v>23.944299999999998</v>
      </c>
      <c r="KD18">
        <v>46.584099999999999</v>
      </c>
      <c r="KE18">
        <v>0</v>
      </c>
      <c r="KF18">
        <v>22.960899999999999</v>
      </c>
      <c r="KG18">
        <v>465.75799999999998</v>
      </c>
      <c r="KH18">
        <v>20.895499999999998</v>
      </c>
      <c r="KI18">
        <v>99.680800000000005</v>
      </c>
      <c r="KJ18">
        <v>97.313599999999994</v>
      </c>
    </row>
    <row r="19" spans="1:296" x14ac:dyDescent="0.3">
      <c r="A19">
        <v>3</v>
      </c>
      <c r="B19">
        <v>1784997636</v>
      </c>
      <c r="C19">
        <v>363</v>
      </c>
      <c r="D19" t="s">
        <v>421</v>
      </c>
      <c r="E19" t="s">
        <v>422</v>
      </c>
      <c r="F19">
        <v>15</v>
      </c>
      <c r="H19">
        <v>1784997628.25</v>
      </c>
      <c r="I19">
        <f t="shared" si="0"/>
        <v>3.1292689572835135E-3</v>
      </c>
      <c r="J19">
        <f t="shared" si="1"/>
        <v>3.1292689572835135</v>
      </c>
      <c r="K19">
        <f t="shared" si="2"/>
        <v>37.139216651447818</v>
      </c>
      <c r="L19">
        <f t="shared" si="3"/>
        <v>419.89706666666672</v>
      </c>
      <c r="M19">
        <f t="shared" si="4"/>
        <v>135.8491430196384</v>
      </c>
      <c r="N19">
        <f t="shared" si="5"/>
        <v>13.289408562289688</v>
      </c>
      <c r="O19">
        <f t="shared" si="6"/>
        <v>41.076325908317671</v>
      </c>
      <c r="P19">
        <f t="shared" si="7"/>
        <v>0.22189415246905622</v>
      </c>
      <c r="Q19">
        <f t="shared" si="8"/>
        <v>2.8903801999235057</v>
      </c>
      <c r="R19">
        <f t="shared" si="9"/>
        <v>0.21284622636065284</v>
      </c>
      <c r="S19">
        <f t="shared" si="10"/>
        <v>0.13381106907765675</v>
      </c>
      <c r="T19">
        <f t="shared" si="11"/>
        <v>255.91485662808455</v>
      </c>
      <c r="U19">
        <f t="shared" si="12"/>
        <v>28.487164571406968</v>
      </c>
      <c r="V19">
        <f t="shared" si="13"/>
        <v>28.118106666666669</v>
      </c>
      <c r="W19">
        <f t="shared" si="14"/>
        <v>3.8210465681357619</v>
      </c>
      <c r="X19">
        <f t="shared" si="15"/>
        <v>64.81571689549564</v>
      </c>
      <c r="Y19">
        <f t="shared" si="16"/>
        <v>2.428767804509695</v>
      </c>
      <c r="Z19">
        <f t="shared" si="17"/>
        <v>3.7471896028330152</v>
      </c>
      <c r="AA19">
        <f t="shared" si="18"/>
        <v>1.392278763626067</v>
      </c>
      <c r="AB19">
        <f t="shared" si="19"/>
        <v>-138.00076101620294</v>
      </c>
      <c r="AC19">
        <f t="shared" si="20"/>
        <v>-52.152943872756985</v>
      </c>
      <c r="AD19">
        <f t="shared" si="21"/>
        <v>-3.9311674594941719</v>
      </c>
      <c r="AE19">
        <f t="shared" si="22"/>
        <v>61.829984279630459</v>
      </c>
      <c r="AF19">
        <f t="shared" si="23"/>
        <v>37.139216651447818</v>
      </c>
      <c r="AG19">
        <f t="shared" si="24"/>
        <v>3.1292689572835135</v>
      </c>
      <c r="AH19">
        <f t="shared" si="25"/>
        <v>37.265606744394702</v>
      </c>
      <c r="AI19">
        <v>476.2728578974087</v>
      </c>
      <c r="AJ19">
        <v>430.58615757575768</v>
      </c>
      <c r="AK19">
        <v>-2.5693060598686339E-4</v>
      </c>
      <c r="AL19">
        <v>67.09218650629586</v>
      </c>
      <c r="AM19">
        <f t="shared" si="26"/>
        <v>3.1373152431648488</v>
      </c>
      <c r="AN19">
        <v>21.1655656025974</v>
      </c>
      <c r="AO19">
        <v>24.837383636363619</v>
      </c>
      <c r="AP19">
        <v>-5.8318988201164967E-5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51570.28299159513</v>
      </c>
      <c r="AW19" t="s">
        <v>414</v>
      </c>
      <c r="AX19">
        <v>13238.7</v>
      </c>
      <c r="AY19">
        <v>563.55294117647065</v>
      </c>
      <c r="AZ19">
        <v>2281.46</v>
      </c>
      <c r="BA19">
        <f t="shared" si="30"/>
        <v>0.75298583311718348</v>
      </c>
      <c r="BB19">
        <v>-2.6862788665954151</v>
      </c>
      <c r="BC19" t="s">
        <v>423</v>
      </c>
      <c r="BD19">
        <v>13155.5</v>
      </c>
      <c r="BE19">
        <v>791.91929411764704</v>
      </c>
      <c r="BF19">
        <v>1061.69</v>
      </c>
      <c r="BG19">
        <f t="shared" si="31"/>
        <v>0.25409555132133954</v>
      </c>
      <c r="BH19">
        <v>0.5</v>
      </c>
      <c r="BI19">
        <f t="shared" si="32"/>
        <v>1344.2938013617015</v>
      </c>
      <c r="BJ19">
        <f t="shared" si="33"/>
        <v>37.139216651447818</v>
      </c>
      <c r="BK19">
        <f t="shared" si="34"/>
        <v>170.78953729743043</v>
      </c>
      <c r="BL19">
        <f t="shared" si="35"/>
        <v>2.9625588898574123E-2</v>
      </c>
      <c r="BM19">
        <f t="shared" si="36"/>
        <v>1.148894686772975</v>
      </c>
      <c r="BN19">
        <f t="shared" si="37"/>
        <v>438.9748388842271</v>
      </c>
      <c r="BO19" t="s">
        <v>402</v>
      </c>
      <c r="BP19">
        <v>0</v>
      </c>
      <c r="BQ19">
        <f t="shared" si="38"/>
        <v>438.9748388842271</v>
      </c>
      <c r="BR19">
        <f t="shared" si="39"/>
        <v>0.58653200191748334</v>
      </c>
      <c r="BS19">
        <f t="shared" si="40"/>
        <v>0.43321685856978553</v>
      </c>
      <c r="BT19">
        <f t="shared" si="41"/>
        <v>0.66202432765392327</v>
      </c>
      <c r="BU19">
        <f t="shared" si="42"/>
        <v>0.54155919762219962</v>
      </c>
      <c r="BV19">
        <f t="shared" si="43"/>
        <v>0.71003259095712223</v>
      </c>
      <c r="BW19">
        <f t="shared" si="44"/>
        <v>0.24013974922089837</v>
      </c>
      <c r="BX19">
        <f t="shared" si="45"/>
        <v>0.75986025077910169</v>
      </c>
      <c r="DG19">
        <f t="shared" si="46"/>
        <v>1600.008333333333</v>
      </c>
      <c r="DH19">
        <f t="shared" si="47"/>
        <v>1344.2938013617015</v>
      </c>
      <c r="DI19">
        <f t="shared" si="48"/>
        <v>0.84017924991747028</v>
      </c>
      <c r="DJ19">
        <f t="shared" si="49"/>
        <v>0.15994595234071776</v>
      </c>
      <c r="DK19">
        <v>6</v>
      </c>
      <c r="DL19">
        <v>0.5</v>
      </c>
      <c r="DM19" t="s">
        <v>403</v>
      </c>
      <c r="DN19">
        <v>2</v>
      </c>
      <c r="DO19" t="b">
        <v>0</v>
      </c>
      <c r="DP19">
        <v>1784997628.25</v>
      </c>
      <c r="DQ19">
        <v>419.89706666666672</v>
      </c>
      <c r="DR19">
        <v>466.04326666666668</v>
      </c>
      <c r="DS19">
        <v>24.827743333333331</v>
      </c>
      <c r="DT19">
        <v>21.165663333333331</v>
      </c>
      <c r="DU19">
        <v>429.08699999999988</v>
      </c>
      <c r="DV19">
        <v>25.960049999999999</v>
      </c>
      <c r="DW19">
        <v>499.97426666666672</v>
      </c>
      <c r="DX19">
        <v>97.765940000000015</v>
      </c>
      <c r="DY19">
        <v>5.881080000000001E-2</v>
      </c>
      <c r="DZ19">
        <v>27.78342</v>
      </c>
      <c r="EA19">
        <v>28.118106666666669</v>
      </c>
      <c r="EB19">
        <v>999.9000000000002</v>
      </c>
      <c r="EC19">
        <v>0</v>
      </c>
      <c r="ED19">
        <v>0</v>
      </c>
      <c r="EE19">
        <v>10001.83333333333</v>
      </c>
      <c r="EF19">
        <v>0</v>
      </c>
      <c r="EG19">
        <v>498.28510000000011</v>
      </c>
      <c r="EH19">
        <v>-46.146343333333327</v>
      </c>
      <c r="EI19">
        <v>430.58760000000001</v>
      </c>
      <c r="EJ19">
        <v>476.12079999999997</v>
      </c>
      <c r="EK19">
        <v>3.6620789999999999</v>
      </c>
      <c r="EL19">
        <v>466.04326666666668</v>
      </c>
      <c r="EM19">
        <v>21.165663333333331</v>
      </c>
      <c r="EN19">
        <v>2.427308</v>
      </c>
      <c r="EO19">
        <v>2.069281666666666</v>
      </c>
      <c r="EP19">
        <v>20.547106666666661</v>
      </c>
      <c r="EQ19">
        <v>17.98466333333333</v>
      </c>
      <c r="ER19">
        <v>1600.008333333333</v>
      </c>
      <c r="ES19">
        <v>0.99400373333333325</v>
      </c>
      <c r="ET19">
        <v>5.9958453333333337E-3</v>
      </c>
      <c r="EU19">
        <v>0</v>
      </c>
      <c r="EV19">
        <v>791.91029999999989</v>
      </c>
      <c r="EW19">
        <v>5.0010700000000003</v>
      </c>
      <c r="EX19">
        <v>16317.793333333329</v>
      </c>
      <c r="EY19">
        <v>14578.6</v>
      </c>
      <c r="EZ19">
        <v>45.258266666666671</v>
      </c>
      <c r="FA19">
        <v>46.932866666666641</v>
      </c>
      <c r="FB19">
        <v>46.186999999999983</v>
      </c>
      <c r="FC19">
        <v>46.682866666666641</v>
      </c>
      <c r="FD19">
        <v>46.316199999999967</v>
      </c>
      <c r="FE19">
        <v>1585.439666666666</v>
      </c>
      <c r="FF19">
        <v>9.56</v>
      </c>
      <c r="FG19">
        <v>0</v>
      </c>
      <c r="FH19">
        <v>180.89999985694891</v>
      </c>
      <c r="FI19">
        <v>0</v>
      </c>
      <c r="FJ19">
        <v>791.91929411764704</v>
      </c>
      <c r="FK19">
        <v>0.28333333496605773</v>
      </c>
      <c r="FL19">
        <v>51.249991774216717</v>
      </c>
      <c r="FM19">
        <v>16315.52941176471</v>
      </c>
      <c r="FN19">
        <v>10</v>
      </c>
      <c r="FO19">
        <v>1784997515</v>
      </c>
      <c r="FP19" t="s">
        <v>424</v>
      </c>
      <c r="FQ19">
        <v>1784997509</v>
      </c>
      <c r="FR19">
        <v>1784997515</v>
      </c>
      <c r="FS19">
        <v>3</v>
      </c>
      <c r="FT19">
        <v>0.03</v>
      </c>
      <c r="FU19">
        <v>1.2E-2</v>
      </c>
      <c r="FV19">
        <v>-9.3580000000000005</v>
      </c>
      <c r="FW19">
        <v>-1.234</v>
      </c>
      <c r="FX19">
        <v>465</v>
      </c>
      <c r="FY19">
        <v>21</v>
      </c>
      <c r="FZ19">
        <v>0.22</v>
      </c>
      <c r="GA19">
        <v>0.05</v>
      </c>
      <c r="GB19">
        <v>419.88777419354841</v>
      </c>
      <c r="GC19">
        <v>0.43229032257963912</v>
      </c>
      <c r="GD19">
        <v>7.33369201027462E-2</v>
      </c>
      <c r="GE19">
        <v>-1</v>
      </c>
      <c r="GF19">
        <v>791.95041176470579</v>
      </c>
      <c r="GG19">
        <v>-0.75425515123416265</v>
      </c>
      <c r="GH19">
        <v>0.2501704263387875</v>
      </c>
      <c r="GI19">
        <v>1</v>
      </c>
      <c r="GJ19">
        <v>3.6640097560975611</v>
      </c>
      <c r="GK19">
        <v>-3.2265993031371523E-2</v>
      </c>
      <c r="GL19">
        <v>9.5430542965219394E-3</v>
      </c>
      <c r="GM19">
        <v>1</v>
      </c>
      <c r="GN19">
        <v>2</v>
      </c>
      <c r="GO19">
        <v>2</v>
      </c>
      <c r="GP19" t="s">
        <v>404</v>
      </c>
      <c r="GQ19">
        <v>3.1311900000000001</v>
      </c>
      <c r="GR19">
        <v>2.7354099999999999</v>
      </c>
      <c r="GS19">
        <v>9.0900400000000006E-2</v>
      </c>
      <c r="GT19">
        <v>9.7424700000000003E-2</v>
      </c>
      <c r="GU19">
        <v>0.11698</v>
      </c>
      <c r="GV19">
        <v>0.101574</v>
      </c>
      <c r="GW19">
        <v>22609.8</v>
      </c>
      <c r="GX19">
        <v>29996.9</v>
      </c>
      <c r="GY19">
        <v>27001.1</v>
      </c>
      <c r="GZ19">
        <v>34209.4</v>
      </c>
      <c r="HA19">
        <v>34954.300000000003</v>
      </c>
      <c r="HB19">
        <v>38679.599999999999</v>
      </c>
      <c r="HC19">
        <v>39885.5</v>
      </c>
      <c r="HD19">
        <v>43122.7</v>
      </c>
      <c r="HE19">
        <v>1.9214</v>
      </c>
      <c r="HF19">
        <v>1.673</v>
      </c>
      <c r="HG19">
        <v>-9.4473399999999999E-2</v>
      </c>
      <c r="HH19">
        <v>0</v>
      </c>
      <c r="HI19">
        <v>29.665900000000001</v>
      </c>
      <c r="HJ19">
        <v>999.9</v>
      </c>
      <c r="HK19">
        <v>45.4</v>
      </c>
      <c r="HL19">
        <v>41.9</v>
      </c>
      <c r="HM19">
        <v>38.079900000000002</v>
      </c>
      <c r="HN19">
        <v>61.450600000000001</v>
      </c>
      <c r="HO19">
        <v>4.1786899999999996</v>
      </c>
      <c r="HP19">
        <v>1</v>
      </c>
      <c r="HQ19">
        <v>1.00451</v>
      </c>
      <c r="HR19">
        <v>9.2810500000000005</v>
      </c>
      <c r="HS19">
        <v>19.992999999999999</v>
      </c>
      <c r="HT19">
        <v>5.2065099999999997</v>
      </c>
      <c r="HU19">
        <v>11.918900000000001</v>
      </c>
      <c r="HV19">
        <v>4.9832000000000001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1.86768</v>
      </c>
      <c r="IC19">
        <v>1.8633999999999999</v>
      </c>
      <c r="ID19">
        <v>1.8629500000000001</v>
      </c>
      <c r="IE19">
        <v>1.86243</v>
      </c>
      <c r="IF19">
        <v>1.86249</v>
      </c>
      <c r="IG19">
        <v>1.8629500000000001</v>
      </c>
      <c r="IH19">
        <v>1.86389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405</v>
      </c>
      <c r="IO19" t="s">
        <v>406</v>
      </c>
      <c r="IP19" t="s">
        <v>407</v>
      </c>
      <c r="IQ19" t="s">
        <v>408</v>
      </c>
      <c r="IR19" t="s">
        <v>408</v>
      </c>
      <c r="IS19" t="s">
        <v>407</v>
      </c>
      <c r="IT19">
        <v>0</v>
      </c>
      <c r="IU19">
        <v>100</v>
      </c>
      <c r="IV19">
        <v>100</v>
      </c>
      <c r="IW19">
        <v>-9.19</v>
      </c>
      <c r="IX19">
        <v>-1.1322000000000001</v>
      </c>
      <c r="IY19">
        <v>-7.1906459065753587</v>
      </c>
      <c r="IZ19">
        <v>-5.6215304933332991E-3</v>
      </c>
      <c r="JA19">
        <v>2.3979931213773931E-6</v>
      </c>
      <c r="JB19">
        <v>-3.6297174575716598E-10</v>
      </c>
      <c r="JC19">
        <v>-1.5796741937293699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</v>
      </c>
      <c r="JM19">
        <v>1.1975100000000001</v>
      </c>
      <c r="JN19">
        <v>2.5647000000000002</v>
      </c>
      <c r="JO19">
        <v>1.50024</v>
      </c>
      <c r="JP19">
        <v>2.2729499999999998</v>
      </c>
      <c r="JQ19">
        <v>1.4477500000000001</v>
      </c>
      <c r="JR19">
        <v>2.4121100000000002</v>
      </c>
      <c r="JS19">
        <v>47.874000000000002</v>
      </c>
      <c r="JT19">
        <v>23.754799999999999</v>
      </c>
      <c r="JU19">
        <v>18</v>
      </c>
      <c r="JV19">
        <v>550.75</v>
      </c>
      <c r="JW19">
        <v>399.60899999999998</v>
      </c>
      <c r="JX19">
        <v>22.7972</v>
      </c>
      <c r="JY19">
        <v>38.8371</v>
      </c>
      <c r="JZ19">
        <v>30.0002</v>
      </c>
      <c r="KA19">
        <v>38.894100000000002</v>
      </c>
      <c r="KB19">
        <v>38.904299999999999</v>
      </c>
      <c r="KC19">
        <v>23.954000000000001</v>
      </c>
      <c r="KD19">
        <v>46.542000000000002</v>
      </c>
      <c r="KE19">
        <v>0</v>
      </c>
      <c r="KF19">
        <v>21.642199999999999</v>
      </c>
      <c r="KG19">
        <v>465.97500000000002</v>
      </c>
      <c r="KH19">
        <v>21.1311</v>
      </c>
      <c r="KI19">
        <v>99.671199999999999</v>
      </c>
      <c r="KJ19">
        <v>97.300299999999993</v>
      </c>
    </row>
    <row r="20" spans="1:296" x14ac:dyDescent="0.3">
      <c r="A20">
        <v>4</v>
      </c>
      <c r="B20">
        <v>1784997817.5</v>
      </c>
      <c r="C20">
        <v>544.5</v>
      </c>
      <c r="D20" t="s">
        <v>425</v>
      </c>
      <c r="E20" t="s">
        <v>426</v>
      </c>
      <c r="F20">
        <v>15</v>
      </c>
      <c r="H20">
        <v>1784997809.75</v>
      </c>
      <c r="I20">
        <f t="shared" si="0"/>
        <v>3.3809132353890626E-3</v>
      </c>
      <c r="J20">
        <f t="shared" si="1"/>
        <v>3.3809132353890625</v>
      </c>
      <c r="K20">
        <f t="shared" si="2"/>
        <v>36.228912654478513</v>
      </c>
      <c r="L20">
        <f t="shared" si="3"/>
        <v>419.99463333333318</v>
      </c>
      <c r="M20">
        <f t="shared" si="4"/>
        <v>170.01294042328627</v>
      </c>
      <c r="N20">
        <f t="shared" si="5"/>
        <v>16.630403881934356</v>
      </c>
      <c r="O20">
        <f t="shared" si="6"/>
        <v>41.083227918935428</v>
      </c>
      <c r="P20">
        <f t="shared" si="7"/>
        <v>0.2479581339388604</v>
      </c>
      <c r="Q20">
        <f t="shared" si="8"/>
        <v>2.8904241648605762</v>
      </c>
      <c r="R20">
        <f t="shared" si="9"/>
        <v>0.23671784907837234</v>
      </c>
      <c r="S20">
        <f t="shared" si="10"/>
        <v>0.14891608432870623</v>
      </c>
      <c r="T20">
        <f t="shared" si="11"/>
        <v>224.00445276721098</v>
      </c>
      <c r="U20">
        <f t="shared" si="12"/>
        <v>28.134398190519221</v>
      </c>
      <c r="V20">
        <f t="shared" si="13"/>
        <v>27.99871666666666</v>
      </c>
      <c r="W20">
        <f t="shared" si="14"/>
        <v>3.7945557819421145</v>
      </c>
      <c r="X20">
        <f t="shared" si="15"/>
        <v>65.535823202057003</v>
      </c>
      <c r="Y20">
        <f t="shared" si="16"/>
        <v>2.4420042504224968</v>
      </c>
      <c r="Z20">
        <f t="shared" si="17"/>
        <v>3.7262128269807837</v>
      </c>
      <c r="AA20">
        <f t="shared" si="18"/>
        <v>1.3525515315196177</v>
      </c>
      <c r="AB20">
        <f t="shared" si="19"/>
        <v>-149.09827368065766</v>
      </c>
      <c r="AC20">
        <f t="shared" si="20"/>
        <v>-48.525529143646565</v>
      </c>
      <c r="AD20">
        <f t="shared" si="21"/>
        <v>-3.6537583588451175</v>
      </c>
      <c r="AE20">
        <f t="shared" si="22"/>
        <v>22.726891584061633</v>
      </c>
      <c r="AF20">
        <f t="shared" si="23"/>
        <v>36.228912654478513</v>
      </c>
      <c r="AG20">
        <f t="shared" si="24"/>
        <v>3.3809132353890625</v>
      </c>
      <c r="AH20">
        <f t="shared" si="25"/>
        <v>36.169589752484328</v>
      </c>
      <c r="AI20">
        <v>474.93126076228418</v>
      </c>
      <c r="AJ20">
        <v>430.71668484848482</v>
      </c>
      <c r="AK20">
        <v>-2.2653292280612788E-2</v>
      </c>
      <c r="AL20">
        <v>67.074042628593716</v>
      </c>
      <c r="AM20">
        <f t="shared" si="26"/>
        <v>3.264511763935106</v>
      </c>
      <c r="AN20">
        <v>20.947529194285721</v>
      </c>
      <c r="AO20">
        <v>24.860326666666651</v>
      </c>
      <c r="AP20">
        <v>-1.5131238095229061E-2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51587.89268326723</v>
      </c>
      <c r="AW20" t="s">
        <v>414</v>
      </c>
      <c r="AX20">
        <v>13238.7</v>
      </c>
      <c r="AY20">
        <v>563.55294117647065</v>
      </c>
      <c r="AZ20">
        <v>2281.46</v>
      </c>
      <c r="BA20">
        <f t="shared" si="30"/>
        <v>0.75298583311718348</v>
      </c>
      <c r="BB20">
        <v>-2.6862788665954151</v>
      </c>
      <c r="BC20" t="s">
        <v>427</v>
      </c>
      <c r="BD20">
        <v>13182.4</v>
      </c>
      <c r="BE20">
        <v>797.49117647058836</v>
      </c>
      <c r="BF20">
        <v>1119.82</v>
      </c>
      <c r="BG20">
        <f t="shared" si="31"/>
        <v>0.28783985241325538</v>
      </c>
      <c r="BH20">
        <v>0.5</v>
      </c>
      <c r="BI20">
        <f t="shared" si="32"/>
        <v>1176.2838797757574</v>
      </c>
      <c r="BJ20">
        <f t="shared" si="33"/>
        <v>36.228912654478513</v>
      </c>
      <c r="BK20">
        <f t="shared" si="34"/>
        <v>169.29068917537273</v>
      </c>
      <c r="BL20">
        <f t="shared" si="35"/>
        <v>3.3083163163379052E-2</v>
      </c>
      <c r="BM20">
        <f t="shared" si="36"/>
        <v>1.0373452876355129</v>
      </c>
      <c r="BN20">
        <f t="shared" si="37"/>
        <v>448.60329065848714</v>
      </c>
      <c r="BO20" t="s">
        <v>402</v>
      </c>
      <c r="BP20">
        <v>0</v>
      </c>
      <c r="BQ20">
        <f t="shared" si="38"/>
        <v>448.60329065848714</v>
      </c>
      <c r="BR20">
        <f t="shared" si="39"/>
        <v>0.59939696499572503</v>
      </c>
      <c r="BS20">
        <f t="shared" si="40"/>
        <v>0.48021573218227465</v>
      </c>
      <c r="BT20">
        <f t="shared" si="41"/>
        <v>0.633786587941913</v>
      </c>
      <c r="BU20">
        <f t="shared" si="42"/>
        <v>0.57944977761422234</v>
      </c>
      <c r="BV20">
        <f t="shared" si="43"/>
        <v>0.67619490474387101</v>
      </c>
      <c r="BW20">
        <f t="shared" si="44"/>
        <v>0.27013008298893465</v>
      </c>
      <c r="BX20">
        <f t="shared" si="45"/>
        <v>0.72986991701106541</v>
      </c>
      <c r="DG20">
        <f t="shared" si="46"/>
        <v>1399.9886666666671</v>
      </c>
      <c r="DH20">
        <f t="shared" si="47"/>
        <v>1176.2838797757574</v>
      </c>
      <c r="DI20">
        <f t="shared" si="48"/>
        <v>0.84020957296494092</v>
      </c>
      <c r="DJ20">
        <f t="shared" si="49"/>
        <v>0.16000447582233587</v>
      </c>
      <c r="DK20">
        <v>6</v>
      </c>
      <c r="DL20">
        <v>0.5</v>
      </c>
      <c r="DM20" t="s">
        <v>403</v>
      </c>
      <c r="DN20">
        <v>2</v>
      </c>
      <c r="DO20" t="b">
        <v>0</v>
      </c>
      <c r="DP20">
        <v>1784997809.75</v>
      </c>
      <c r="DQ20">
        <v>419.99463333333318</v>
      </c>
      <c r="DR20">
        <v>465.17166666666668</v>
      </c>
      <c r="DS20">
        <v>24.96465666666667</v>
      </c>
      <c r="DT20">
        <v>21.008986666666662</v>
      </c>
      <c r="DU20">
        <v>429.24353333333318</v>
      </c>
      <c r="DV20">
        <v>26.106200000000001</v>
      </c>
      <c r="DW20">
        <v>500.01793333333342</v>
      </c>
      <c r="DX20">
        <v>97.760263333333327</v>
      </c>
      <c r="DY20">
        <v>5.8195900000000002E-2</v>
      </c>
      <c r="DZ20">
        <v>27.687313333333329</v>
      </c>
      <c r="EA20">
        <v>27.99871666666666</v>
      </c>
      <c r="EB20">
        <v>999.9000000000002</v>
      </c>
      <c r="EC20">
        <v>0</v>
      </c>
      <c r="ED20">
        <v>0</v>
      </c>
      <c r="EE20">
        <v>10002.66666666667</v>
      </c>
      <c r="EF20">
        <v>0</v>
      </c>
      <c r="EG20">
        <v>319.12143333333341</v>
      </c>
      <c r="EH20">
        <v>-45.177069999999993</v>
      </c>
      <c r="EI20">
        <v>430.74816666666669</v>
      </c>
      <c r="EJ20">
        <v>475.15420000000012</v>
      </c>
      <c r="EK20">
        <v>3.955665666666667</v>
      </c>
      <c r="EL20">
        <v>465.17166666666668</v>
      </c>
      <c r="EM20">
        <v>21.008986666666662</v>
      </c>
      <c r="EN20">
        <v>2.4405503333333329</v>
      </c>
      <c r="EO20">
        <v>2.0538443333333332</v>
      </c>
      <c r="EP20">
        <v>20.635349999999999</v>
      </c>
      <c r="EQ20">
        <v>17.865536666666671</v>
      </c>
      <c r="ER20">
        <v>1399.9886666666671</v>
      </c>
      <c r="ES20">
        <v>0.99298999999999993</v>
      </c>
      <c r="ET20">
        <v>7.0102499999999991E-3</v>
      </c>
      <c r="EU20">
        <v>0</v>
      </c>
      <c r="EV20">
        <v>797.63776666666672</v>
      </c>
      <c r="EW20">
        <v>5.0010700000000003</v>
      </c>
      <c r="EX20">
        <v>14786.11</v>
      </c>
      <c r="EY20">
        <v>12745.37</v>
      </c>
      <c r="EZ20">
        <v>44.983199999999989</v>
      </c>
      <c r="FA20">
        <v>46.920466666666648</v>
      </c>
      <c r="FB20">
        <v>46.089299999999987</v>
      </c>
      <c r="FC20">
        <v>46.566199999999967</v>
      </c>
      <c r="FD20">
        <v>46.116599999999998</v>
      </c>
      <c r="FE20">
        <v>1385.2086666666671</v>
      </c>
      <c r="FF20">
        <v>9.7799999999999958</v>
      </c>
      <c r="FG20">
        <v>0</v>
      </c>
      <c r="FH20">
        <v>180.69999980926511</v>
      </c>
      <c r="FI20">
        <v>0</v>
      </c>
      <c r="FJ20">
        <v>797.49117647058836</v>
      </c>
      <c r="FK20">
        <v>-0.65196075432999856</v>
      </c>
      <c r="FL20">
        <v>-398.38235326069309</v>
      </c>
      <c r="FM20">
        <v>14782.88235294118</v>
      </c>
      <c r="FN20">
        <v>10</v>
      </c>
      <c r="FO20">
        <v>1784997695.5</v>
      </c>
      <c r="FP20" t="s">
        <v>428</v>
      </c>
      <c r="FQ20">
        <v>1784997695.5</v>
      </c>
      <c r="FR20">
        <v>1784997694</v>
      </c>
      <c r="FS20">
        <v>4</v>
      </c>
      <c r="FT20">
        <v>-5.8000000000000003E-2</v>
      </c>
      <c r="FU20">
        <v>-1.2999999999999999E-2</v>
      </c>
      <c r="FV20">
        <v>-9.4160000000000004</v>
      </c>
      <c r="FW20">
        <v>-1.244</v>
      </c>
      <c r="FX20">
        <v>465</v>
      </c>
      <c r="FY20">
        <v>21</v>
      </c>
      <c r="FZ20">
        <v>0.25</v>
      </c>
      <c r="GA20">
        <v>0.06</v>
      </c>
      <c r="GB20">
        <v>419.98822580645151</v>
      </c>
      <c r="GC20">
        <v>0.65854838709476493</v>
      </c>
      <c r="GD20">
        <v>6.6262289025739454E-2</v>
      </c>
      <c r="GE20">
        <v>-1</v>
      </c>
      <c r="GF20">
        <v>797.73088235294108</v>
      </c>
      <c r="GG20">
        <v>-2.241650109528226</v>
      </c>
      <c r="GH20">
        <v>0.3112099503839692</v>
      </c>
      <c r="GI20">
        <v>1</v>
      </c>
      <c r="GJ20">
        <v>3.896677804878049</v>
      </c>
      <c r="GK20">
        <v>0.95869609756098129</v>
      </c>
      <c r="GL20">
        <v>0.1121247669929807</v>
      </c>
      <c r="GM20">
        <v>0</v>
      </c>
      <c r="GN20">
        <v>1</v>
      </c>
      <c r="GO20">
        <v>2</v>
      </c>
      <c r="GP20" t="s">
        <v>409</v>
      </c>
      <c r="GQ20">
        <v>3.1304699999999999</v>
      </c>
      <c r="GR20">
        <v>2.7352699999999999</v>
      </c>
      <c r="GS20">
        <v>9.0890899999999997E-2</v>
      </c>
      <c r="GT20">
        <v>9.7231399999999996E-2</v>
      </c>
      <c r="GU20">
        <v>0.117047</v>
      </c>
      <c r="GV20">
        <v>0.100801</v>
      </c>
      <c r="GW20">
        <v>22606.6</v>
      </c>
      <c r="GX20">
        <v>29999.200000000001</v>
      </c>
      <c r="GY20">
        <v>26997.4</v>
      </c>
      <c r="GZ20">
        <v>34205.300000000003</v>
      </c>
      <c r="HA20">
        <v>34947.699999999997</v>
      </c>
      <c r="HB20">
        <v>38708.9</v>
      </c>
      <c r="HC20">
        <v>39880.5</v>
      </c>
      <c r="HD20">
        <v>43118.3</v>
      </c>
      <c r="HE20">
        <v>1.9212</v>
      </c>
      <c r="HF20">
        <v>1.6686000000000001</v>
      </c>
      <c r="HG20">
        <v>-9.8943699999999996E-2</v>
      </c>
      <c r="HH20">
        <v>0</v>
      </c>
      <c r="HI20">
        <v>29.625</v>
      </c>
      <c r="HJ20">
        <v>999.9</v>
      </c>
      <c r="HK20">
        <v>45.2</v>
      </c>
      <c r="HL20">
        <v>42.1</v>
      </c>
      <c r="HM20">
        <v>38.317399999999999</v>
      </c>
      <c r="HN20">
        <v>61.500599999999999</v>
      </c>
      <c r="HO20">
        <v>4.3549699999999998</v>
      </c>
      <c r="HP20">
        <v>1</v>
      </c>
      <c r="HQ20">
        <v>1.01065</v>
      </c>
      <c r="HR20">
        <v>9.2810500000000005</v>
      </c>
      <c r="HS20">
        <v>19.992000000000001</v>
      </c>
      <c r="HT20">
        <v>5.2088999999999999</v>
      </c>
      <c r="HU20">
        <v>11.9201</v>
      </c>
      <c r="HV20">
        <v>4.9828000000000001</v>
      </c>
      <c r="HW20">
        <v>3.2707999999999999</v>
      </c>
      <c r="HX20">
        <v>9999</v>
      </c>
      <c r="HY20">
        <v>9999</v>
      </c>
      <c r="HZ20">
        <v>9999</v>
      </c>
      <c r="IA20">
        <v>999.9</v>
      </c>
      <c r="IB20">
        <v>1.86758</v>
      </c>
      <c r="IC20">
        <v>1.8633999999999999</v>
      </c>
      <c r="ID20">
        <v>1.8627899999999999</v>
      </c>
      <c r="IE20">
        <v>1.8624000000000001</v>
      </c>
      <c r="IF20">
        <v>1.8623400000000001</v>
      </c>
      <c r="IG20">
        <v>1.8628199999999999</v>
      </c>
      <c r="IH20">
        <v>1.8638600000000001</v>
      </c>
      <c r="II20">
        <v>1.86172</v>
      </c>
      <c r="IJ20">
        <v>0</v>
      </c>
      <c r="IK20">
        <v>0</v>
      </c>
      <c r="IL20">
        <v>0</v>
      </c>
      <c r="IM20">
        <v>4.5</v>
      </c>
      <c r="IN20" t="s">
        <v>405</v>
      </c>
      <c r="IO20" t="s">
        <v>406</v>
      </c>
      <c r="IP20" t="s">
        <v>407</v>
      </c>
      <c r="IQ20" t="s">
        <v>408</v>
      </c>
      <c r="IR20" t="s">
        <v>408</v>
      </c>
      <c r="IS20" t="s">
        <v>407</v>
      </c>
      <c r="IT20">
        <v>0</v>
      </c>
      <c r="IU20">
        <v>100</v>
      </c>
      <c r="IV20">
        <v>100</v>
      </c>
      <c r="IW20">
        <v>-9.2490000000000006</v>
      </c>
      <c r="IX20">
        <v>-1.1447000000000001</v>
      </c>
      <c r="IY20">
        <v>-7.2490263605578269</v>
      </c>
      <c r="IZ20">
        <v>-5.6215304933332991E-3</v>
      </c>
      <c r="JA20">
        <v>2.3979931213773931E-6</v>
      </c>
      <c r="JB20">
        <v>-3.6297174575716598E-10</v>
      </c>
      <c r="JC20">
        <v>-1.593091749930106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</v>
      </c>
      <c r="JL20">
        <v>2.1</v>
      </c>
      <c r="JM20">
        <v>1.1950700000000001</v>
      </c>
      <c r="JN20">
        <v>2.5585900000000001</v>
      </c>
      <c r="JO20">
        <v>1.50024</v>
      </c>
      <c r="JP20">
        <v>2.2729499999999998</v>
      </c>
      <c r="JQ20">
        <v>1.4477500000000001</v>
      </c>
      <c r="JR20">
        <v>2.49512</v>
      </c>
      <c r="JS20">
        <v>48.056399999999996</v>
      </c>
      <c r="JT20">
        <v>23.842300000000002</v>
      </c>
      <c r="JU20">
        <v>18</v>
      </c>
      <c r="JV20">
        <v>551.154</v>
      </c>
      <c r="JW20">
        <v>397.346</v>
      </c>
      <c r="JX20">
        <v>23.162600000000001</v>
      </c>
      <c r="JY20">
        <v>38.923699999999997</v>
      </c>
      <c r="JZ20">
        <v>30.003900000000002</v>
      </c>
      <c r="KA20">
        <v>38.964300000000001</v>
      </c>
      <c r="KB20">
        <v>38.970399999999998</v>
      </c>
      <c r="KC20">
        <v>23.914200000000001</v>
      </c>
      <c r="KD20">
        <v>47.164299999999997</v>
      </c>
      <c r="KE20">
        <v>0</v>
      </c>
      <c r="KF20">
        <v>23.047899999999998</v>
      </c>
      <c r="KG20">
        <v>465.05599999999998</v>
      </c>
      <c r="KH20">
        <v>21.0124</v>
      </c>
      <c r="KI20">
        <v>99.658199999999994</v>
      </c>
      <c r="KJ20">
        <v>97.289599999999993</v>
      </c>
    </row>
    <row r="21" spans="1:296" x14ac:dyDescent="0.3">
      <c r="A21">
        <v>5</v>
      </c>
      <c r="B21">
        <v>1784997999</v>
      </c>
      <c r="C21">
        <v>726</v>
      </c>
      <c r="D21" t="s">
        <v>429</v>
      </c>
      <c r="E21" t="s">
        <v>430</v>
      </c>
      <c r="F21">
        <v>15</v>
      </c>
      <c r="H21">
        <v>1784997991.25</v>
      </c>
      <c r="I21">
        <f t="shared" si="0"/>
        <v>2.6442687979324141E-3</v>
      </c>
      <c r="J21">
        <f t="shared" si="1"/>
        <v>2.6442687979324142</v>
      </c>
      <c r="K21">
        <f t="shared" si="2"/>
        <v>33.451697803631838</v>
      </c>
      <c r="L21">
        <f t="shared" si="3"/>
        <v>419.97136666666648</v>
      </c>
      <c r="M21">
        <f t="shared" si="4"/>
        <v>123.70305700667059</v>
      </c>
      <c r="N21">
        <f t="shared" si="5"/>
        <v>12.099290546904635</v>
      </c>
      <c r="O21">
        <f t="shared" si="6"/>
        <v>41.077041341077042</v>
      </c>
      <c r="P21">
        <f t="shared" si="7"/>
        <v>0.1903034884865577</v>
      </c>
      <c r="Q21">
        <f t="shared" si="8"/>
        <v>2.8905161663894599</v>
      </c>
      <c r="R21">
        <f t="shared" si="9"/>
        <v>0.18360693259702304</v>
      </c>
      <c r="S21">
        <f t="shared" si="10"/>
        <v>0.11533636013998029</v>
      </c>
      <c r="T21">
        <f t="shared" si="11"/>
        <v>160.17523557881447</v>
      </c>
      <c r="U21">
        <f t="shared" si="12"/>
        <v>28.005644969911724</v>
      </c>
      <c r="V21">
        <f t="shared" si="13"/>
        <v>28.01958999999999</v>
      </c>
      <c r="W21">
        <f t="shared" si="14"/>
        <v>3.7991756588732875</v>
      </c>
      <c r="X21">
        <f t="shared" si="15"/>
        <v>65.137373778752377</v>
      </c>
      <c r="Y21">
        <f t="shared" si="16"/>
        <v>2.4354435339386087</v>
      </c>
      <c r="Z21">
        <f t="shared" si="17"/>
        <v>3.7389341827180682</v>
      </c>
      <c r="AA21">
        <f t="shared" si="18"/>
        <v>1.3637321249346788</v>
      </c>
      <c r="AB21">
        <f t="shared" si="19"/>
        <v>-116.61225398881946</v>
      </c>
      <c r="AC21">
        <f t="shared" si="20"/>
        <v>-42.688511616614555</v>
      </c>
      <c r="AD21">
        <f t="shared" si="21"/>
        <v>-3.2154237974474094</v>
      </c>
      <c r="AE21">
        <f t="shared" si="22"/>
        <v>-2.3409538240669647</v>
      </c>
      <c r="AF21">
        <f t="shared" si="23"/>
        <v>33.451697803631838</v>
      </c>
      <c r="AG21">
        <f t="shared" si="24"/>
        <v>2.6442687979324142</v>
      </c>
      <c r="AH21">
        <f t="shared" si="25"/>
        <v>33.458150334049186</v>
      </c>
      <c r="AI21">
        <v>471.67991394333899</v>
      </c>
      <c r="AJ21">
        <v>430.69975151515132</v>
      </c>
      <c r="AK21">
        <v>-1.1990017856409879E-2</v>
      </c>
      <c r="AL21">
        <v>67.026356134260908</v>
      </c>
      <c r="AM21">
        <f t="shared" si="26"/>
        <v>2.6407329582258852</v>
      </c>
      <c r="AN21">
        <v>21.806867539157938</v>
      </c>
      <c r="AO21">
        <v>24.896829696969711</v>
      </c>
      <c r="AP21">
        <v>-1.9034316841370571E-5</v>
      </c>
      <c r="AQ21">
        <v>78.044710965630443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51580.293895938696</v>
      </c>
      <c r="AW21" t="s">
        <v>414</v>
      </c>
      <c r="AX21">
        <v>13238.7</v>
      </c>
      <c r="AY21">
        <v>563.55294117647065</v>
      </c>
      <c r="AZ21">
        <v>2281.46</v>
      </c>
      <c r="BA21">
        <f t="shared" si="30"/>
        <v>0.75298583311718348</v>
      </c>
      <c r="BB21">
        <v>-2.6862788665954151</v>
      </c>
      <c r="BC21" t="s">
        <v>431</v>
      </c>
      <c r="BD21">
        <v>13192.2</v>
      </c>
      <c r="BE21">
        <v>823.5360588235294</v>
      </c>
      <c r="BF21">
        <v>1304.93</v>
      </c>
      <c r="BG21">
        <f t="shared" si="31"/>
        <v>0.36890403406808847</v>
      </c>
      <c r="BH21">
        <v>0.5</v>
      </c>
      <c r="BI21">
        <f t="shared" si="32"/>
        <v>840.29115804083642</v>
      </c>
      <c r="BJ21">
        <f t="shared" si="33"/>
        <v>33.451697803631838</v>
      </c>
      <c r="BK21">
        <f t="shared" si="34"/>
        <v>154.99339899650511</v>
      </c>
      <c r="BL21">
        <f t="shared" si="35"/>
        <v>4.3006494028193766E-2</v>
      </c>
      <c r="BM21">
        <f t="shared" si="36"/>
        <v>0.74833899136352133</v>
      </c>
      <c r="BN21">
        <f t="shared" si="37"/>
        <v>475.63217540610191</v>
      </c>
      <c r="BO21" t="s">
        <v>402</v>
      </c>
      <c r="BP21">
        <v>0</v>
      </c>
      <c r="BQ21">
        <f t="shared" si="38"/>
        <v>475.63217540610191</v>
      </c>
      <c r="BR21">
        <f t="shared" si="39"/>
        <v>0.63551134895657091</v>
      </c>
      <c r="BS21">
        <f t="shared" si="40"/>
        <v>0.58048378628293906</v>
      </c>
      <c r="BT21">
        <f t="shared" si="41"/>
        <v>0.54076583974422143</v>
      </c>
      <c r="BU21">
        <f t="shared" si="42"/>
        <v>0.64932403214685563</v>
      </c>
      <c r="BV21">
        <f t="shared" si="43"/>
        <v>0.56844169478455653</v>
      </c>
      <c r="BW21">
        <f t="shared" si="44"/>
        <v>0.33525765277618302</v>
      </c>
      <c r="BX21">
        <f t="shared" si="45"/>
        <v>0.66474234722381698</v>
      </c>
      <c r="DG21">
        <f t="shared" si="46"/>
        <v>999.99090000000001</v>
      </c>
      <c r="DH21">
        <f t="shared" si="47"/>
        <v>840.29115804083642</v>
      </c>
      <c r="DI21">
        <f t="shared" si="48"/>
        <v>0.84029880475995977</v>
      </c>
      <c r="DJ21">
        <f t="shared" si="49"/>
        <v>0.16017669318672245</v>
      </c>
      <c r="DK21">
        <v>6</v>
      </c>
      <c r="DL21">
        <v>0.5</v>
      </c>
      <c r="DM21" t="s">
        <v>403</v>
      </c>
      <c r="DN21">
        <v>2</v>
      </c>
      <c r="DO21" t="b">
        <v>0</v>
      </c>
      <c r="DP21">
        <v>1784997991.25</v>
      </c>
      <c r="DQ21">
        <v>419.97136666666648</v>
      </c>
      <c r="DR21">
        <v>461.44416666666672</v>
      </c>
      <c r="DS21">
        <v>24.899956666666661</v>
      </c>
      <c r="DT21">
        <v>21.805983333333341</v>
      </c>
      <c r="DU21">
        <v>429.22603333333342</v>
      </c>
      <c r="DV21">
        <v>26.047963333333328</v>
      </c>
      <c r="DW21">
        <v>500.02240000000012</v>
      </c>
      <c r="DX21">
        <v>97.750770000000003</v>
      </c>
      <c r="DY21">
        <v>5.8377483333333327E-2</v>
      </c>
      <c r="DZ21">
        <v>27.74565333333333</v>
      </c>
      <c r="EA21">
        <v>28.01958999999999</v>
      </c>
      <c r="EB21">
        <v>999.9000000000002</v>
      </c>
      <c r="EC21">
        <v>0</v>
      </c>
      <c r="ED21">
        <v>0</v>
      </c>
      <c r="EE21">
        <v>10004.16666666667</v>
      </c>
      <c r="EF21">
        <v>0</v>
      </c>
      <c r="EG21">
        <v>268.89873333333333</v>
      </c>
      <c r="EH21">
        <v>-41.472729999999991</v>
      </c>
      <c r="EI21">
        <v>430.69566666666663</v>
      </c>
      <c r="EJ21">
        <v>471.73073333333338</v>
      </c>
      <c r="EK21">
        <v>3.093973666666666</v>
      </c>
      <c r="EL21">
        <v>461.44416666666672</v>
      </c>
      <c r="EM21">
        <v>21.805983333333341</v>
      </c>
      <c r="EN21">
        <v>2.4339900000000001</v>
      </c>
      <c r="EO21">
        <v>2.1315526666666669</v>
      </c>
      <c r="EP21">
        <v>20.591706666666671</v>
      </c>
      <c r="EQ21">
        <v>18.456933333333328</v>
      </c>
      <c r="ER21">
        <v>999.99090000000001</v>
      </c>
      <c r="ES21">
        <v>0.98998519999999979</v>
      </c>
      <c r="ET21">
        <v>1.0014496666666669E-2</v>
      </c>
      <c r="EU21">
        <v>0</v>
      </c>
      <c r="EV21">
        <v>823.49026666666657</v>
      </c>
      <c r="EW21">
        <v>5.0010700000000003</v>
      </c>
      <c r="EX21">
        <v>11702.806666666669</v>
      </c>
      <c r="EY21">
        <v>9080.1426666666684</v>
      </c>
      <c r="EZ21">
        <v>44.324599999999982</v>
      </c>
      <c r="FA21">
        <v>46.783066666666663</v>
      </c>
      <c r="FB21">
        <v>45.754133333333343</v>
      </c>
      <c r="FC21">
        <v>46.5</v>
      </c>
      <c r="FD21">
        <v>45.695399999999971</v>
      </c>
      <c r="FE21">
        <v>985.02299999999991</v>
      </c>
      <c r="FF21">
        <v>9.9599999999999991</v>
      </c>
      <c r="FG21">
        <v>0</v>
      </c>
      <c r="FH21">
        <v>180.89999985694891</v>
      </c>
      <c r="FI21">
        <v>0</v>
      </c>
      <c r="FJ21">
        <v>823.5360588235294</v>
      </c>
      <c r="FK21">
        <v>0.65318624722151908</v>
      </c>
      <c r="FL21">
        <v>28.088233273984851</v>
      </c>
      <c r="FM21">
        <v>11714.03529411765</v>
      </c>
      <c r="FN21">
        <v>10</v>
      </c>
      <c r="FO21">
        <v>1784997908</v>
      </c>
      <c r="FP21" t="s">
        <v>432</v>
      </c>
      <c r="FQ21">
        <v>1784997908</v>
      </c>
      <c r="FR21">
        <v>1784997902.5</v>
      </c>
      <c r="FS21">
        <v>5</v>
      </c>
      <c r="FT21">
        <v>-6.0000000000000001E-3</v>
      </c>
      <c r="FU21">
        <v>-5.0000000000000001E-3</v>
      </c>
      <c r="FV21">
        <v>-9.4090000000000007</v>
      </c>
      <c r="FW21">
        <v>-1.246</v>
      </c>
      <c r="FX21">
        <v>462</v>
      </c>
      <c r="FY21">
        <v>21</v>
      </c>
      <c r="FZ21">
        <v>0.27</v>
      </c>
      <c r="GA21">
        <v>0.08</v>
      </c>
      <c r="GB21">
        <v>419.96873333333332</v>
      </c>
      <c r="GC21">
        <v>0.56649610678541773</v>
      </c>
      <c r="GD21">
        <v>8.0431309547686222E-2</v>
      </c>
      <c r="GE21">
        <v>-1</v>
      </c>
      <c r="GF21">
        <v>823.43485294117647</v>
      </c>
      <c r="GG21">
        <v>1.0621390334579119</v>
      </c>
      <c r="GH21">
        <v>0.20700925417689589</v>
      </c>
      <c r="GI21">
        <v>1</v>
      </c>
      <c r="GJ21">
        <v>3.0987317499999998</v>
      </c>
      <c r="GK21">
        <v>-8.7112232645408211E-2</v>
      </c>
      <c r="GL21">
        <v>9.1709789247113281E-3</v>
      </c>
      <c r="GM21">
        <v>1</v>
      </c>
      <c r="GN21">
        <v>2</v>
      </c>
      <c r="GO21">
        <v>2</v>
      </c>
      <c r="GP21" t="s">
        <v>404</v>
      </c>
      <c r="GQ21">
        <v>3.13158</v>
      </c>
      <c r="GR21">
        <v>2.7338900000000002</v>
      </c>
      <c r="GS21">
        <v>9.0860800000000005E-2</v>
      </c>
      <c r="GT21">
        <v>9.6669099999999994E-2</v>
      </c>
      <c r="GU21">
        <v>0.117177</v>
      </c>
      <c r="GV21">
        <v>0.103715</v>
      </c>
      <c r="GW21">
        <v>22604.2</v>
      </c>
      <c r="GX21">
        <v>30015.599999999999</v>
      </c>
      <c r="GY21">
        <v>26993.8</v>
      </c>
      <c r="GZ21">
        <v>34202.9</v>
      </c>
      <c r="HA21">
        <v>34939</v>
      </c>
      <c r="HB21">
        <v>38580.9</v>
      </c>
      <c r="HC21">
        <v>39876.199999999997</v>
      </c>
      <c r="HD21">
        <v>43114.9</v>
      </c>
      <c r="HE21">
        <v>1.9198</v>
      </c>
      <c r="HF21">
        <v>1.6668000000000001</v>
      </c>
      <c r="HG21">
        <v>-0.107586</v>
      </c>
      <c r="HH21">
        <v>0</v>
      </c>
      <c r="HI21">
        <v>29.760899999999999</v>
      </c>
      <c r="HJ21">
        <v>999.9</v>
      </c>
      <c r="HK21">
        <v>45</v>
      </c>
      <c r="HL21">
        <v>42.2</v>
      </c>
      <c r="HM21">
        <v>38.348799999999997</v>
      </c>
      <c r="HN21">
        <v>61.300600000000003</v>
      </c>
      <c r="HO21">
        <v>4.0464700000000002</v>
      </c>
      <c r="HP21">
        <v>1</v>
      </c>
      <c r="HQ21">
        <v>1.01634</v>
      </c>
      <c r="HR21">
        <v>9.2810500000000005</v>
      </c>
      <c r="HS21">
        <v>19.996500000000001</v>
      </c>
      <c r="HT21">
        <v>5.2100999999999997</v>
      </c>
      <c r="HU21">
        <v>11.918900000000001</v>
      </c>
      <c r="HV21">
        <v>4.9824000000000002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1.86755</v>
      </c>
      <c r="IC21">
        <v>1.86334</v>
      </c>
      <c r="ID21">
        <v>1.8627899999999999</v>
      </c>
      <c r="IE21">
        <v>1.8623400000000001</v>
      </c>
      <c r="IF21">
        <v>1.8623400000000001</v>
      </c>
      <c r="IG21">
        <v>1.8628199999999999</v>
      </c>
      <c r="IH21">
        <v>1.8638600000000001</v>
      </c>
      <c r="II21">
        <v>1.86172</v>
      </c>
      <c r="IJ21">
        <v>0</v>
      </c>
      <c r="IK21">
        <v>0</v>
      </c>
      <c r="IL21">
        <v>0</v>
      </c>
      <c r="IM21">
        <v>4.5</v>
      </c>
      <c r="IN21" t="s">
        <v>405</v>
      </c>
      <c r="IO21" t="s">
        <v>406</v>
      </c>
      <c r="IP21" t="s">
        <v>407</v>
      </c>
      <c r="IQ21" t="s">
        <v>408</v>
      </c>
      <c r="IR21" t="s">
        <v>408</v>
      </c>
      <c r="IS21" t="s">
        <v>407</v>
      </c>
      <c r="IT21">
        <v>0</v>
      </c>
      <c r="IU21">
        <v>100</v>
      </c>
      <c r="IV21">
        <v>100</v>
      </c>
      <c r="IW21">
        <v>-9.2550000000000008</v>
      </c>
      <c r="IX21">
        <v>-1.1480999999999999</v>
      </c>
      <c r="IY21">
        <v>-7.2547977844820828</v>
      </c>
      <c r="IZ21">
        <v>-5.6215304933332991E-3</v>
      </c>
      <c r="JA21">
        <v>2.3979931213773931E-6</v>
      </c>
      <c r="JB21">
        <v>-3.6297174575716598E-10</v>
      </c>
      <c r="JC21">
        <v>-1.5978840258261029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1.5</v>
      </c>
      <c r="JL21">
        <v>1.6</v>
      </c>
      <c r="JM21">
        <v>1.18896</v>
      </c>
      <c r="JN21">
        <v>2.5598100000000001</v>
      </c>
      <c r="JO21">
        <v>1.50024</v>
      </c>
      <c r="JP21">
        <v>2.2717299999999998</v>
      </c>
      <c r="JQ21">
        <v>1.4477500000000001</v>
      </c>
      <c r="JR21">
        <v>2.50488</v>
      </c>
      <c r="JS21">
        <v>48.0869</v>
      </c>
      <c r="JT21">
        <v>23.851099999999999</v>
      </c>
      <c r="JU21">
        <v>18</v>
      </c>
      <c r="JV21">
        <v>550.70299999999997</v>
      </c>
      <c r="JW21">
        <v>396.66500000000002</v>
      </c>
      <c r="JX21">
        <v>22.979099999999999</v>
      </c>
      <c r="JY21">
        <v>38.957700000000003</v>
      </c>
      <c r="JZ21">
        <v>30</v>
      </c>
      <c r="KA21">
        <v>39.031100000000002</v>
      </c>
      <c r="KB21">
        <v>39.040300000000002</v>
      </c>
      <c r="KC21">
        <v>23.769600000000001</v>
      </c>
      <c r="KD21">
        <v>45.853000000000002</v>
      </c>
      <c r="KE21">
        <v>0</v>
      </c>
      <c r="KF21">
        <v>22.889199999999999</v>
      </c>
      <c r="KG21">
        <v>461.39600000000002</v>
      </c>
      <c r="KH21">
        <v>21.7956</v>
      </c>
      <c r="KI21">
        <v>99.646500000000003</v>
      </c>
      <c r="KJ21">
        <v>97.282200000000003</v>
      </c>
    </row>
    <row r="22" spans="1:296" x14ac:dyDescent="0.3">
      <c r="A22">
        <v>6</v>
      </c>
      <c r="B22">
        <v>1784998180.5</v>
      </c>
      <c r="C22">
        <v>907.5</v>
      </c>
      <c r="D22" t="s">
        <v>433</v>
      </c>
      <c r="E22" t="s">
        <v>434</v>
      </c>
      <c r="F22">
        <v>15</v>
      </c>
      <c r="H22">
        <v>1784998172.5</v>
      </c>
      <c r="I22">
        <f t="shared" si="0"/>
        <v>2.5964246442976369E-3</v>
      </c>
      <c r="J22">
        <f t="shared" si="1"/>
        <v>2.5964246442976369</v>
      </c>
      <c r="K22">
        <f t="shared" si="2"/>
        <v>31.098146493446801</v>
      </c>
      <c r="L22">
        <f t="shared" si="3"/>
        <v>419.94458064516118</v>
      </c>
      <c r="M22">
        <f t="shared" si="4"/>
        <v>139.44604079782215</v>
      </c>
      <c r="N22">
        <f t="shared" si="5"/>
        <v>13.638648432041533</v>
      </c>
      <c r="O22">
        <f t="shared" si="6"/>
        <v>41.073066424772364</v>
      </c>
      <c r="P22">
        <f t="shared" si="7"/>
        <v>0.18710912792186693</v>
      </c>
      <c r="Q22">
        <f t="shared" si="8"/>
        <v>2.8892055464883768</v>
      </c>
      <c r="R22">
        <f t="shared" si="9"/>
        <v>0.1806285509484071</v>
      </c>
      <c r="S22">
        <f t="shared" si="10"/>
        <v>0.11345639912570998</v>
      </c>
      <c r="T22">
        <f t="shared" si="11"/>
        <v>128.27259056503084</v>
      </c>
      <c r="U22">
        <f t="shared" si="12"/>
        <v>27.760354192225428</v>
      </c>
      <c r="V22">
        <f t="shared" si="13"/>
        <v>27.990777419354831</v>
      </c>
      <c r="W22">
        <f t="shared" si="14"/>
        <v>3.7927998822419853</v>
      </c>
      <c r="X22">
        <f t="shared" si="15"/>
        <v>65.292590296157286</v>
      </c>
      <c r="Y22">
        <f t="shared" si="16"/>
        <v>2.4316359760543835</v>
      </c>
      <c r="Z22">
        <f t="shared" si="17"/>
        <v>3.7242142868353847</v>
      </c>
      <c r="AA22">
        <f t="shared" si="18"/>
        <v>1.3611639061876017</v>
      </c>
      <c r="AB22">
        <f t="shared" si="19"/>
        <v>-114.50232681352578</v>
      </c>
      <c r="AC22">
        <f t="shared" si="20"/>
        <v>-48.698501180667819</v>
      </c>
      <c r="AD22">
        <f t="shared" si="21"/>
        <v>-3.668015859559361</v>
      </c>
      <c r="AE22">
        <f t="shared" si="22"/>
        <v>-38.596253288722124</v>
      </c>
      <c r="AF22">
        <f t="shared" si="23"/>
        <v>31.098146493446801</v>
      </c>
      <c r="AG22">
        <f t="shared" si="24"/>
        <v>2.5964246442976369</v>
      </c>
      <c r="AH22">
        <f t="shared" si="25"/>
        <v>31.075764893185564</v>
      </c>
      <c r="AI22">
        <v>468.84139239846382</v>
      </c>
      <c r="AJ22">
        <v>430.65083636363619</v>
      </c>
      <c r="AK22">
        <v>1.270348175284749E-2</v>
      </c>
      <c r="AL22">
        <v>67.02583771043227</v>
      </c>
      <c r="AM22">
        <f t="shared" si="26"/>
        <v>2.5969856645595959</v>
      </c>
      <c r="AN22">
        <v>21.82726724454626</v>
      </c>
      <c r="AO22">
        <v>24.86602969696969</v>
      </c>
      <c r="AP22">
        <v>3.5490415536375478E-5</v>
      </c>
      <c r="AQ22">
        <v>78.04372414329778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51554.578861146903</v>
      </c>
      <c r="AW22" t="s">
        <v>414</v>
      </c>
      <c r="AX22">
        <v>13238.7</v>
      </c>
      <c r="AY22">
        <v>563.55294117647065</v>
      </c>
      <c r="AZ22">
        <v>2281.46</v>
      </c>
      <c r="BA22">
        <f t="shared" si="30"/>
        <v>0.75298583311718348</v>
      </c>
      <c r="BB22">
        <v>-2.6862788665954151</v>
      </c>
      <c r="BC22" t="s">
        <v>435</v>
      </c>
      <c r="BD22">
        <v>13205.3</v>
      </c>
      <c r="BE22">
        <v>843.57741176470597</v>
      </c>
      <c r="BF22">
        <v>1466.92</v>
      </c>
      <c r="BG22">
        <f t="shared" si="31"/>
        <v>0.42493291265733246</v>
      </c>
      <c r="BH22">
        <v>0.5</v>
      </c>
      <c r="BI22">
        <f t="shared" si="32"/>
        <v>672.28087805308292</v>
      </c>
      <c r="BJ22">
        <f t="shared" si="33"/>
        <v>31.098146493446801</v>
      </c>
      <c r="BK22">
        <f t="shared" si="34"/>
        <v>142.83713581746272</v>
      </c>
      <c r="BL22">
        <f t="shared" si="35"/>
        <v>5.0253437905123065E-2</v>
      </c>
      <c r="BM22">
        <f t="shared" si="36"/>
        <v>0.55527227115316435</v>
      </c>
      <c r="BN22">
        <f t="shared" si="37"/>
        <v>495.57923508537436</v>
      </c>
      <c r="BO22" t="s">
        <v>402</v>
      </c>
      <c r="BP22">
        <v>0</v>
      </c>
      <c r="BQ22">
        <f t="shared" si="38"/>
        <v>495.57923508537436</v>
      </c>
      <c r="BR22">
        <f t="shared" si="39"/>
        <v>0.66216342057823585</v>
      </c>
      <c r="BS22">
        <f t="shared" si="40"/>
        <v>0.6417341995217114</v>
      </c>
      <c r="BT22">
        <f t="shared" si="41"/>
        <v>0.45609987855988765</v>
      </c>
      <c r="BU22">
        <f t="shared" si="42"/>
        <v>0.69002138405077995</v>
      </c>
      <c r="BV22">
        <f t="shared" si="43"/>
        <v>0.47414672162638388</v>
      </c>
      <c r="BW22">
        <f t="shared" si="44"/>
        <v>0.3770017301219547</v>
      </c>
      <c r="BX22">
        <f t="shared" si="45"/>
        <v>0.6229982698780453</v>
      </c>
      <c r="DG22">
        <f t="shared" si="46"/>
        <v>799.96545161290317</v>
      </c>
      <c r="DH22">
        <f t="shared" si="47"/>
        <v>672.28087805308292</v>
      </c>
      <c r="DI22">
        <f t="shared" si="48"/>
        <v>0.84038739010243435</v>
      </c>
      <c r="DJ22">
        <f t="shared" si="49"/>
        <v>0.16034766289769836</v>
      </c>
      <c r="DK22">
        <v>6</v>
      </c>
      <c r="DL22">
        <v>0.5</v>
      </c>
      <c r="DM22" t="s">
        <v>403</v>
      </c>
      <c r="DN22">
        <v>2</v>
      </c>
      <c r="DO22" t="b">
        <v>0</v>
      </c>
      <c r="DP22">
        <v>1784998172.5</v>
      </c>
      <c r="DQ22">
        <v>419.94458064516118</v>
      </c>
      <c r="DR22">
        <v>458.57190322580641</v>
      </c>
      <c r="DS22">
        <v>24.861848387096771</v>
      </c>
      <c r="DT22">
        <v>21.823512903225811</v>
      </c>
      <c r="DU22">
        <v>429.13845161290322</v>
      </c>
      <c r="DV22">
        <v>26.01556129032258</v>
      </c>
      <c r="DW22">
        <v>499.9854838709677</v>
      </c>
      <c r="DX22">
        <v>97.74786774193548</v>
      </c>
      <c r="DY22">
        <v>5.8053129032258073E-2</v>
      </c>
      <c r="DZ22">
        <v>27.678132258064519</v>
      </c>
      <c r="EA22">
        <v>27.990777419354831</v>
      </c>
      <c r="EB22">
        <v>999.90000000000032</v>
      </c>
      <c r="EC22">
        <v>0</v>
      </c>
      <c r="ED22">
        <v>0</v>
      </c>
      <c r="EE22">
        <v>9996.9354838709678</v>
      </c>
      <c r="EF22">
        <v>0</v>
      </c>
      <c r="EG22">
        <v>248.36512903225801</v>
      </c>
      <c r="EH22">
        <v>-38.627296774193553</v>
      </c>
      <c r="EI22">
        <v>430.65141935483871</v>
      </c>
      <c r="EJ22">
        <v>468.80277419354832</v>
      </c>
      <c r="EK22">
        <v>3.0383403225806451</v>
      </c>
      <c r="EL22">
        <v>458.57190322580641</v>
      </c>
      <c r="EM22">
        <v>21.823512903225811</v>
      </c>
      <c r="EN22">
        <v>2.430193870967742</v>
      </c>
      <c r="EO22">
        <v>2.1332022580645158</v>
      </c>
      <c r="EP22">
        <v>20.566390322580649</v>
      </c>
      <c r="EQ22">
        <v>18.46929032258064</v>
      </c>
      <c r="ER22">
        <v>799.96545161290317</v>
      </c>
      <c r="ES22">
        <v>0.98701087096774176</v>
      </c>
      <c r="ET22">
        <v>1.298880322580645E-2</v>
      </c>
      <c r="EU22">
        <v>0</v>
      </c>
      <c r="EV22">
        <v>843.62716129032242</v>
      </c>
      <c r="EW22">
        <v>5.0010700000000003</v>
      </c>
      <c r="EX22">
        <v>10136.706451612899</v>
      </c>
      <c r="EY22">
        <v>7246.3377419354838</v>
      </c>
      <c r="EZ22">
        <v>43.568193548387093</v>
      </c>
      <c r="FA22">
        <v>46.286000000000001</v>
      </c>
      <c r="FB22">
        <v>45.156999999999996</v>
      </c>
      <c r="FC22">
        <v>46.055999999999983</v>
      </c>
      <c r="FD22">
        <v>45.061999999999969</v>
      </c>
      <c r="FE22">
        <v>784.63774193548386</v>
      </c>
      <c r="FF22">
        <v>10.33</v>
      </c>
      <c r="FG22">
        <v>0</v>
      </c>
      <c r="FH22">
        <v>180.69999980926511</v>
      </c>
      <c r="FI22">
        <v>0</v>
      </c>
      <c r="FJ22">
        <v>843.57741176470597</v>
      </c>
      <c r="FK22">
        <v>1.0973039150805439</v>
      </c>
      <c r="FL22">
        <v>-153.92157143907329</v>
      </c>
      <c r="FM22">
        <v>10148.317647058821</v>
      </c>
      <c r="FN22">
        <v>10</v>
      </c>
      <c r="FO22">
        <v>1784998109</v>
      </c>
      <c r="FP22" t="s">
        <v>436</v>
      </c>
      <c r="FQ22">
        <v>1784998106.5</v>
      </c>
      <c r="FR22">
        <v>1784998109</v>
      </c>
      <c r="FS22">
        <v>6</v>
      </c>
      <c r="FT22">
        <v>0.06</v>
      </c>
      <c r="FU22">
        <v>-5.0000000000000001E-3</v>
      </c>
      <c r="FV22">
        <v>-9.3379999999999992</v>
      </c>
      <c r="FW22">
        <v>-1.25</v>
      </c>
      <c r="FX22">
        <v>459</v>
      </c>
      <c r="FY22">
        <v>21</v>
      </c>
      <c r="FZ22">
        <v>0.19</v>
      </c>
      <c r="GA22">
        <v>7.0000000000000007E-2</v>
      </c>
      <c r="GB22">
        <v>419.94349999999997</v>
      </c>
      <c r="GC22">
        <v>-0.39038042269221768</v>
      </c>
      <c r="GD22">
        <v>6.9224152817739068E-2</v>
      </c>
      <c r="GE22">
        <v>-1</v>
      </c>
      <c r="GF22">
        <v>843.64655882352929</v>
      </c>
      <c r="GG22">
        <v>-0.70061114635963573</v>
      </c>
      <c r="GH22">
        <v>0.2181540458397723</v>
      </c>
      <c r="GI22">
        <v>1</v>
      </c>
      <c r="GJ22">
        <v>3.0350467499999998</v>
      </c>
      <c r="GK22">
        <v>0.14152964352720021</v>
      </c>
      <c r="GL22">
        <v>2.1874284946884551E-2</v>
      </c>
      <c r="GM22">
        <v>1</v>
      </c>
      <c r="GN22">
        <v>2</v>
      </c>
      <c r="GO22">
        <v>2</v>
      </c>
      <c r="GP22" t="s">
        <v>404</v>
      </c>
      <c r="GQ22">
        <v>3.1308600000000002</v>
      </c>
      <c r="GR22">
        <v>2.7343899999999999</v>
      </c>
      <c r="GS22">
        <v>9.0852100000000005E-2</v>
      </c>
      <c r="GT22">
        <v>9.6216700000000002E-2</v>
      </c>
      <c r="GU22">
        <v>0.117103</v>
      </c>
      <c r="GV22">
        <v>0.103521</v>
      </c>
      <c r="GW22">
        <v>22605.4</v>
      </c>
      <c r="GX22">
        <v>30032</v>
      </c>
      <c r="GY22">
        <v>26994.9</v>
      </c>
      <c r="GZ22">
        <v>34204.400000000001</v>
      </c>
      <c r="HA22">
        <v>34942.9</v>
      </c>
      <c r="HB22">
        <v>38590.1</v>
      </c>
      <c r="HC22">
        <v>39877.300000000003</v>
      </c>
      <c r="HD22">
        <v>43115.9</v>
      </c>
      <c r="HE22">
        <v>1.92</v>
      </c>
      <c r="HF22">
        <v>1.667</v>
      </c>
      <c r="HG22">
        <v>-0.110567</v>
      </c>
      <c r="HH22">
        <v>0</v>
      </c>
      <c r="HI22">
        <v>29.8123</v>
      </c>
      <c r="HJ22">
        <v>999.9</v>
      </c>
      <c r="HK22">
        <v>44.8</v>
      </c>
      <c r="HL22">
        <v>42.4</v>
      </c>
      <c r="HM22">
        <v>38.583199999999998</v>
      </c>
      <c r="HN22">
        <v>61.4407</v>
      </c>
      <c r="HO22">
        <v>4.5072099999999997</v>
      </c>
      <c r="HP22">
        <v>1</v>
      </c>
      <c r="HQ22">
        <v>1.0086599999999999</v>
      </c>
      <c r="HR22">
        <v>8.4558199999999992</v>
      </c>
      <c r="HS22">
        <v>20.038699999999999</v>
      </c>
      <c r="HT22">
        <v>5.2112999999999996</v>
      </c>
      <c r="HU22">
        <v>11.9153</v>
      </c>
      <c r="HV22">
        <v>4.9832000000000001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1.86765</v>
      </c>
      <c r="IC22">
        <v>1.86334</v>
      </c>
      <c r="ID22">
        <v>1.8627899999999999</v>
      </c>
      <c r="IE22">
        <v>1.8623400000000001</v>
      </c>
      <c r="IF22">
        <v>1.8623400000000001</v>
      </c>
      <c r="IG22">
        <v>1.8628199999999999</v>
      </c>
      <c r="IH22">
        <v>1.8638300000000001</v>
      </c>
      <c r="II22">
        <v>1.86172</v>
      </c>
      <c r="IJ22">
        <v>0</v>
      </c>
      <c r="IK22">
        <v>0</v>
      </c>
      <c r="IL22">
        <v>0</v>
      </c>
      <c r="IM22">
        <v>4.5</v>
      </c>
      <c r="IN22" t="s">
        <v>405</v>
      </c>
      <c r="IO22" t="s">
        <v>406</v>
      </c>
      <c r="IP22" t="s">
        <v>407</v>
      </c>
      <c r="IQ22" t="s">
        <v>408</v>
      </c>
      <c r="IR22" t="s">
        <v>408</v>
      </c>
      <c r="IS22" t="s">
        <v>407</v>
      </c>
      <c r="IT22">
        <v>0</v>
      </c>
      <c r="IU22">
        <v>100</v>
      </c>
      <c r="IV22">
        <v>100</v>
      </c>
      <c r="IW22">
        <v>-9.1940000000000008</v>
      </c>
      <c r="IX22">
        <v>-1.1536</v>
      </c>
      <c r="IY22">
        <v>-7.1943783832455264</v>
      </c>
      <c r="IZ22">
        <v>-5.6215304933332991E-3</v>
      </c>
      <c r="JA22">
        <v>2.3979931213773931E-6</v>
      </c>
      <c r="JB22">
        <v>-3.6297174575716598E-10</v>
      </c>
      <c r="JC22">
        <v>-1.602655271673685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1.2</v>
      </c>
      <c r="JL22">
        <v>1.2</v>
      </c>
      <c r="JM22">
        <v>1.18286</v>
      </c>
      <c r="JN22">
        <v>2.5683600000000002</v>
      </c>
      <c r="JO22">
        <v>1.50024</v>
      </c>
      <c r="JP22">
        <v>2.2717299999999998</v>
      </c>
      <c r="JQ22">
        <v>1.4477500000000001</v>
      </c>
      <c r="JR22">
        <v>2.3864700000000001</v>
      </c>
      <c r="JS22">
        <v>48.117400000000004</v>
      </c>
      <c r="JT22">
        <v>23.868600000000001</v>
      </c>
      <c r="JU22">
        <v>18</v>
      </c>
      <c r="JV22">
        <v>550.81100000000004</v>
      </c>
      <c r="JW22">
        <v>396.786</v>
      </c>
      <c r="JX22">
        <v>23.378900000000002</v>
      </c>
      <c r="JY22">
        <v>38.950099999999999</v>
      </c>
      <c r="JZ22">
        <v>30.0001</v>
      </c>
      <c r="KA22">
        <v>39.0274</v>
      </c>
      <c r="KB22">
        <v>39.040300000000002</v>
      </c>
      <c r="KC22">
        <v>23.669599999999999</v>
      </c>
      <c r="KD22">
        <v>46.143300000000004</v>
      </c>
      <c r="KE22">
        <v>0</v>
      </c>
      <c r="KF22">
        <v>23.3766</v>
      </c>
      <c r="KG22">
        <v>458.608</v>
      </c>
      <c r="KH22">
        <v>21.730799999999999</v>
      </c>
      <c r="KI22">
        <v>99.649900000000002</v>
      </c>
      <c r="KJ22">
        <v>97.285300000000007</v>
      </c>
    </row>
    <row r="23" spans="1:296" x14ac:dyDescent="0.3">
      <c r="A23">
        <v>7</v>
      </c>
      <c r="B23">
        <v>1784998362</v>
      </c>
      <c r="C23">
        <v>1089</v>
      </c>
      <c r="D23" t="s">
        <v>437</v>
      </c>
      <c r="E23" t="s">
        <v>438</v>
      </c>
      <c r="F23">
        <v>15</v>
      </c>
      <c r="H23">
        <v>1784998354.25</v>
      </c>
      <c r="I23">
        <f t="shared" si="0"/>
        <v>2.1491363277618952E-3</v>
      </c>
      <c r="J23">
        <f t="shared" si="1"/>
        <v>2.1491363277618953</v>
      </c>
      <c r="K23">
        <f t="shared" si="2"/>
        <v>27.482486840692268</v>
      </c>
      <c r="L23">
        <f t="shared" si="3"/>
        <v>419.99329999999998</v>
      </c>
      <c r="M23">
        <f t="shared" si="4"/>
        <v>117.983115164024</v>
      </c>
      <c r="N23">
        <f t="shared" si="5"/>
        <v>11.539175658486577</v>
      </c>
      <c r="O23">
        <f t="shared" si="6"/>
        <v>41.07686474755188</v>
      </c>
      <c r="P23">
        <f t="shared" si="7"/>
        <v>0.15238264973656163</v>
      </c>
      <c r="Q23">
        <f t="shared" si="8"/>
        <v>2.8892615598083546</v>
      </c>
      <c r="R23">
        <f t="shared" si="9"/>
        <v>0.1480545032910201</v>
      </c>
      <c r="S23">
        <f t="shared" si="10"/>
        <v>9.2912691618616247E-2</v>
      </c>
      <c r="T23">
        <f t="shared" si="11"/>
        <v>96.345728151454566</v>
      </c>
      <c r="U23">
        <f t="shared" si="12"/>
        <v>27.716840338138176</v>
      </c>
      <c r="V23">
        <f t="shared" si="13"/>
        <v>27.986440000000002</v>
      </c>
      <c r="W23">
        <f t="shared" si="14"/>
        <v>3.7918408875808738</v>
      </c>
      <c r="X23">
        <f t="shared" si="15"/>
        <v>64.793879254340823</v>
      </c>
      <c r="Y23">
        <f t="shared" si="16"/>
        <v>2.4172034061506333</v>
      </c>
      <c r="Z23">
        <f t="shared" si="17"/>
        <v>3.7306045477878906</v>
      </c>
      <c r="AA23">
        <f t="shared" si="18"/>
        <v>1.3746374814302404</v>
      </c>
      <c r="AB23">
        <f t="shared" si="19"/>
        <v>-94.776912054299572</v>
      </c>
      <c r="AC23">
        <f t="shared" si="20"/>
        <v>-43.453485314615108</v>
      </c>
      <c r="AD23">
        <f t="shared" si="21"/>
        <v>-3.273300866035024</v>
      </c>
      <c r="AE23">
        <f t="shared" si="22"/>
        <v>-45.157970083495144</v>
      </c>
      <c r="AF23">
        <f t="shared" si="23"/>
        <v>27.482486840692268</v>
      </c>
      <c r="AG23">
        <f t="shared" si="24"/>
        <v>2.1491363277618953</v>
      </c>
      <c r="AH23">
        <f t="shared" si="25"/>
        <v>27.338509045031646</v>
      </c>
      <c r="AI23">
        <v>464.23709902554339</v>
      </c>
      <c r="AJ23">
        <v>430.71043636363612</v>
      </c>
      <c r="AK23">
        <v>-4.7835309093227762E-3</v>
      </c>
      <c r="AL23">
        <v>67.025652481007924</v>
      </c>
      <c r="AM23">
        <f t="shared" si="26"/>
        <v>2.2044563050514583</v>
      </c>
      <c r="AN23">
        <v>22.224622607557791</v>
      </c>
      <c r="AO23">
        <v>24.770544242424251</v>
      </c>
      <c r="AP23">
        <v>5.5663346983516569E-3</v>
      </c>
      <c r="AQ23">
        <v>78.043370222516046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51551.088396191968</v>
      </c>
      <c r="AW23" t="s">
        <v>414</v>
      </c>
      <c r="AX23">
        <v>13238.7</v>
      </c>
      <c r="AY23">
        <v>563.55294117647065</v>
      </c>
      <c r="AZ23">
        <v>2281.46</v>
      </c>
      <c r="BA23">
        <f t="shared" si="30"/>
        <v>0.75298583311718348</v>
      </c>
      <c r="BB23">
        <v>-2.6862788665954151</v>
      </c>
      <c r="BC23" t="s">
        <v>439</v>
      </c>
      <c r="BD23">
        <v>13220.8</v>
      </c>
      <c r="BE23">
        <v>862.02370588235294</v>
      </c>
      <c r="BF23">
        <v>1685.7</v>
      </c>
      <c r="BG23">
        <f t="shared" si="31"/>
        <v>0.48862567130429324</v>
      </c>
      <c r="BH23">
        <v>0.5</v>
      </c>
      <c r="BI23">
        <f t="shared" si="32"/>
        <v>504.30245110438062</v>
      </c>
      <c r="BJ23">
        <f t="shared" si="33"/>
        <v>27.482486840692268</v>
      </c>
      <c r="BK23">
        <f t="shared" si="34"/>
        <v>123.20756185563926</v>
      </c>
      <c r="BL23">
        <f t="shared" si="35"/>
        <v>5.9822762394314333E-2</v>
      </c>
      <c r="BM23">
        <f t="shared" si="36"/>
        <v>0.35341994423681555</v>
      </c>
      <c r="BN23">
        <f t="shared" si="37"/>
        <v>518.30504876266036</v>
      </c>
      <c r="BO23" t="s">
        <v>402</v>
      </c>
      <c r="BP23">
        <v>0</v>
      </c>
      <c r="BQ23">
        <f t="shared" si="38"/>
        <v>518.30504876266036</v>
      </c>
      <c r="BR23">
        <f t="shared" si="39"/>
        <v>0.69252829758399459</v>
      </c>
      <c r="BS23">
        <f t="shared" si="40"/>
        <v>0.70556780568959976</v>
      </c>
      <c r="BT23">
        <f t="shared" si="41"/>
        <v>0.33789429544006327</v>
      </c>
      <c r="BU23">
        <f t="shared" si="42"/>
        <v>0.73401813749901723</v>
      </c>
      <c r="BV23">
        <f t="shared" si="43"/>
        <v>0.34679408116990507</v>
      </c>
      <c r="BW23">
        <f t="shared" si="44"/>
        <v>0.42423352564183553</v>
      </c>
      <c r="BX23">
        <f t="shared" si="45"/>
        <v>0.57576647435816453</v>
      </c>
      <c r="DG23">
        <f t="shared" si="46"/>
        <v>599.99863333333337</v>
      </c>
      <c r="DH23">
        <f t="shared" si="47"/>
        <v>504.30245110438062</v>
      </c>
      <c r="DI23">
        <f t="shared" si="48"/>
        <v>0.84050599965985573</v>
      </c>
      <c r="DJ23">
        <f t="shared" si="49"/>
        <v>0.16057657934352165</v>
      </c>
      <c r="DK23">
        <v>6</v>
      </c>
      <c r="DL23">
        <v>0.5</v>
      </c>
      <c r="DM23" t="s">
        <v>403</v>
      </c>
      <c r="DN23">
        <v>2</v>
      </c>
      <c r="DO23" t="b">
        <v>0</v>
      </c>
      <c r="DP23">
        <v>1784998354.25</v>
      </c>
      <c r="DQ23">
        <v>419.99329999999998</v>
      </c>
      <c r="DR23">
        <v>454.05613333333332</v>
      </c>
      <c r="DS23">
        <v>24.714866666666659</v>
      </c>
      <c r="DT23">
        <v>22.199590000000001</v>
      </c>
      <c r="DU23">
        <v>429.16683333333339</v>
      </c>
      <c r="DV23">
        <v>25.889003333333331</v>
      </c>
      <c r="DW23">
        <v>499.98970000000003</v>
      </c>
      <c r="DX23">
        <v>97.745493333333343</v>
      </c>
      <c r="DY23">
        <v>5.8125789999999997E-2</v>
      </c>
      <c r="DZ23">
        <v>27.70747333333334</v>
      </c>
      <c r="EA23">
        <v>27.986440000000002</v>
      </c>
      <c r="EB23">
        <v>999.9000000000002</v>
      </c>
      <c r="EC23">
        <v>0</v>
      </c>
      <c r="ED23">
        <v>0</v>
      </c>
      <c r="EE23">
        <v>9997.5</v>
      </c>
      <c r="EF23">
        <v>0</v>
      </c>
      <c r="EG23">
        <v>228.09683333333331</v>
      </c>
      <c r="EH23">
        <v>-34.062703333333332</v>
      </c>
      <c r="EI23">
        <v>430.63653333333332</v>
      </c>
      <c r="EJ23">
        <v>464.36483333333342</v>
      </c>
      <c r="EK23">
        <v>2.515279</v>
      </c>
      <c r="EL23">
        <v>454.05613333333332</v>
      </c>
      <c r="EM23">
        <v>22.199590000000001</v>
      </c>
      <c r="EN23">
        <v>2.415766333333333</v>
      </c>
      <c r="EO23">
        <v>2.169910666666667</v>
      </c>
      <c r="EP23">
        <v>20.469840000000001</v>
      </c>
      <c r="EQ23">
        <v>18.74186666666667</v>
      </c>
      <c r="ER23">
        <v>599.99863333333337</v>
      </c>
      <c r="ES23">
        <v>0.98299403333333346</v>
      </c>
      <c r="ET23">
        <v>1.70061E-2</v>
      </c>
      <c r="EU23">
        <v>0</v>
      </c>
      <c r="EV23">
        <v>862.12316666666663</v>
      </c>
      <c r="EW23">
        <v>5.0010700000000003</v>
      </c>
      <c r="EX23">
        <v>8518.4980000000014</v>
      </c>
      <c r="EY23">
        <v>5415.0870000000004</v>
      </c>
      <c r="EZ23">
        <v>43</v>
      </c>
      <c r="FA23">
        <v>46.061999999999983</v>
      </c>
      <c r="FB23">
        <v>44.75</v>
      </c>
      <c r="FC23">
        <v>45.811999999999983</v>
      </c>
      <c r="FD23">
        <v>44.616599999999991</v>
      </c>
      <c r="FE23">
        <v>584.87933333333342</v>
      </c>
      <c r="FF23">
        <v>10.119999999999999</v>
      </c>
      <c r="FG23">
        <v>0</v>
      </c>
      <c r="FH23">
        <v>180.89999985694891</v>
      </c>
      <c r="FI23">
        <v>0</v>
      </c>
      <c r="FJ23">
        <v>862.02370588235294</v>
      </c>
      <c r="FK23">
        <v>-2.7874999732355241</v>
      </c>
      <c r="FL23">
        <v>-744.08578546620788</v>
      </c>
      <c r="FM23">
        <v>8501.9994117647057</v>
      </c>
      <c r="FN23">
        <v>10</v>
      </c>
      <c r="FO23">
        <v>1784998275</v>
      </c>
      <c r="FP23" t="s">
        <v>440</v>
      </c>
      <c r="FQ23">
        <v>1784998275</v>
      </c>
      <c r="FR23">
        <v>1784998273</v>
      </c>
      <c r="FS23">
        <v>7</v>
      </c>
      <c r="FT23">
        <v>2.1000000000000001E-2</v>
      </c>
      <c r="FU23">
        <v>-1.7000000000000001E-2</v>
      </c>
      <c r="FV23">
        <v>-9.3010000000000002</v>
      </c>
      <c r="FW23">
        <v>-1.254</v>
      </c>
      <c r="FX23">
        <v>454</v>
      </c>
      <c r="FY23">
        <v>22</v>
      </c>
      <c r="FZ23">
        <v>0.25</v>
      </c>
      <c r="GA23">
        <v>0.08</v>
      </c>
      <c r="GB23">
        <v>419.99335483870959</v>
      </c>
      <c r="GC23">
        <v>0.59206451612709088</v>
      </c>
      <c r="GD23">
        <v>7.3725098972620529E-2</v>
      </c>
      <c r="GE23">
        <v>-1</v>
      </c>
      <c r="GF23">
        <v>862.15970588235291</v>
      </c>
      <c r="GG23">
        <v>-0.82169595111700355</v>
      </c>
      <c r="GH23">
        <v>0.21409117483415749</v>
      </c>
      <c r="GI23">
        <v>1</v>
      </c>
      <c r="GJ23">
        <v>2.5530217073170731</v>
      </c>
      <c r="GK23">
        <v>-0.45207930313588712</v>
      </c>
      <c r="GL23">
        <v>7.2007295460419077E-2</v>
      </c>
      <c r="GM23">
        <v>1</v>
      </c>
      <c r="GN23">
        <v>2</v>
      </c>
      <c r="GO23">
        <v>2</v>
      </c>
      <c r="GP23" t="s">
        <v>404</v>
      </c>
      <c r="GQ23">
        <v>3.13164</v>
      </c>
      <c r="GR23">
        <v>2.7338</v>
      </c>
      <c r="GS23">
        <v>9.0858999999999995E-2</v>
      </c>
      <c r="GT23">
        <v>9.5484899999999998E-2</v>
      </c>
      <c r="GU23">
        <v>0.116866</v>
      </c>
      <c r="GV23">
        <v>0.104814</v>
      </c>
      <c r="GW23">
        <v>22604.7</v>
      </c>
      <c r="GX23">
        <v>30055.9</v>
      </c>
      <c r="GY23">
        <v>26994.2</v>
      </c>
      <c r="GZ23">
        <v>34203.5</v>
      </c>
      <c r="HA23">
        <v>34952.1</v>
      </c>
      <c r="HB23">
        <v>38531.800000000003</v>
      </c>
      <c r="HC23">
        <v>39877.5</v>
      </c>
      <c r="HD23">
        <v>43112.800000000003</v>
      </c>
      <c r="HE23">
        <v>1.9206000000000001</v>
      </c>
      <c r="HF23">
        <v>1.6657999999999999</v>
      </c>
      <c r="HG23">
        <v>-0.11697399999999999</v>
      </c>
      <c r="HH23">
        <v>0</v>
      </c>
      <c r="HI23">
        <v>29.9053</v>
      </c>
      <c r="HJ23">
        <v>999.9</v>
      </c>
      <c r="HK23">
        <v>44.6</v>
      </c>
      <c r="HL23">
        <v>42.5</v>
      </c>
      <c r="HM23">
        <v>38.616500000000002</v>
      </c>
      <c r="HN23">
        <v>61.390799999999999</v>
      </c>
      <c r="HO23">
        <v>4.4070499999999999</v>
      </c>
      <c r="HP23">
        <v>1</v>
      </c>
      <c r="HQ23">
        <v>1.00604</v>
      </c>
      <c r="HR23">
        <v>8.2260100000000005</v>
      </c>
      <c r="HS23">
        <v>20.049600000000002</v>
      </c>
      <c r="HT23">
        <v>5.2100999999999997</v>
      </c>
      <c r="HU23">
        <v>11.914099999999999</v>
      </c>
      <c r="HV23">
        <v>4.9816000000000003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1.86765</v>
      </c>
      <c r="IC23">
        <v>1.86331</v>
      </c>
      <c r="ID23">
        <v>1.8628199999999999</v>
      </c>
      <c r="IE23">
        <v>1.8623700000000001</v>
      </c>
      <c r="IF23">
        <v>1.8623400000000001</v>
      </c>
      <c r="IG23">
        <v>1.8628199999999999</v>
      </c>
      <c r="IH23">
        <v>1.8638300000000001</v>
      </c>
      <c r="II23">
        <v>1.86172</v>
      </c>
      <c r="IJ23">
        <v>0</v>
      </c>
      <c r="IK23">
        <v>0</v>
      </c>
      <c r="IL23">
        <v>0</v>
      </c>
      <c r="IM23">
        <v>4.5</v>
      </c>
      <c r="IN23" t="s">
        <v>405</v>
      </c>
      <c r="IO23" t="s">
        <v>406</v>
      </c>
      <c r="IP23" t="s">
        <v>407</v>
      </c>
      <c r="IQ23" t="s">
        <v>408</v>
      </c>
      <c r="IR23" t="s">
        <v>408</v>
      </c>
      <c r="IS23" t="s">
        <v>407</v>
      </c>
      <c r="IT23">
        <v>0</v>
      </c>
      <c r="IU23">
        <v>100</v>
      </c>
      <c r="IV23">
        <v>100</v>
      </c>
      <c r="IW23">
        <v>-9.1739999999999995</v>
      </c>
      <c r="IX23">
        <v>-1.1725000000000001</v>
      </c>
      <c r="IY23">
        <v>-7.1738783954289502</v>
      </c>
      <c r="IZ23">
        <v>-5.6215304933332991E-3</v>
      </c>
      <c r="JA23">
        <v>2.3979931213773931E-6</v>
      </c>
      <c r="JB23">
        <v>-3.6297174575716598E-10</v>
      </c>
      <c r="JC23">
        <v>-1.6194674735514509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1.4</v>
      </c>
      <c r="JL23">
        <v>1.5</v>
      </c>
      <c r="JM23">
        <v>1.17432</v>
      </c>
      <c r="JN23">
        <v>2.5720200000000002</v>
      </c>
      <c r="JO23">
        <v>1.50024</v>
      </c>
      <c r="JP23">
        <v>2.2717299999999998</v>
      </c>
      <c r="JQ23">
        <v>1.4477500000000001</v>
      </c>
      <c r="JR23">
        <v>2.4023400000000001</v>
      </c>
      <c r="JS23">
        <v>48.209000000000003</v>
      </c>
      <c r="JT23">
        <v>23.868600000000001</v>
      </c>
      <c r="JU23">
        <v>18</v>
      </c>
      <c r="JV23">
        <v>551.17100000000005</v>
      </c>
      <c r="JW23">
        <v>396.06599999999997</v>
      </c>
      <c r="JX23">
        <v>23.583200000000001</v>
      </c>
      <c r="JY23">
        <v>38.912399999999998</v>
      </c>
      <c r="JZ23">
        <v>29.9999</v>
      </c>
      <c r="KA23">
        <v>39.020000000000003</v>
      </c>
      <c r="KB23">
        <v>39.040300000000002</v>
      </c>
      <c r="KC23">
        <v>23.4846</v>
      </c>
      <c r="KD23">
        <v>45.561300000000003</v>
      </c>
      <c r="KE23">
        <v>0</v>
      </c>
      <c r="KF23">
        <v>23.585999999999999</v>
      </c>
      <c r="KG23">
        <v>453.99200000000002</v>
      </c>
      <c r="KH23">
        <v>22.094100000000001</v>
      </c>
      <c r="KI23">
        <v>99.649000000000001</v>
      </c>
      <c r="KJ23">
        <v>97.2804</v>
      </c>
    </row>
    <row r="24" spans="1:296" x14ac:dyDescent="0.3">
      <c r="A24">
        <v>8</v>
      </c>
      <c r="B24">
        <v>1784998543.5</v>
      </c>
      <c r="C24">
        <v>1270.5</v>
      </c>
      <c r="D24" t="s">
        <v>441</v>
      </c>
      <c r="E24" t="s">
        <v>442</v>
      </c>
      <c r="F24">
        <v>15</v>
      </c>
      <c r="H24">
        <v>1784998535.75</v>
      </c>
      <c r="I24">
        <f t="shared" si="0"/>
        <v>2.0184682137061212E-3</v>
      </c>
      <c r="J24">
        <f t="shared" si="1"/>
        <v>2.0184682137061212</v>
      </c>
      <c r="K24">
        <f t="shared" si="2"/>
        <v>21.081417967906951</v>
      </c>
      <c r="L24">
        <f t="shared" si="3"/>
        <v>419.98299999999989</v>
      </c>
      <c r="M24">
        <f t="shared" si="4"/>
        <v>172.61075076376864</v>
      </c>
      <c r="N24">
        <f t="shared" si="5"/>
        <v>16.882323724202241</v>
      </c>
      <c r="O24">
        <f t="shared" si="6"/>
        <v>41.076751785670901</v>
      </c>
      <c r="P24">
        <f t="shared" si="7"/>
        <v>0.14352946008892678</v>
      </c>
      <c r="Q24">
        <f t="shared" si="8"/>
        <v>2.8897596468761586</v>
      </c>
      <c r="R24">
        <f t="shared" si="9"/>
        <v>0.13968342972227404</v>
      </c>
      <c r="S24">
        <f t="shared" si="10"/>
        <v>8.763911012501098E-2</v>
      </c>
      <c r="T24">
        <f t="shared" si="11"/>
        <v>64.41064389218009</v>
      </c>
      <c r="U24">
        <f t="shared" si="12"/>
        <v>27.528510491398798</v>
      </c>
      <c r="V24">
        <f t="shared" si="13"/>
        <v>27.998103333333329</v>
      </c>
      <c r="W24">
        <f t="shared" si="14"/>
        <v>3.7944201075602888</v>
      </c>
      <c r="X24">
        <f t="shared" si="15"/>
        <v>65.152783784316256</v>
      </c>
      <c r="Y24">
        <f t="shared" si="16"/>
        <v>2.4260409524385689</v>
      </c>
      <c r="Z24">
        <f t="shared" si="17"/>
        <v>3.7236182577705472</v>
      </c>
      <c r="AA24">
        <f t="shared" si="18"/>
        <v>1.3683791551217199</v>
      </c>
      <c r="AB24">
        <f t="shared" si="19"/>
        <v>-89.014448224439946</v>
      </c>
      <c r="AC24">
        <f t="shared" si="20"/>
        <v>-50.275869343205706</v>
      </c>
      <c r="AD24">
        <f t="shared" si="21"/>
        <v>-3.7861852305041146</v>
      </c>
      <c r="AE24">
        <f t="shared" si="22"/>
        <v>-78.665858905969685</v>
      </c>
      <c r="AF24">
        <f t="shared" si="23"/>
        <v>21.081417967906951</v>
      </c>
      <c r="AG24">
        <f t="shared" si="24"/>
        <v>2.0184682137061212</v>
      </c>
      <c r="AH24">
        <f t="shared" si="25"/>
        <v>21.008732483086192</v>
      </c>
      <c r="AI24">
        <v>456.44591769269721</v>
      </c>
      <c r="AJ24">
        <v>430.66218787878819</v>
      </c>
      <c r="AK24">
        <v>-1.3707034519950831E-3</v>
      </c>
      <c r="AL24">
        <v>67.081791302445808</v>
      </c>
      <c r="AM24">
        <f t="shared" si="26"/>
        <v>2.0092291300170939</v>
      </c>
      <c r="AN24">
        <v>22.444832158831169</v>
      </c>
      <c r="AO24">
        <v>24.796893939393939</v>
      </c>
      <c r="AP24">
        <v>-1.013395176243568E-4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51570.779310397455</v>
      </c>
      <c r="AW24" t="s">
        <v>414</v>
      </c>
      <c r="AX24">
        <v>13238.7</v>
      </c>
      <c r="AY24">
        <v>563.55294117647065</v>
      </c>
      <c r="AZ24">
        <v>2281.46</v>
      </c>
      <c r="BA24">
        <f t="shared" si="30"/>
        <v>0.75298583311718348</v>
      </c>
      <c r="BB24">
        <v>-2.6862788665954151</v>
      </c>
      <c r="BC24" t="s">
        <v>443</v>
      </c>
      <c r="BD24">
        <v>13219.9</v>
      </c>
      <c r="BE24">
        <v>849.04817647058826</v>
      </c>
      <c r="BF24">
        <v>1914.01</v>
      </c>
      <c r="BG24">
        <f t="shared" si="31"/>
        <v>0.55640347935977963</v>
      </c>
      <c r="BH24">
        <v>0.5</v>
      </c>
      <c r="BI24">
        <f t="shared" si="32"/>
        <v>336.2890061203006</v>
      </c>
      <c r="BJ24">
        <f t="shared" si="33"/>
        <v>21.081417967906951</v>
      </c>
      <c r="BK24">
        <f t="shared" si="34"/>
        <v>93.556186537888735</v>
      </c>
      <c r="BL24">
        <f t="shared" si="35"/>
        <v>7.0676401553251944E-2</v>
      </c>
      <c r="BM24">
        <f t="shared" si="36"/>
        <v>0.19197914326466425</v>
      </c>
      <c r="BN24">
        <f t="shared" si="37"/>
        <v>538.03832031195623</v>
      </c>
      <c r="BO24" t="s">
        <v>402</v>
      </c>
      <c r="BP24">
        <v>0</v>
      </c>
      <c r="BQ24">
        <f t="shared" si="38"/>
        <v>538.03832031195623</v>
      </c>
      <c r="BR24">
        <f t="shared" si="39"/>
        <v>0.7188947182554134</v>
      </c>
      <c r="BS24">
        <f t="shared" si="40"/>
        <v>0.77397074318481374</v>
      </c>
      <c r="BT24">
        <f t="shared" si="41"/>
        <v>0.21076369777950055</v>
      </c>
      <c r="BU24">
        <f t="shared" si="42"/>
        <v>0.78859362211573691</v>
      </c>
      <c r="BV24">
        <f t="shared" si="43"/>
        <v>0.21389399275863039</v>
      </c>
      <c r="BW24">
        <f t="shared" si="44"/>
        <v>0.49046206113391133</v>
      </c>
      <c r="BX24">
        <f t="shared" si="45"/>
        <v>0.50953793886608867</v>
      </c>
      <c r="DG24">
        <f t="shared" si="46"/>
        <v>399.99119999999999</v>
      </c>
      <c r="DH24">
        <f t="shared" si="47"/>
        <v>336.2890061203006</v>
      </c>
      <c r="DI24">
        <f t="shared" si="48"/>
        <v>0.84074101160300674</v>
      </c>
      <c r="DJ24">
        <f t="shared" si="49"/>
        <v>0.16103015239380289</v>
      </c>
      <c r="DK24">
        <v>6</v>
      </c>
      <c r="DL24">
        <v>0.5</v>
      </c>
      <c r="DM24" t="s">
        <v>403</v>
      </c>
      <c r="DN24">
        <v>2</v>
      </c>
      <c r="DO24" t="b">
        <v>0</v>
      </c>
      <c r="DP24">
        <v>1784998535.75</v>
      </c>
      <c r="DQ24">
        <v>419.98299999999989</v>
      </c>
      <c r="DR24">
        <v>446.29966666666672</v>
      </c>
      <c r="DS24">
        <v>24.804686666666669</v>
      </c>
      <c r="DT24">
        <v>22.44245333333334</v>
      </c>
      <c r="DU24">
        <v>429.15609999999998</v>
      </c>
      <c r="DV24">
        <v>25.989656666666669</v>
      </c>
      <c r="DW24">
        <v>499.96773333333329</v>
      </c>
      <c r="DX24">
        <v>97.74739000000001</v>
      </c>
      <c r="DY24">
        <v>5.8358769999999997E-2</v>
      </c>
      <c r="DZ24">
        <v>27.675393333333339</v>
      </c>
      <c r="EA24">
        <v>27.998103333333329</v>
      </c>
      <c r="EB24">
        <v>999.9000000000002</v>
      </c>
      <c r="EC24">
        <v>0</v>
      </c>
      <c r="ED24">
        <v>0</v>
      </c>
      <c r="EE24">
        <v>10000.16666666667</v>
      </c>
      <c r="EF24">
        <v>0</v>
      </c>
      <c r="EG24">
        <v>225.6668333333333</v>
      </c>
      <c r="EH24">
        <v>-26.31666666666667</v>
      </c>
      <c r="EI24">
        <v>430.66539999999998</v>
      </c>
      <c r="EJ24">
        <v>456.54556666666662</v>
      </c>
      <c r="EK24">
        <v>2.362239666666667</v>
      </c>
      <c r="EL24">
        <v>446.29966666666672</v>
      </c>
      <c r="EM24">
        <v>22.44245333333334</v>
      </c>
      <c r="EN24">
        <v>2.4245939999999999</v>
      </c>
      <c r="EO24">
        <v>2.1936900000000001</v>
      </c>
      <c r="EP24">
        <v>20.52897333333333</v>
      </c>
      <c r="EQ24">
        <v>18.916313333333331</v>
      </c>
      <c r="ER24">
        <v>399.99119999999999</v>
      </c>
      <c r="ES24">
        <v>0.97499423333333346</v>
      </c>
      <c r="ET24">
        <v>2.500578333333333E-2</v>
      </c>
      <c r="EU24">
        <v>0</v>
      </c>
      <c r="EV24">
        <v>849.07159999999988</v>
      </c>
      <c r="EW24">
        <v>5.0010700000000003</v>
      </c>
      <c r="EX24">
        <v>6728.2266666666674</v>
      </c>
      <c r="EY24">
        <v>3583.5863333333341</v>
      </c>
      <c r="EZ24">
        <v>42.495800000000003</v>
      </c>
      <c r="FA24">
        <v>45.945399999999971</v>
      </c>
      <c r="FB24">
        <v>44.436999999999983</v>
      </c>
      <c r="FC24">
        <v>45.686999999999983</v>
      </c>
      <c r="FD24">
        <v>44.245800000000003</v>
      </c>
      <c r="FE24">
        <v>385.11266666666671</v>
      </c>
      <c r="FF24">
        <v>9.879999999999999</v>
      </c>
      <c r="FG24">
        <v>0</v>
      </c>
      <c r="FH24">
        <v>180.69999980926511</v>
      </c>
      <c r="FI24">
        <v>0</v>
      </c>
      <c r="FJ24">
        <v>849.04817647058826</v>
      </c>
      <c r="FK24">
        <v>-2.122058810167216</v>
      </c>
      <c r="FL24">
        <v>63.11029363871107</v>
      </c>
      <c r="FM24">
        <v>6727.0347058823527</v>
      </c>
      <c r="FN24">
        <v>10</v>
      </c>
      <c r="FO24">
        <v>1784998474.5</v>
      </c>
      <c r="FP24" t="s">
        <v>444</v>
      </c>
      <c r="FQ24">
        <v>1784998474.5</v>
      </c>
      <c r="FR24">
        <v>1784998473.5</v>
      </c>
      <c r="FS24">
        <v>8</v>
      </c>
      <c r="FT24">
        <v>0</v>
      </c>
      <c r="FU24">
        <v>-1.4E-2</v>
      </c>
      <c r="FV24">
        <v>-9.2729999999999997</v>
      </c>
      <c r="FW24">
        <v>-1.2589999999999999</v>
      </c>
      <c r="FX24">
        <v>447</v>
      </c>
      <c r="FY24">
        <v>22</v>
      </c>
      <c r="FZ24">
        <v>0.34</v>
      </c>
      <c r="GA24">
        <v>0.11</v>
      </c>
      <c r="GB24">
        <v>419.98035483870962</v>
      </c>
      <c r="GC24">
        <v>-6.2080645162227048E-2</v>
      </c>
      <c r="GD24">
        <v>5.7049242106916011E-2</v>
      </c>
      <c r="GE24">
        <v>-1</v>
      </c>
      <c r="GF24">
        <v>849.15994117647051</v>
      </c>
      <c r="GG24">
        <v>-1.323361346069255</v>
      </c>
      <c r="GH24">
        <v>0.23611051016501411</v>
      </c>
      <c r="GI24">
        <v>1</v>
      </c>
      <c r="GJ24">
        <v>2.3657924390243901</v>
      </c>
      <c r="GK24">
        <v>-8.0838606271775457E-2</v>
      </c>
      <c r="GL24">
        <v>9.0910362661592702E-3</v>
      </c>
      <c r="GM24">
        <v>1</v>
      </c>
      <c r="GN24">
        <v>2</v>
      </c>
      <c r="GO24">
        <v>2</v>
      </c>
      <c r="GP24" t="s">
        <v>404</v>
      </c>
      <c r="GQ24">
        <v>3.1310500000000001</v>
      </c>
      <c r="GR24">
        <v>2.7347999999999999</v>
      </c>
      <c r="GS24">
        <v>9.08336E-2</v>
      </c>
      <c r="GT24">
        <v>9.4269400000000003E-2</v>
      </c>
      <c r="GU24">
        <v>0.116977</v>
      </c>
      <c r="GV24">
        <v>0.10582900000000001</v>
      </c>
      <c r="GW24">
        <v>22600.799999999999</v>
      </c>
      <c r="GX24">
        <v>30092.2</v>
      </c>
      <c r="GY24">
        <v>26989</v>
      </c>
      <c r="GZ24">
        <v>34199.1</v>
      </c>
      <c r="HA24">
        <v>34941.599999999999</v>
      </c>
      <c r="HB24">
        <v>38483.199999999997</v>
      </c>
      <c r="HC24">
        <v>39870.1</v>
      </c>
      <c r="HD24">
        <v>43107.1</v>
      </c>
      <c r="HE24">
        <v>1.9184000000000001</v>
      </c>
      <c r="HF24">
        <v>1.6652</v>
      </c>
      <c r="HG24">
        <v>-0.118613</v>
      </c>
      <c r="HH24">
        <v>0</v>
      </c>
      <c r="HI24">
        <v>29.949200000000001</v>
      </c>
      <c r="HJ24">
        <v>999.9</v>
      </c>
      <c r="HK24">
        <v>44.5</v>
      </c>
      <c r="HL24">
        <v>42.7</v>
      </c>
      <c r="HM24">
        <v>38.935000000000002</v>
      </c>
      <c r="HN24">
        <v>61.3508</v>
      </c>
      <c r="HO24">
        <v>4.5512800000000002</v>
      </c>
      <c r="HP24">
        <v>1</v>
      </c>
      <c r="HQ24">
        <v>1.0115000000000001</v>
      </c>
      <c r="HR24">
        <v>8.0952099999999998</v>
      </c>
      <c r="HS24">
        <v>20.057099999999998</v>
      </c>
      <c r="HT24">
        <v>5.2100999999999997</v>
      </c>
      <c r="HU24">
        <v>11.914099999999999</v>
      </c>
      <c r="HV24">
        <v>4.9828000000000001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1.8633999999999999</v>
      </c>
      <c r="ID24">
        <v>1.8628199999999999</v>
      </c>
      <c r="IE24">
        <v>1.86249</v>
      </c>
      <c r="IF24">
        <v>1.8624000000000001</v>
      </c>
      <c r="IG24">
        <v>1.8629500000000001</v>
      </c>
      <c r="IH24">
        <v>1.8638600000000001</v>
      </c>
      <c r="II24">
        <v>1.86172</v>
      </c>
      <c r="IJ24">
        <v>0</v>
      </c>
      <c r="IK24">
        <v>0</v>
      </c>
      <c r="IL24">
        <v>0</v>
      </c>
      <c r="IM24">
        <v>4.5</v>
      </c>
      <c r="IN24" t="s">
        <v>405</v>
      </c>
      <c r="IO24" t="s">
        <v>406</v>
      </c>
      <c r="IP24" t="s">
        <v>407</v>
      </c>
      <c r="IQ24" t="s">
        <v>408</v>
      </c>
      <c r="IR24" t="s">
        <v>408</v>
      </c>
      <c r="IS24" t="s">
        <v>407</v>
      </c>
      <c r="IT24">
        <v>0</v>
      </c>
      <c r="IU24">
        <v>100</v>
      </c>
      <c r="IV24">
        <v>100</v>
      </c>
      <c r="IW24">
        <v>-9.173</v>
      </c>
      <c r="IX24">
        <v>-1.1850000000000001</v>
      </c>
      <c r="IY24">
        <v>-7.173720209775027</v>
      </c>
      <c r="IZ24">
        <v>-5.6215304933332991E-3</v>
      </c>
      <c r="JA24">
        <v>2.3979931213773931E-6</v>
      </c>
      <c r="JB24">
        <v>-3.6297174575716598E-10</v>
      </c>
      <c r="JC24">
        <v>-1.633173028387956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1.1000000000000001</v>
      </c>
      <c r="JL24">
        <v>1.2</v>
      </c>
      <c r="JM24">
        <v>1.15845</v>
      </c>
      <c r="JN24">
        <v>2.5708000000000002</v>
      </c>
      <c r="JO24">
        <v>1.50024</v>
      </c>
      <c r="JP24">
        <v>2.2717299999999998</v>
      </c>
      <c r="JQ24">
        <v>1.4477500000000001</v>
      </c>
      <c r="JR24">
        <v>2.3754900000000001</v>
      </c>
      <c r="JS24">
        <v>48.331600000000002</v>
      </c>
      <c r="JT24">
        <v>23.877400000000002</v>
      </c>
      <c r="JU24">
        <v>18</v>
      </c>
      <c r="JV24">
        <v>550.07600000000002</v>
      </c>
      <c r="JW24">
        <v>396.00099999999998</v>
      </c>
      <c r="JX24">
        <v>23.699100000000001</v>
      </c>
      <c r="JY24">
        <v>38.965200000000003</v>
      </c>
      <c r="JZ24">
        <v>30.0002</v>
      </c>
      <c r="KA24">
        <v>39.075699999999998</v>
      </c>
      <c r="KB24">
        <v>39.091900000000003</v>
      </c>
      <c r="KC24">
        <v>23.168600000000001</v>
      </c>
      <c r="KD24">
        <v>45.057000000000002</v>
      </c>
      <c r="KE24">
        <v>0</v>
      </c>
      <c r="KF24">
        <v>23.699300000000001</v>
      </c>
      <c r="KG24">
        <v>446.32499999999999</v>
      </c>
      <c r="KH24">
        <v>22.475300000000001</v>
      </c>
      <c r="KI24">
        <v>99.630300000000005</v>
      </c>
      <c r="KJ24">
        <v>97.267700000000005</v>
      </c>
    </row>
    <row r="25" spans="1:296" x14ac:dyDescent="0.3">
      <c r="A25">
        <v>9</v>
      </c>
      <c r="B25">
        <v>1784998725</v>
      </c>
      <c r="C25">
        <v>1452</v>
      </c>
      <c r="D25" t="s">
        <v>445</v>
      </c>
      <c r="E25" t="s">
        <v>446</v>
      </c>
      <c r="F25">
        <v>15</v>
      </c>
      <c r="H25">
        <v>1784998717</v>
      </c>
      <c r="I25">
        <f t="shared" si="0"/>
        <v>1.6343659500580923E-3</v>
      </c>
      <c r="J25">
        <f t="shared" si="1"/>
        <v>1.6343659500580923</v>
      </c>
      <c r="K25">
        <f t="shared" si="2"/>
        <v>16.36620233949952</v>
      </c>
      <c r="L25">
        <f t="shared" si="3"/>
        <v>420.01158064516119</v>
      </c>
      <c r="M25">
        <f t="shared" si="4"/>
        <v>181.8731632041509</v>
      </c>
      <c r="N25">
        <f t="shared" si="5"/>
        <v>17.787546389478074</v>
      </c>
      <c r="O25">
        <f t="shared" si="6"/>
        <v>41.077943239254687</v>
      </c>
      <c r="P25">
        <f t="shared" si="7"/>
        <v>0.1154147306866796</v>
      </c>
      <c r="Q25">
        <f t="shared" si="8"/>
        <v>2.8891334458364271</v>
      </c>
      <c r="R25">
        <f t="shared" si="9"/>
        <v>0.11291319023353238</v>
      </c>
      <c r="S25">
        <f t="shared" si="10"/>
        <v>7.0790981506706416E-2</v>
      </c>
      <c r="T25">
        <f t="shared" si="11"/>
        <v>48.44487312383648</v>
      </c>
      <c r="U25">
        <f t="shared" si="12"/>
        <v>27.508989343493923</v>
      </c>
      <c r="V25">
        <f t="shared" si="13"/>
        <v>27.96631935483871</v>
      </c>
      <c r="W25">
        <f t="shared" si="14"/>
        <v>3.787395019887545</v>
      </c>
      <c r="X25">
        <f t="shared" si="15"/>
        <v>64.99683011737703</v>
      </c>
      <c r="Y25">
        <f t="shared" si="16"/>
        <v>2.4166579289250771</v>
      </c>
      <c r="Z25">
        <f t="shared" si="17"/>
        <v>3.7181165982415787</v>
      </c>
      <c r="AA25">
        <f t="shared" si="18"/>
        <v>1.3707370909624679</v>
      </c>
      <c r="AB25">
        <f t="shared" si="19"/>
        <v>-72.075538397561871</v>
      </c>
      <c r="AC25">
        <f t="shared" si="20"/>
        <v>-49.255003475483079</v>
      </c>
      <c r="AD25">
        <f t="shared" si="21"/>
        <v>-3.7090536956572882</v>
      </c>
      <c r="AE25">
        <f t="shared" si="22"/>
        <v>-76.594722444865766</v>
      </c>
      <c r="AF25">
        <f t="shared" si="23"/>
        <v>16.36620233949952</v>
      </c>
      <c r="AG25">
        <f t="shared" si="24"/>
        <v>1.6343659500580923</v>
      </c>
      <c r="AH25">
        <f t="shared" si="25"/>
        <v>16.263628613207025</v>
      </c>
      <c r="AI25">
        <v>450.72232401750148</v>
      </c>
      <c r="AJ25">
        <v>430.72726666666659</v>
      </c>
      <c r="AK25">
        <v>4.624984826445154E-3</v>
      </c>
      <c r="AL25">
        <v>67.08371124072319</v>
      </c>
      <c r="AM25">
        <f t="shared" si="26"/>
        <v>1.6691169717417098</v>
      </c>
      <c r="AN25">
        <v>22.767539541515141</v>
      </c>
      <c r="AO25">
        <v>24.718986666666648</v>
      </c>
      <c r="AP25">
        <v>3.0947985347859128E-4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51557.251439268359</v>
      </c>
      <c r="AW25" t="s">
        <v>414</v>
      </c>
      <c r="AX25">
        <v>13238.7</v>
      </c>
      <c r="AY25">
        <v>563.55294117647065</v>
      </c>
      <c r="AZ25">
        <v>2281.46</v>
      </c>
      <c r="BA25">
        <f t="shared" si="30"/>
        <v>0.75298583311718348</v>
      </c>
      <c r="BB25">
        <v>-2.6862788665954151</v>
      </c>
      <c r="BC25" t="s">
        <v>447</v>
      </c>
      <c r="BD25">
        <v>13234.7</v>
      </c>
      <c r="BE25">
        <v>823.50258823529407</v>
      </c>
      <c r="BF25">
        <v>1998.81</v>
      </c>
      <c r="BG25">
        <f t="shared" si="31"/>
        <v>0.58800356800531617</v>
      </c>
      <c r="BH25">
        <v>0.5</v>
      </c>
      <c r="BI25">
        <f t="shared" si="32"/>
        <v>252.29707763394492</v>
      </c>
      <c r="BJ25">
        <f t="shared" si="33"/>
        <v>16.36620233949952</v>
      </c>
      <c r="BK25">
        <f t="shared" si="34"/>
        <v>74.175790923036928</v>
      </c>
      <c r="BL25">
        <f t="shared" si="35"/>
        <v>7.551605981634861E-2</v>
      </c>
      <c r="BM25">
        <f t="shared" si="36"/>
        <v>0.1414091384373703</v>
      </c>
      <c r="BN25">
        <f t="shared" si="37"/>
        <v>544.53239177623232</v>
      </c>
      <c r="BO25" t="s">
        <v>402</v>
      </c>
      <c r="BP25">
        <v>0</v>
      </c>
      <c r="BQ25">
        <f t="shared" si="38"/>
        <v>544.53239177623232</v>
      </c>
      <c r="BR25">
        <f t="shared" si="39"/>
        <v>0.7275717092789048</v>
      </c>
      <c r="BS25">
        <f t="shared" si="40"/>
        <v>0.80817266601540283</v>
      </c>
      <c r="BT25">
        <f t="shared" si="41"/>
        <v>0.16272986776290932</v>
      </c>
      <c r="BU25">
        <f t="shared" si="42"/>
        <v>0.8188828645985532</v>
      </c>
      <c r="BV25">
        <f t="shared" si="43"/>
        <v>0.16453160172330084</v>
      </c>
      <c r="BW25">
        <f t="shared" si="44"/>
        <v>0.53439564256451544</v>
      </c>
      <c r="BX25">
        <f t="shared" si="45"/>
        <v>0.46560435743548456</v>
      </c>
      <c r="DG25">
        <f t="shared" si="46"/>
        <v>300.00580645161278</v>
      </c>
      <c r="DH25">
        <f t="shared" si="47"/>
        <v>252.29707763394492</v>
      </c>
      <c r="DI25">
        <f t="shared" si="48"/>
        <v>0.84097398186403871</v>
      </c>
      <c r="DJ25">
        <f t="shared" si="49"/>
        <v>0.16147978499759483</v>
      </c>
      <c r="DK25">
        <v>6</v>
      </c>
      <c r="DL25">
        <v>0.5</v>
      </c>
      <c r="DM25" t="s">
        <v>403</v>
      </c>
      <c r="DN25">
        <v>2</v>
      </c>
      <c r="DO25" t="b">
        <v>0</v>
      </c>
      <c r="DP25">
        <v>1784998717</v>
      </c>
      <c r="DQ25">
        <v>420.01158064516119</v>
      </c>
      <c r="DR25">
        <v>440.47390322580651</v>
      </c>
      <c r="DS25">
        <v>24.709716129032259</v>
      </c>
      <c r="DT25">
        <v>22.79701935483871</v>
      </c>
      <c r="DU25">
        <v>429.15625806451612</v>
      </c>
      <c r="DV25">
        <v>25.911216129032258</v>
      </c>
      <c r="DW25">
        <v>500.02109677419361</v>
      </c>
      <c r="DX25">
        <v>97.74381935483872</v>
      </c>
      <c r="DY25">
        <v>5.8110716129032257E-2</v>
      </c>
      <c r="DZ25">
        <v>27.65009354838709</v>
      </c>
      <c r="EA25">
        <v>27.96631935483871</v>
      </c>
      <c r="EB25">
        <v>999.90000000000032</v>
      </c>
      <c r="EC25">
        <v>0</v>
      </c>
      <c r="ED25">
        <v>0</v>
      </c>
      <c r="EE25">
        <v>9996.9354838709678</v>
      </c>
      <c r="EF25">
        <v>0</v>
      </c>
      <c r="EG25">
        <v>223.19593548387101</v>
      </c>
      <c r="EH25">
        <v>-20.462332258064521</v>
      </c>
      <c r="EI25">
        <v>430.65287096774188</v>
      </c>
      <c r="EJ25">
        <v>450.74961290322591</v>
      </c>
      <c r="EK25">
        <v>1.912694838709678</v>
      </c>
      <c r="EL25">
        <v>440.47390322580651</v>
      </c>
      <c r="EM25">
        <v>22.79701935483871</v>
      </c>
      <c r="EN25">
        <v>2.415222258064516</v>
      </c>
      <c r="EO25">
        <v>2.2282683870967741</v>
      </c>
      <c r="EP25">
        <v>20.466203225806449</v>
      </c>
      <c r="EQ25">
        <v>19.16697741935484</v>
      </c>
      <c r="ER25">
        <v>300.00580645161278</v>
      </c>
      <c r="ES25">
        <v>0.96698651612903219</v>
      </c>
      <c r="ET25">
        <v>3.301343225806451E-2</v>
      </c>
      <c r="EU25">
        <v>0</v>
      </c>
      <c r="EV25">
        <v>823.56422580645153</v>
      </c>
      <c r="EW25">
        <v>5.0010700000000003</v>
      </c>
      <c r="EX25">
        <v>5748.7899999999991</v>
      </c>
      <c r="EY25">
        <v>2668.065161290323</v>
      </c>
      <c r="EZ25">
        <v>42.128999999999998</v>
      </c>
      <c r="FA25">
        <v>45.936999999999969</v>
      </c>
      <c r="FB25">
        <v>44.211387096774168</v>
      </c>
      <c r="FC25">
        <v>45.561999999999969</v>
      </c>
      <c r="FD25">
        <v>43.936999999999969</v>
      </c>
      <c r="FE25">
        <v>285.26451612903219</v>
      </c>
      <c r="FF25">
        <v>9.740000000000002</v>
      </c>
      <c r="FG25">
        <v>0</v>
      </c>
      <c r="FH25">
        <v>180.89999985694891</v>
      </c>
      <c r="FI25">
        <v>0</v>
      </c>
      <c r="FJ25">
        <v>823.50258823529407</v>
      </c>
      <c r="FK25">
        <v>-1.964951022753642</v>
      </c>
      <c r="FL25">
        <v>-98.931373095936706</v>
      </c>
      <c r="FM25">
        <v>5749.5094117647059</v>
      </c>
      <c r="FN25">
        <v>10</v>
      </c>
      <c r="FO25">
        <v>1784998638.5</v>
      </c>
      <c r="FP25" t="s">
        <v>448</v>
      </c>
      <c r="FQ25">
        <v>1784998638</v>
      </c>
      <c r="FR25">
        <v>1784998638.5</v>
      </c>
      <c r="FS25">
        <v>9</v>
      </c>
      <c r="FT25">
        <v>2.8000000000000001E-2</v>
      </c>
      <c r="FU25">
        <v>-1.4E-2</v>
      </c>
      <c r="FV25">
        <v>-9.2230000000000008</v>
      </c>
      <c r="FW25">
        <v>-1.266</v>
      </c>
      <c r="FX25">
        <v>441</v>
      </c>
      <c r="FY25">
        <v>22</v>
      </c>
      <c r="FZ25">
        <v>0.31</v>
      </c>
      <c r="GA25">
        <v>0.15</v>
      </c>
      <c r="GB25">
        <v>420.002064516129</v>
      </c>
      <c r="GC25">
        <v>0.49485483870884711</v>
      </c>
      <c r="GD25">
        <v>5.0258002401714713E-2</v>
      </c>
      <c r="GE25">
        <v>-1</v>
      </c>
      <c r="GF25">
        <v>823.63105882352943</v>
      </c>
      <c r="GG25">
        <v>-1.0242016868759001</v>
      </c>
      <c r="GH25">
        <v>0.21192617210279679</v>
      </c>
      <c r="GI25">
        <v>1</v>
      </c>
      <c r="GJ25">
        <v>1.8717817073170731</v>
      </c>
      <c r="GK25">
        <v>0.55592759581881457</v>
      </c>
      <c r="GL25">
        <v>6.1088673729756793E-2</v>
      </c>
      <c r="GM25">
        <v>0</v>
      </c>
      <c r="GN25">
        <v>1</v>
      </c>
      <c r="GO25">
        <v>2</v>
      </c>
      <c r="GP25" t="s">
        <v>409</v>
      </c>
      <c r="GQ25">
        <v>3.1309499999999999</v>
      </c>
      <c r="GR25">
        <v>2.7349399999999999</v>
      </c>
      <c r="GS25">
        <v>9.0840699999999996E-2</v>
      </c>
      <c r="GT25">
        <v>9.3281199999999995E-2</v>
      </c>
      <c r="GU25">
        <v>0.11675099999999999</v>
      </c>
      <c r="GV25">
        <v>0.10650900000000001</v>
      </c>
      <c r="GW25">
        <v>22599.1</v>
      </c>
      <c r="GX25">
        <v>30120.7</v>
      </c>
      <c r="GY25">
        <v>26987.200000000001</v>
      </c>
      <c r="GZ25">
        <v>34194.300000000003</v>
      </c>
      <c r="HA25">
        <v>34948.199999999997</v>
      </c>
      <c r="HB25">
        <v>38449.599999999999</v>
      </c>
      <c r="HC25">
        <v>39867.599999999999</v>
      </c>
      <c r="HD25">
        <v>43102.1</v>
      </c>
      <c r="HE25">
        <v>1.9179999999999999</v>
      </c>
      <c r="HF25">
        <v>1.663</v>
      </c>
      <c r="HG25">
        <v>-0.12159300000000001</v>
      </c>
      <c r="HH25">
        <v>0</v>
      </c>
      <c r="HI25">
        <v>29.9451</v>
      </c>
      <c r="HJ25">
        <v>999.9</v>
      </c>
      <c r="HK25">
        <v>44.4</v>
      </c>
      <c r="HL25">
        <v>42.8</v>
      </c>
      <c r="HM25">
        <v>39.054099999999998</v>
      </c>
      <c r="HN25">
        <v>61.420900000000003</v>
      </c>
      <c r="HO25">
        <v>4.1546500000000002</v>
      </c>
      <c r="HP25">
        <v>1</v>
      </c>
      <c r="HQ25">
        <v>1.01</v>
      </c>
      <c r="HR25">
        <v>7.2565400000000002</v>
      </c>
      <c r="HS25">
        <v>20.0929</v>
      </c>
      <c r="HT25">
        <v>5.2100999999999997</v>
      </c>
      <c r="HU25">
        <v>11.914099999999999</v>
      </c>
      <c r="HV25">
        <v>4.9836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1.86768</v>
      </c>
      <c r="IC25">
        <v>1.86337</v>
      </c>
      <c r="ID25">
        <v>1.8628499999999999</v>
      </c>
      <c r="IE25">
        <v>1.86243</v>
      </c>
      <c r="IF25">
        <v>1.8623400000000001</v>
      </c>
      <c r="IG25">
        <v>1.8628499999999999</v>
      </c>
      <c r="IH25">
        <v>1.8638600000000001</v>
      </c>
      <c r="II25">
        <v>1.86175</v>
      </c>
      <c r="IJ25">
        <v>0</v>
      </c>
      <c r="IK25">
        <v>0</v>
      </c>
      <c r="IL25">
        <v>0</v>
      </c>
      <c r="IM25">
        <v>4.5</v>
      </c>
      <c r="IN25" t="s">
        <v>405</v>
      </c>
      <c r="IO25" t="s">
        <v>406</v>
      </c>
      <c r="IP25" t="s">
        <v>407</v>
      </c>
      <c r="IQ25" t="s">
        <v>408</v>
      </c>
      <c r="IR25" t="s">
        <v>408</v>
      </c>
      <c r="IS25" t="s">
        <v>407</v>
      </c>
      <c r="IT25">
        <v>0</v>
      </c>
      <c r="IU25">
        <v>100</v>
      </c>
      <c r="IV25">
        <v>100</v>
      </c>
      <c r="IW25">
        <v>-9.1449999999999996</v>
      </c>
      <c r="IX25">
        <v>-1.2013</v>
      </c>
      <c r="IY25">
        <v>-7.1452261266414219</v>
      </c>
      <c r="IZ25">
        <v>-5.6215304933332991E-3</v>
      </c>
      <c r="JA25">
        <v>2.3979931213773931E-6</v>
      </c>
      <c r="JB25">
        <v>-3.6297174575716598E-10</v>
      </c>
      <c r="JC25">
        <v>-1.6474505370504751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1.4</v>
      </c>
      <c r="JL25">
        <v>1.4</v>
      </c>
      <c r="JM25">
        <v>1.1462399999999999</v>
      </c>
      <c r="JN25">
        <v>2.5598100000000001</v>
      </c>
      <c r="JO25">
        <v>1.50024</v>
      </c>
      <c r="JP25">
        <v>2.2717299999999998</v>
      </c>
      <c r="JQ25">
        <v>1.4477500000000001</v>
      </c>
      <c r="JR25">
        <v>2.5378400000000001</v>
      </c>
      <c r="JS25">
        <v>48.516199999999998</v>
      </c>
      <c r="JT25">
        <v>23.8949</v>
      </c>
      <c r="JU25">
        <v>18</v>
      </c>
      <c r="JV25">
        <v>550.11500000000001</v>
      </c>
      <c r="JW25">
        <v>394.97800000000001</v>
      </c>
      <c r="JX25">
        <v>24.0093</v>
      </c>
      <c r="JY25">
        <v>38.9803</v>
      </c>
      <c r="JZ25">
        <v>29.999600000000001</v>
      </c>
      <c r="KA25">
        <v>39.116599999999998</v>
      </c>
      <c r="KB25">
        <v>39.143599999999999</v>
      </c>
      <c r="KC25">
        <v>22.924700000000001</v>
      </c>
      <c r="KD25">
        <v>45.1539</v>
      </c>
      <c r="KE25">
        <v>0</v>
      </c>
      <c r="KF25">
        <v>24.019600000000001</v>
      </c>
      <c r="KG25">
        <v>440.30900000000003</v>
      </c>
      <c r="KH25">
        <v>22.7166</v>
      </c>
      <c r="KI25">
        <v>99.623900000000006</v>
      </c>
      <c r="KJ25">
        <v>97.255300000000005</v>
      </c>
    </row>
    <row r="26" spans="1:296" x14ac:dyDescent="0.3">
      <c r="A26">
        <v>10</v>
      </c>
      <c r="B26">
        <v>1784998906.5999999</v>
      </c>
      <c r="C26">
        <v>1633.599999904633</v>
      </c>
      <c r="D26" t="s">
        <v>449</v>
      </c>
      <c r="E26" t="s">
        <v>450</v>
      </c>
      <c r="F26">
        <v>15</v>
      </c>
      <c r="H26">
        <v>1784998898.599999</v>
      </c>
      <c r="I26">
        <f t="shared" si="0"/>
        <v>1.4027988093581621E-3</v>
      </c>
      <c r="J26">
        <f t="shared" si="1"/>
        <v>1.402798809358162</v>
      </c>
      <c r="K26">
        <f t="shared" si="2"/>
        <v>10.562102799252893</v>
      </c>
      <c r="L26">
        <f t="shared" si="3"/>
        <v>420.02283870967739</v>
      </c>
      <c r="M26">
        <f t="shared" si="4"/>
        <v>236.54408900741061</v>
      </c>
      <c r="N26">
        <f t="shared" si="5"/>
        <v>23.13493655119041</v>
      </c>
      <c r="O26">
        <f t="shared" si="6"/>
        <v>41.079875486953483</v>
      </c>
      <c r="P26">
        <f t="shared" si="7"/>
        <v>9.766458887176481E-2</v>
      </c>
      <c r="Q26">
        <f t="shared" si="8"/>
        <v>2.8896456878766221</v>
      </c>
      <c r="R26">
        <f t="shared" si="9"/>
        <v>9.5867180384902578E-2</v>
      </c>
      <c r="S26">
        <f t="shared" si="10"/>
        <v>6.0075722498502793E-2</v>
      </c>
      <c r="T26">
        <f t="shared" si="11"/>
        <v>32.482886417378836</v>
      </c>
      <c r="U26">
        <f t="shared" si="12"/>
        <v>27.472690629079455</v>
      </c>
      <c r="V26">
        <f t="shared" si="13"/>
        <v>28.037248387096781</v>
      </c>
      <c r="W26">
        <f t="shared" si="14"/>
        <v>3.8030878054429298</v>
      </c>
      <c r="X26">
        <f t="shared" si="15"/>
        <v>65.026010252330551</v>
      </c>
      <c r="Y26">
        <f t="shared" si="16"/>
        <v>2.4174611793065242</v>
      </c>
      <c r="Z26">
        <f t="shared" si="17"/>
        <v>3.7176833853494524</v>
      </c>
      <c r="AA26">
        <f t="shared" si="18"/>
        <v>1.3856266261364056</v>
      </c>
      <c r="AB26">
        <f t="shared" si="19"/>
        <v>-61.863427492694946</v>
      </c>
      <c r="AC26">
        <f t="shared" si="20"/>
        <v>-60.62409568642412</v>
      </c>
      <c r="AD26">
        <f t="shared" si="21"/>
        <v>-4.565941984913076</v>
      </c>
      <c r="AE26">
        <f t="shared" si="22"/>
        <v>-94.570578746653297</v>
      </c>
      <c r="AF26">
        <f t="shared" si="23"/>
        <v>10.562102799252893</v>
      </c>
      <c r="AG26">
        <f t="shared" si="24"/>
        <v>1.402798809358162</v>
      </c>
      <c r="AH26">
        <f t="shared" si="25"/>
        <v>10.912222086220975</v>
      </c>
      <c r="AI26">
        <v>443.64302686094152</v>
      </c>
      <c r="AJ26">
        <v>430.53124242424229</v>
      </c>
      <c r="AK26">
        <v>-5.5613060530591701E-2</v>
      </c>
      <c r="AL26">
        <v>67.024452928970945</v>
      </c>
      <c r="AM26">
        <f t="shared" si="26"/>
        <v>1.3347568795982652</v>
      </c>
      <c r="AN26">
        <v>23.081176224437019</v>
      </c>
      <c r="AO26">
        <v>24.687786060606069</v>
      </c>
      <c r="AP26">
        <v>-7.3016667762910437E-3</v>
      </c>
      <c r="AQ26">
        <v>78.04113807083813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51572.188319112822</v>
      </c>
      <c r="AW26" t="s">
        <v>414</v>
      </c>
      <c r="AX26">
        <v>13238.7</v>
      </c>
      <c r="AY26">
        <v>563.55294117647065</v>
      </c>
      <c r="AZ26">
        <v>2281.46</v>
      </c>
      <c r="BA26">
        <f t="shared" si="30"/>
        <v>0.75298583311718348</v>
      </c>
      <c r="BB26">
        <v>-2.6862788665954151</v>
      </c>
      <c r="BC26" t="s">
        <v>451</v>
      </c>
      <c r="BD26">
        <v>13238.7</v>
      </c>
      <c r="BE26">
        <v>797.96641176470587</v>
      </c>
      <c r="BF26">
        <v>2066.12</v>
      </c>
      <c r="BG26">
        <f t="shared" si="31"/>
        <v>0.61378506003295752</v>
      </c>
      <c r="BH26">
        <v>0.5</v>
      </c>
      <c r="BI26">
        <f t="shared" si="32"/>
        <v>168.28661857494143</v>
      </c>
      <c r="BJ26">
        <f t="shared" si="33"/>
        <v>10.562102799252893</v>
      </c>
      <c r="BK26">
        <f t="shared" si="34"/>
        <v>51.645906142381925</v>
      </c>
      <c r="BL26">
        <f t="shared" si="35"/>
        <v>7.872510469362444E-2</v>
      </c>
      <c r="BM26">
        <f t="shared" si="36"/>
        <v>0.1042243432133662</v>
      </c>
      <c r="BN26">
        <f t="shared" si="37"/>
        <v>549.40848065720706</v>
      </c>
      <c r="BO26" t="s">
        <v>402</v>
      </c>
      <c r="BP26">
        <v>0</v>
      </c>
      <c r="BQ26">
        <f t="shared" si="38"/>
        <v>549.40848065720706</v>
      </c>
      <c r="BR26">
        <f t="shared" si="39"/>
        <v>0.73408684846126704</v>
      </c>
      <c r="BS26">
        <f t="shared" si="40"/>
        <v>0.83612049625943274</v>
      </c>
      <c r="BT26">
        <f t="shared" si="41"/>
        <v>0.12432655587618342</v>
      </c>
      <c r="BU26">
        <f t="shared" si="42"/>
        <v>0.84399134187609914</v>
      </c>
      <c r="BV26">
        <f t="shared" si="43"/>
        <v>0.12535020383900802</v>
      </c>
      <c r="BW26">
        <f t="shared" si="44"/>
        <v>0.5756779793279051</v>
      </c>
      <c r="BX26">
        <f t="shared" si="45"/>
        <v>0.4243220206720949</v>
      </c>
      <c r="DG26">
        <f t="shared" si="46"/>
        <v>199.99335483870971</v>
      </c>
      <c r="DH26">
        <f t="shared" si="47"/>
        <v>168.28661857494143</v>
      </c>
      <c r="DI26">
        <f t="shared" si="48"/>
        <v>0.84146105109672731</v>
      </c>
      <c r="DJ26">
        <f t="shared" si="49"/>
        <v>0.16241982861668369</v>
      </c>
      <c r="DK26">
        <v>6</v>
      </c>
      <c r="DL26">
        <v>0.5</v>
      </c>
      <c r="DM26" t="s">
        <v>403</v>
      </c>
      <c r="DN26">
        <v>2</v>
      </c>
      <c r="DO26" t="b">
        <v>0</v>
      </c>
      <c r="DP26">
        <v>1784998898.599999</v>
      </c>
      <c r="DQ26">
        <v>420.02283870967739</v>
      </c>
      <c r="DR26">
        <v>433.40358064516141</v>
      </c>
      <c r="DS26">
        <v>24.717429032258071</v>
      </c>
      <c r="DT26">
        <v>23.075780645161291</v>
      </c>
      <c r="DU26">
        <v>429.19009677419348</v>
      </c>
      <c r="DV26">
        <v>25.934619354838709</v>
      </c>
      <c r="DW26">
        <v>500.0310322580645</v>
      </c>
      <c r="DX26">
        <v>97.745774193548371</v>
      </c>
      <c r="DY26">
        <v>5.8134787096774179E-2</v>
      </c>
      <c r="DZ26">
        <v>27.648099999999999</v>
      </c>
      <c r="EA26">
        <v>28.037248387096781</v>
      </c>
      <c r="EB26">
        <v>999.90000000000032</v>
      </c>
      <c r="EC26">
        <v>0</v>
      </c>
      <c r="ED26">
        <v>0</v>
      </c>
      <c r="EE26">
        <v>9999.677419354839</v>
      </c>
      <c r="EF26">
        <v>0</v>
      </c>
      <c r="EG26">
        <v>231.07025806451611</v>
      </c>
      <c r="EH26">
        <v>-13.38078387096774</v>
      </c>
      <c r="EI26">
        <v>430.66780645161288</v>
      </c>
      <c r="EJ26">
        <v>443.64090322580643</v>
      </c>
      <c r="EK26">
        <v>1.6416416129032261</v>
      </c>
      <c r="EL26">
        <v>433.40358064516141</v>
      </c>
      <c r="EM26">
        <v>23.075780645161291</v>
      </c>
      <c r="EN26">
        <v>2.416023870967742</v>
      </c>
      <c r="EO26">
        <v>2.2555609677419359</v>
      </c>
      <c r="EP26">
        <v>20.47156774193548</v>
      </c>
      <c r="EQ26">
        <v>19.362480645161291</v>
      </c>
      <c r="ER26">
        <v>199.99335483870971</v>
      </c>
      <c r="ES26">
        <v>0.9500474838709676</v>
      </c>
      <c r="ET26">
        <v>4.9952216129032258E-2</v>
      </c>
      <c r="EU26">
        <v>0</v>
      </c>
      <c r="EV26">
        <v>798.03774193548406</v>
      </c>
      <c r="EW26">
        <v>5.0010700000000003</v>
      </c>
      <c r="EX26">
        <v>4835.4945161290316</v>
      </c>
      <c r="EY26">
        <v>1751.80064516129</v>
      </c>
      <c r="EZ26">
        <v>41.85874193548387</v>
      </c>
      <c r="FA26">
        <v>45.870935483870959</v>
      </c>
      <c r="FB26">
        <v>44</v>
      </c>
      <c r="FC26">
        <v>45.561999999999969</v>
      </c>
      <c r="FD26">
        <v>43.75</v>
      </c>
      <c r="FE26">
        <v>185.25193548387091</v>
      </c>
      <c r="FF26">
        <v>9.740000000000002</v>
      </c>
      <c r="FG26">
        <v>0</v>
      </c>
      <c r="FH26">
        <v>180.69999980926511</v>
      </c>
      <c r="FI26">
        <v>0</v>
      </c>
      <c r="FJ26">
        <v>797.96641176470587</v>
      </c>
      <c r="FK26">
        <v>-2.710294097769022</v>
      </c>
      <c r="FL26">
        <v>45.392157133010613</v>
      </c>
      <c r="FM26">
        <v>4861.4788235294118</v>
      </c>
      <c r="FN26">
        <v>10</v>
      </c>
      <c r="FO26">
        <v>1784998837.0999999</v>
      </c>
      <c r="FP26" t="s">
        <v>452</v>
      </c>
      <c r="FQ26">
        <v>1784998837.0999999</v>
      </c>
      <c r="FR26">
        <v>1784998835.5999999</v>
      </c>
      <c r="FS26">
        <v>10</v>
      </c>
      <c r="FT26">
        <v>-2.1999999999999999E-2</v>
      </c>
      <c r="FU26">
        <v>-1.6E-2</v>
      </c>
      <c r="FV26">
        <v>-9.2189999999999994</v>
      </c>
      <c r="FW26">
        <v>-1.268</v>
      </c>
      <c r="FX26">
        <v>434</v>
      </c>
      <c r="FY26">
        <v>23</v>
      </c>
      <c r="FZ26">
        <v>0.67</v>
      </c>
      <c r="GA26">
        <v>0.17</v>
      </c>
      <c r="GB26">
        <v>420.0224</v>
      </c>
      <c r="GC26">
        <v>-0.19531034482705989</v>
      </c>
      <c r="GD26">
        <v>5.5842397274237329E-2</v>
      </c>
      <c r="GE26">
        <v>-1</v>
      </c>
      <c r="GF26">
        <v>798.12270588235288</v>
      </c>
      <c r="GG26">
        <v>-1.8201986171107201</v>
      </c>
      <c r="GH26">
        <v>0.24616153584608719</v>
      </c>
      <c r="GI26">
        <v>1</v>
      </c>
      <c r="GJ26">
        <v>1.6451117500000001</v>
      </c>
      <c r="GK26">
        <v>-0.14543786116323271</v>
      </c>
      <c r="GL26">
        <v>1.6393336738977211E-2</v>
      </c>
      <c r="GM26">
        <v>1</v>
      </c>
      <c r="GN26">
        <v>2</v>
      </c>
      <c r="GO26">
        <v>2</v>
      </c>
      <c r="GP26" t="s">
        <v>404</v>
      </c>
      <c r="GQ26">
        <v>3.1305000000000001</v>
      </c>
      <c r="GR26">
        <v>2.7340499999999999</v>
      </c>
      <c r="GS26">
        <v>9.0812000000000004E-2</v>
      </c>
      <c r="GT26">
        <v>9.2172000000000004E-2</v>
      </c>
      <c r="GU26">
        <v>0.116675</v>
      </c>
      <c r="GV26">
        <v>0.10791000000000001</v>
      </c>
      <c r="GW26">
        <v>22596.2</v>
      </c>
      <c r="GX26">
        <v>30154.6</v>
      </c>
      <c r="GY26">
        <v>26983.200000000001</v>
      </c>
      <c r="GZ26">
        <v>34191.199999999997</v>
      </c>
      <c r="HA26">
        <v>34947</v>
      </c>
      <c r="HB26">
        <v>38385</v>
      </c>
      <c r="HC26">
        <v>39862.400000000001</v>
      </c>
      <c r="HD26">
        <v>43097</v>
      </c>
      <c r="HE26">
        <v>1.9177999999999999</v>
      </c>
      <c r="HF26">
        <v>1.6606000000000001</v>
      </c>
      <c r="HG26">
        <v>-0.118703</v>
      </c>
      <c r="HH26">
        <v>0</v>
      </c>
      <c r="HI26">
        <v>30.001100000000001</v>
      </c>
      <c r="HJ26">
        <v>999.9</v>
      </c>
      <c r="HK26">
        <v>44.4</v>
      </c>
      <c r="HL26">
        <v>43</v>
      </c>
      <c r="HM26">
        <v>39.4602</v>
      </c>
      <c r="HN26">
        <v>61.435400000000001</v>
      </c>
      <c r="HO26">
        <v>4.2868599999999999</v>
      </c>
      <c r="HP26">
        <v>1</v>
      </c>
      <c r="HQ26">
        <v>1.01939</v>
      </c>
      <c r="HR26">
        <v>7.84673</v>
      </c>
      <c r="HS26">
        <v>20.0669</v>
      </c>
      <c r="HT26">
        <v>5.2100999999999997</v>
      </c>
      <c r="HU26">
        <v>11.914099999999999</v>
      </c>
      <c r="HV26">
        <v>4.9828000000000001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1.86337</v>
      </c>
      <c r="ID26">
        <v>1.8627899999999999</v>
      </c>
      <c r="IE26">
        <v>1.86246</v>
      </c>
      <c r="IF26">
        <v>1.8623700000000001</v>
      </c>
      <c r="IG26">
        <v>1.8629500000000001</v>
      </c>
      <c r="IH26">
        <v>1.8638600000000001</v>
      </c>
      <c r="II26">
        <v>1.86175</v>
      </c>
      <c r="IJ26">
        <v>0</v>
      </c>
      <c r="IK26">
        <v>0</v>
      </c>
      <c r="IL26">
        <v>0</v>
      </c>
      <c r="IM26">
        <v>4.5</v>
      </c>
      <c r="IN26" t="s">
        <v>405</v>
      </c>
      <c r="IO26" t="s">
        <v>406</v>
      </c>
      <c r="IP26" t="s">
        <v>407</v>
      </c>
      <c r="IQ26" t="s">
        <v>408</v>
      </c>
      <c r="IR26" t="s">
        <v>408</v>
      </c>
      <c r="IS26" t="s">
        <v>407</v>
      </c>
      <c r="IT26">
        <v>0</v>
      </c>
      <c r="IU26">
        <v>100</v>
      </c>
      <c r="IV26">
        <v>100</v>
      </c>
      <c r="IW26">
        <v>-9.1669999999999998</v>
      </c>
      <c r="IX26">
        <v>-1.2181999999999999</v>
      </c>
      <c r="IY26">
        <v>-7.1675477250449244</v>
      </c>
      <c r="IZ26">
        <v>-5.6215304933332991E-3</v>
      </c>
      <c r="JA26">
        <v>2.3979931213773931E-6</v>
      </c>
      <c r="JB26">
        <v>-3.6297174575716598E-10</v>
      </c>
      <c r="JC26">
        <v>-1.663823583663256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1.2</v>
      </c>
      <c r="JM26">
        <v>1.1315900000000001</v>
      </c>
      <c r="JN26">
        <v>2.5744600000000002</v>
      </c>
      <c r="JO26">
        <v>1.50024</v>
      </c>
      <c r="JP26">
        <v>2.2705099999999998</v>
      </c>
      <c r="JQ26">
        <v>1.4477500000000001</v>
      </c>
      <c r="JR26">
        <v>2.3913600000000002</v>
      </c>
      <c r="JS26">
        <v>48.7637</v>
      </c>
      <c r="JT26">
        <v>23.868600000000001</v>
      </c>
      <c r="JU26">
        <v>18</v>
      </c>
      <c r="JV26">
        <v>550.49400000000003</v>
      </c>
      <c r="JW26">
        <v>393.92200000000003</v>
      </c>
      <c r="JX26">
        <v>24.022500000000001</v>
      </c>
      <c r="JY26">
        <v>39.048400000000001</v>
      </c>
      <c r="JZ26">
        <v>30.0017</v>
      </c>
      <c r="KA26">
        <v>39.183700000000002</v>
      </c>
      <c r="KB26">
        <v>39.2104</v>
      </c>
      <c r="KC26">
        <v>22.632000000000001</v>
      </c>
      <c r="KD26">
        <v>44.752499999999998</v>
      </c>
      <c r="KE26">
        <v>0</v>
      </c>
      <c r="KF26">
        <v>24.002099999999999</v>
      </c>
      <c r="KG26">
        <v>433.512</v>
      </c>
      <c r="KH26">
        <v>23.076699999999999</v>
      </c>
      <c r="KI26">
        <v>99.610200000000006</v>
      </c>
      <c r="KJ26">
        <v>97.245000000000005</v>
      </c>
    </row>
    <row r="27" spans="1:296" x14ac:dyDescent="0.3">
      <c r="A27">
        <v>11</v>
      </c>
      <c r="B27">
        <v>1784999088.0999999</v>
      </c>
      <c r="C27">
        <v>1815.099999904633</v>
      </c>
      <c r="D27" t="s">
        <v>453</v>
      </c>
      <c r="E27" t="s">
        <v>454</v>
      </c>
      <c r="F27">
        <v>15</v>
      </c>
      <c r="H27">
        <v>1784999080.349999</v>
      </c>
      <c r="I27">
        <f t="shared" si="0"/>
        <v>1.0537030379140124E-3</v>
      </c>
      <c r="J27">
        <f t="shared" si="1"/>
        <v>1.0537030379140124</v>
      </c>
      <c r="K27">
        <f t="shared" si="2"/>
        <v>4.0894225600878285</v>
      </c>
      <c r="L27">
        <f t="shared" si="3"/>
        <v>419.98419999999999</v>
      </c>
      <c r="M27">
        <f t="shared" si="4"/>
        <v>320.07422509384548</v>
      </c>
      <c r="N27">
        <f t="shared" si="5"/>
        <v>31.304788020974481</v>
      </c>
      <c r="O27">
        <f t="shared" si="6"/>
        <v>41.076460778132663</v>
      </c>
      <c r="P27">
        <f t="shared" si="7"/>
        <v>7.2590551987021204E-2</v>
      </c>
      <c r="Q27">
        <f t="shared" si="8"/>
        <v>2.88829518050458</v>
      </c>
      <c r="R27">
        <f t="shared" si="9"/>
        <v>7.1592045767281856E-2</v>
      </c>
      <c r="S27">
        <f t="shared" si="10"/>
        <v>4.4833596141655323E-2</v>
      </c>
      <c r="T27">
        <f t="shared" si="11"/>
        <v>16.512307046982514</v>
      </c>
      <c r="U27">
        <f t="shared" si="12"/>
        <v>27.398955135044051</v>
      </c>
      <c r="V27">
        <f t="shared" si="13"/>
        <v>27.98874666666666</v>
      </c>
      <c r="W27">
        <f t="shared" si="14"/>
        <v>3.7923508605829204</v>
      </c>
      <c r="X27">
        <f t="shared" si="15"/>
        <v>64.778745002322708</v>
      </c>
      <c r="Y27">
        <f t="shared" si="16"/>
        <v>2.3984029588795046</v>
      </c>
      <c r="Z27">
        <f t="shared" si="17"/>
        <v>3.7024535729945174</v>
      </c>
      <c r="AA27">
        <f t="shared" si="18"/>
        <v>1.3939479017034158</v>
      </c>
      <c r="AB27">
        <f t="shared" si="19"/>
        <v>-46.468303972007952</v>
      </c>
      <c r="AC27">
        <f t="shared" si="20"/>
        <v>-63.976559448262108</v>
      </c>
      <c r="AD27">
        <f t="shared" si="21"/>
        <v>-4.817835276457143</v>
      </c>
      <c r="AE27">
        <f t="shared" si="22"/>
        <v>-98.750391649744685</v>
      </c>
      <c r="AF27">
        <f t="shared" si="23"/>
        <v>4.0894225600878285</v>
      </c>
      <c r="AG27">
        <f t="shared" si="24"/>
        <v>1.0537030379140124</v>
      </c>
      <c r="AH27">
        <f t="shared" si="25"/>
        <v>4.1197072406370392</v>
      </c>
      <c r="AI27">
        <v>435.50347190646897</v>
      </c>
      <c r="AJ27">
        <v>430.49116969696962</v>
      </c>
      <c r="AK27">
        <v>-9.4421396745946653E-3</v>
      </c>
      <c r="AL27">
        <v>67.023149303015899</v>
      </c>
      <c r="AM27">
        <f t="shared" si="26"/>
        <v>1.0283404985839486</v>
      </c>
      <c r="AN27">
        <v>23.297411989682839</v>
      </c>
      <c r="AO27">
        <v>24.502338787878781</v>
      </c>
      <c r="AP27">
        <v>-1.7863999257115501E-4</v>
      </c>
      <c r="AQ27">
        <v>78.200291275992086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51545.880098276175</v>
      </c>
      <c r="AW27" t="s">
        <v>414</v>
      </c>
      <c r="AX27">
        <v>13238.7</v>
      </c>
      <c r="AY27">
        <v>563.55294117647065</v>
      </c>
      <c r="AZ27">
        <v>2281.46</v>
      </c>
      <c r="BA27">
        <f t="shared" si="30"/>
        <v>0.75298583311718348</v>
      </c>
      <c r="BB27">
        <v>-2.6862788665954151</v>
      </c>
      <c r="BC27" t="s">
        <v>455</v>
      </c>
      <c r="BD27">
        <v>13243.2</v>
      </c>
      <c r="BE27">
        <v>770.94635294117643</v>
      </c>
      <c r="BF27">
        <v>2145.33</v>
      </c>
      <c r="BG27">
        <f t="shared" si="31"/>
        <v>0.64063973703757626</v>
      </c>
      <c r="BH27">
        <v>0.5</v>
      </c>
      <c r="BI27">
        <f t="shared" si="32"/>
        <v>84.291768467866561</v>
      </c>
      <c r="BJ27">
        <f t="shared" si="33"/>
        <v>4.0894225600878285</v>
      </c>
      <c r="BK27">
        <f t="shared" si="34"/>
        <v>27.000328192843149</v>
      </c>
      <c r="BL27">
        <f t="shared" si="35"/>
        <v>8.0383904025768005E-2</v>
      </c>
      <c r="BM27">
        <f t="shared" si="36"/>
        <v>6.3454107293516665E-2</v>
      </c>
      <c r="BN27">
        <f t="shared" si="37"/>
        <v>554.8560915921239</v>
      </c>
      <c r="BO27" t="s">
        <v>402</v>
      </c>
      <c r="BP27">
        <v>0</v>
      </c>
      <c r="BQ27">
        <f t="shared" si="38"/>
        <v>554.8560915921239</v>
      </c>
      <c r="BR27">
        <f t="shared" si="39"/>
        <v>0.74136562132999395</v>
      </c>
      <c r="BS27">
        <f t="shared" si="40"/>
        <v>0.86413467067475069</v>
      </c>
      <c r="BT27">
        <f t="shared" si="41"/>
        <v>7.8842633992139713E-2</v>
      </c>
      <c r="BU27">
        <f t="shared" si="42"/>
        <v>0.86888581383336161</v>
      </c>
      <c r="BV27">
        <f t="shared" si="43"/>
        <v>7.924177230706865E-2</v>
      </c>
      <c r="BW27">
        <f t="shared" si="44"/>
        <v>0.62192444928320856</v>
      </c>
      <c r="BX27">
        <f t="shared" si="45"/>
        <v>0.37807555071679144</v>
      </c>
      <c r="DG27">
        <f t="shared" si="46"/>
        <v>100.0073933333333</v>
      </c>
      <c r="DH27">
        <f t="shared" si="47"/>
        <v>84.291768467866561</v>
      </c>
      <c r="DI27">
        <f t="shared" si="48"/>
        <v>0.84285536957167562</v>
      </c>
      <c r="DJ27">
        <f t="shared" si="49"/>
        <v>0.16511086327333385</v>
      </c>
      <c r="DK27">
        <v>6</v>
      </c>
      <c r="DL27">
        <v>0.5</v>
      </c>
      <c r="DM27" t="s">
        <v>403</v>
      </c>
      <c r="DN27">
        <v>2</v>
      </c>
      <c r="DO27" t="b">
        <v>0</v>
      </c>
      <c r="DP27">
        <v>1784999080.349999</v>
      </c>
      <c r="DQ27">
        <v>419.98419999999999</v>
      </c>
      <c r="DR27">
        <v>425.4228333333333</v>
      </c>
      <c r="DS27">
        <v>24.522349999999999</v>
      </c>
      <c r="DT27">
        <v>23.28885</v>
      </c>
      <c r="DU27">
        <v>429.09039999999999</v>
      </c>
      <c r="DV27">
        <v>25.759343333333341</v>
      </c>
      <c r="DW27">
        <v>499.97426666666672</v>
      </c>
      <c r="DX27">
        <v>97.746646666666663</v>
      </c>
      <c r="DY27">
        <v>5.8129746666666669E-2</v>
      </c>
      <c r="DZ27">
        <v>27.577886666666661</v>
      </c>
      <c r="EA27">
        <v>27.98874666666666</v>
      </c>
      <c r="EB27">
        <v>999.9000000000002</v>
      </c>
      <c r="EC27">
        <v>0</v>
      </c>
      <c r="ED27">
        <v>0</v>
      </c>
      <c r="EE27">
        <v>9991.8333333333339</v>
      </c>
      <c r="EF27">
        <v>0</v>
      </c>
      <c r="EG27">
        <v>224.4195666666667</v>
      </c>
      <c r="EH27">
        <v>-5.438691666666668</v>
      </c>
      <c r="EI27">
        <v>430.54199999999997</v>
      </c>
      <c r="EJ27">
        <v>435.56673333333327</v>
      </c>
      <c r="EK27">
        <v>1.233506</v>
      </c>
      <c r="EL27">
        <v>425.4228333333333</v>
      </c>
      <c r="EM27">
        <v>23.28885</v>
      </c>
      <c r="EN27">
        <v>2.3969779999999998</v>
      </c>
      <c r="EO27">
        <v>2.2764063333333331</v>
      </c>
      <c r="EP27">
        <v>20.343373333333329</v>
      </c>
      <c r="EQ27">
        <v>19.510416666666671</v>
      </c>
      <c r="ER27">
        <v>100.0073933333333</v>
      </c>
      <c r="ES27">
        <v>0.89982096666666633</v>
      </c>
      <c r="ET27">
        <v>0.1001790566666666</v>
      </c>
      <c r="EU27">
        <v>0</v>
      </c>
      <c r="EV27">
        <v>770.93803333333346</v>
      </c>
      <c r="EW27">
        <v>5.0010700000000003</v>
      </c>
      <c r="EX27">
        <v>3983.157333333334</v>
      </c>
      <c r="EY27">
        <v>836.57606666666641</v>
      </c>
      <c r="EZ27">
        <v>41.585099999999983</v>
      </c>
      <c r="FA27">
        <v>45.875</v>
      </c>
      <c r="FB27">
        <v>43.875</v>
      </c>
      <c r="FC27">
        <v>45.41013333333332</v>
      </c>
      <c r="FD27">
        <v>43.5</v>
      </c>
      <c r="FE27">
        <v>85.488333333333287</v>
      </c>
      <c r="FF27">
        <v>9.5186666666666646</v>
      </c>
      <c r="FG27">
        <v>0</v>
      </c>
      <c r="FH27">
        <v>180.9000000953674</v>
      </c>
      <c r="FI27">
        <v>0</v>
      </c>
      <c r="FJ27">
        <v>770.94635294117643</v>
      </c>
      <c r="FK27">
        <v>-0.168872530689373</v>
      </c>
      <c r="FL27">
        <v>41.960784396804939</v>
      </c>
      <c r="FM27">
        <v>3984.7723529411769</v>
      </c>
      <c r="FN27">
        <v>10</v>
      </c>
      <c r="FO27">
        <v>1784999008.0999999</v>
      </c>
      <c r="FP27" t="s">
        <v>456</v>
      </c>
      <c r="FQ27">
        <v>1784999003.5999999</v>
      </c>
      <c r="FR27">
        <v>1784999008.0999999</v>
      </c>
      <c r="FS27">
        <v>11</v>
      </c>
      <c r="FT27">
        <v>6.0999999999999999E-2</v>
      </c>
      <c r="FU27">
        <v>-1.4999999999999999E-2</v>
      </c>
      <c r="FV27">
        <v>-9.1280000000000001</v>
      </c>
      <c r="FW27">
        <v>-1.272</v>
      </c>
      <c r="FX27">
        <v>426</v>
      </c>
      <c r="FY27">
        <v>23</v>
      </c>
      <c r="FZ27">
        <v>1.19</v>
      </c>
      <c r="GA27">
        <v>0.22</v>
      </c>
      <c r="GB27">
        <v>419.98654838709678</v>
      </c>
      <c r="GC27">
        <v>-0.2512258064516355</v>
      </c>
      <c r="GD27">
        <v>4.6603916981771333E-2</v>
      </c>
      <c r="GE27">
        <v>-1</v>
      </c>
      <c r="GF27">
        <v>770.94494117647048</v>
      </c>
      <c r="GG27">
        <v>-3.6974742495911629E-3</v>
      </c>
      <c r="GH27">
        <v>0.1909363831807491</v>
      </c>
      <c r="GI27">
        <v>1</v>
      </c>
      <c r="GJ27">
        <v>1.254643658536585</v>
      </c>
      <c r="GK27">
        <v>-0.41839463414633737</v>
      </c>
      <c r="GL27">
        <v>4.2000591561228727E-2</v>
      </c>
      <c r="GM27">
        <v>1</v>
      </c>
      <c r="GN27">
        <v>2</v>
      </c>
      <c r="GO27">
        <v>2</v>
      </c>
      <c r="GP27" t="s">
        <v>404</v>
      </c>
      <c r="GQ27">
        <v>3.1311100000000001</v>
      </c>
      <c r="GR27">
        <v>2.73421</v>
      </c>
      <c r="GS27">
        <v>9.0786900000000004E-2</v>
      </c>
      <c r="GT27">
        <v>9.0862399999999996E-2</v>
      </c>
      <c r="GU27">
        <v>0.116156</v>
      </c>
      <c r="GV27">
        <v>0.10863100000000001</v>
      </c>
      <c r="GW27">
        <v>22593.200000000001</v>
      </c>
      <c r="GX27">
        <v>30193</v>
      </c>
      <c r="GY27">
        <v>26978.9</v>
      </c>
      <c r="GZ27">
        <v>34185.599999999999</v>
      </c>
      <c r="HA27">
        <v>34962.400000000001</v>
      </c>
      <c r="HB27">
        <v>38348.699999999997</v>
      </c>
      <c r="HC27">
        <v>39856.699999999997</v>
      </c>
      <c r="HD27">
        <v>43091</v>
      </c>
      <c r="HE27">
        <v>1.917</v>
      </c>
      <c r="HF27">
        <v>1.6586000000000001</v>
      </c>
      <c r="HG27">
        <v>-0.120103</v>
      </c>
      <c r="HH27">
        <v>0</v>
      </c>
      <c r="HI27">
        <v>29.936299999999999</v>
      </c>
      <c r="HJ27">
        <v>999.9</v>
      </c>
      <c r="HK27">
        <v>44.4</v>
      </c>
      <c r="HL27">
        <v>43.2</v>
      </c>
      <c r="HM27">
        <v>39.878</v>
      </c>
      <c r="HN27">
        <v>61.505499999999998</v>
      </c>
      <c r="HO27">
        <v>4.6354100000000003</v>
      </c>
      <c r="HP27">
        <v>1</v>
      </c>
      <c r="HQ27">
        <v>1.02098</v>
      </c>
      <c r="HR27">
        <v>7.2816799999999997</v>
      </c>
      <c r="HS27">
        <v>20.0913</v>
      </c>
      <c r="HT27">
        <v>5.2100999999999997</v>
      </c>
      <c r="HU27">
        <v>11.914099999999999</v>
      </c>
      <c r="HV27">
        <v>4.9836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1.8676200000000001</v>
      </c>
      <c r="IC27">
        <v>1.8633999999999999</v>
      </c>
      <c r="ID27">
        <v>1.8627899999999999</v>
      </c>
      <c r="IE27">
        <v>1.8624000000000001</v>
      </c>
      <c r="IF27">
        <v>1.8623400000000001</v>
      </c>
      <c r="IG27">
        <v>1.8627899999999999</v>
      </c>
      <c r="IH27">
        <v>1.8638600000000001</v>
      </c>
      <c r="II27">
        <v>1.86172</v>
      </c>
      <c r="IJ27">
        <v>0</v>
      </c>
      <c r="IK27">
        <v>0</v>
      </c>
      <c r="IL27">
        <v>0</v>
      </c>
      <c r="IM27">
        <v>4.5</v>
      </c>
      <c r="IN27" t="s">
        <v>405</v>
      </c>
      <c r="IO27" t="s">
        <v>406</v>
      </c>
      <c r="IP27" t="s">
        <v>407</v>
      </c>
      <c r="IQ27" t="s">
        <v>408</v>
      </c>
      <c r="IR27" t="s">
        <v>408</v>
      </c>
      <c r="IS27" t="s">
        <v>407</v>
      </c>
      <c r="IT27">
        <v>0</v>
      </c>
      <c r="IU27">
        <v>100</v>
      </c>
      <c r="IV27">
        <v>100</v>
      </c>
      <c r="IW27">
        <v>-9.1059999999999999</v>
      </c>
      <c r="IX27">
        <v>-1.2375</v>
      </c>
      <c r="IY27">
        <v>-7.106969498800197</v>
      </c>
      <c r="IZ27">
        <v>-5.6215304933332991E-3</v>
      </c>
      <c r="JA27">
        <v>2.3979931213773931E-6</v>
      </c>
      <c r="JB27">
        <v>-3.6297174575716598E-10</v>
      </c>
      <c r="JC27">
        <v>-1.678612311048487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1.4</v>
      </c>
      <c r="JL27">
        <v>1.3</v>
      </c>
      <c r="JM27">
        <v>1.1145</v>
      </c>
      <c r="JN27">
        <v>2.5671400000000002</v>
      </c>
      <c r="JO27">
        <v>1.50024</v>
      </c>
      <c r="JP27">
        <v>2.2705099999999998</v>
      </c>
      <c r="JQ27">
        <v>1.4477500000000001</v>
      </c>
      <c r="JR27">
        <v>2.51709</v>
      </c>
      <c r="JS27">
        <v>49.012700000000002</v>
      </c>
      <c r="JT27">
        <v>23.8949</v>
      </c>
      <c r="JU27">
        <v>18</v>
      </c>
      <c r="JV27">
        <v>550.28399999999999</v>
      </c>
      <c r="JW27">
        <v>392.98099999999999</v>
      </c>
      <c r="JX27">
        <v>23.9848</v>
      </c>
      <c r="JY27">
        <v>39.071199999999997</v>
      </c>
      <c r="JZ27">
        <v>29.999500000000001</v>
      </c>
      <c r="KA27">
        <v>39.2286</v>
      </c>
      <c r="KB27">
        <v>39.254899999999999</v>
      </c>
      <c r="KC27">
        <v>22.2942</v>
      </c>
      <c r="KD27">
        <v>45.002000000000002</v>
      </c>
      <c r="KE27">
        <v>0</v>
      </c>
      <c r="KF27">
        <v>24.003</v>
      </c>
      <c r="KG27">
        <v>425.50400000000002</v>
      </c>
      <c r="KH27">
        <v>23.326899999999998</v>
      </c>
      <c r="KI27">
        <v>99.595299999999995</v>
      </c>
      <c r="KJ27">
        <v>97.2303</v>
      </c>
    </row>
    <row r="28" spans="1:296" x14ac:dyDescent="0.3">
      <c r="A28">
        <v>12</v>
      </c>
      <c r="B28">
        <v>1784999269.5999999</v>
      </c>
      <c r="C28">
        <v>1996.599999904633</v>
      </c>
      <c r="D28" t="s">
        <v>457</v>
      </c>
      <c r="E28" t="s">
        <v>458</v>
      </c>
      <c r="F28">
        <v>15</v>
      </c>
      <c r="H28">
        <v>1784999261.849999</v>
      </c>
      <c r="I28">
        <f t="shared" si="0"/>
        <v>6.8307010355187045E-4</v>
      </c>
      <c r="J28">
        <f t="shared" si="1"/>
        <v>0.68307010355187048</v>
      </c>
      <c r="K28">
        <f t="shared" si="2"/>
        <v>1.0855945817083836</v>
      </c>
      <c r="L28">
        <f t="shared" si="3"/>
        <v>419.96560000000011</v>
      </c>
      <c r="M28">
        <f t="shared" si="4"/>
        <v>373.05177058574708</v>
      </c>
      <c r="N28">
        <f t="shared" si="5"/>
        <v>36.48706550777537</v>
      </c>
      <c r="O28">
        <f t="shared" si="6"/>
        <v>41.075565287231584</v>
      </c>
      <c r="P28">
        <f t="shared" si="7"/>
        <v>4.6616166652786048E-2</v>
      </c>
      <c r="Q28">
        <f t="shared" si="8"/>
        <v>2.890038834019677</v>
      </c>
      <c r="R28">
        <f t="shared" si="9"/>
        <v>4.6202437590059153E-2</v>
      </c>
      <c r="S28">
        <f t="shared" si="10"/>
        <v>2.8913389236532843E-2</v>
      </c>
      <c r="T28">
        <f t="shared" si="11"/>
        <v>8.2393620416892581</v>
      </c>
      <c r="U28">
        <f t="shared" si="12"/>
        <v>27.430018625497649</v>
      </c>
      <c r="V28">
        <f t="shared" si="13"/>
        <v>28.000483333333332</v>
      </c>
      <c r="W28">
        <f t="shared" si="14"/>
        <v>3.7949466068046251</v>
      </c>
      <c r="X28">
        <f t="shared" si="15"/>
        <v>64.743776496190677</v>
      </c>
      <c r="Y28">
        <f t="shared" si="16"/>
        <v>2.394694911349514</v>
      </c>
      <c r="Z28">
        <f t="shared" si="17"/>
        <v>3.6987260257986505</v>
      </c>
      <c r="AA28">
        <f t="shared" si="18"/>
        <v>1.4002516954551112</v>
      </c>
      <c r="AB28">
        <f t="shared" si="19"/>
        <v>-30.123391566637487</v>
      </c>
      <c r="AC28">
        <f t="shared" si="20"/>
        <v>-68.527374993402901</v>
      </c>
      <c r="AD28">
        <f t="shared" si="21"/>
        <v>-5.1572858803083443</v>
      </c>
      <c r="AE28">
        <f t="shared" si="22"/>
        <v>-95.56869039865947</v>
      </c>
      <c r="AF28">
        <f t="shared" si="23"/>
        <v>1.0855945817083836</v>
      </c>
      <c r="AG28">
        <f t="shared" si="24"/>
        <v>0.68307010355187048</v>
      </c>
      <c r="AH28">
        <f t="shared" si="25"/>
        <v>0.88510874249468008</v>
      </c>
      <c r="AI28">
        <v>431.70301030492732</v>
      </c>
      <c r="AJ28">
        <v>430.57772121212122</v>
      </c>
      <c r="AK28">
        <v>7.1459630649786622E-3</v>
      </c>
      <c r="AL28">
        <v>67.023149303015899</v>
      </c>
      <c r="AM28">
        <f t="shared" si="26"/>
        <v>0.78635235882971755</v>
      </c>
      <c r="AN28">
        <v>23.703343480018571</v>
      </c>
      <c r="AO28">
        <v>24.577064848484849</v>
      </c>
      <c r="AP28">
        <v>7.631260132685609E-3</v>
      </c>
      <c r="AQ28">
        <v>78.200291275992086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51598.421769542889</v>
      </c>
      <c r="AW28" t="s">
        <v>414</v>
      </c>
      <c r="AX28">
        <v>13238.7</v>
      </c>
      <c r="AY28">
        <v>563.55294117647065</v>
      </c>
      <c r="AZ28">
        <v>2281.46</v>
      </c>
      <c r="BA28">
        <f t="shared" si="30"/>
        <v>0.75298583311718348</v>
      </c>
      <c r="BB28">
        <v>-2.6862788665954151</v>
      </c>
      <c r="BC28" t="s">
        <v>459</v>
      </c>
      <c r="BD28">
        <v>13240.8</v>
      </c>
      <c r="BE28">
        <v>738.74705882352941</v>
      </c>
      <c r="BF28">
        <v>2210.8200000000002</v>
      </c>
      <c r="BG28">
        <f t="shared" si="31"/>
        <v>0.66584929626856582</v>
      </c>
      <c r="BH28">
        <v>0.5</v>
      </c>
      <c r="BI28">
        <f t="shared" si="32"/>
        <v>42.128815756315682</v>
      </c>
      <c r="BJ28">
        <f t="shared" si="33"/>
        <v>1.0855945817083836</v>
      </c>
      <c r="BK28">
        <f t="shared" si="34"/>
        <v>14.025721161985432</v>
      </c>
      <c r="BL28">
        <f t="shared" si="35"/>
        <v>8.9531912554136867E-2</v>
      </c>
      <c r="BM28">
        <f t="shared" si="36"/>
        <v>3.1951945432011589E-2</v>
      </c>
      <c r="BN28">
        <f t="shared" si="37"/>
        <v>559.13988313888535</v>
      </c>
      <c r="BO28" t="s">
        <v>402</v>
      </c>
      <c r="BP28">
        <v>0</v>
      </c>
      <c r="BQ28">
        <f t="shared" si="38"/>
        <v>559.13988313888535</v>
      </c>
      <c r="BR28">
        <f t="shared" si="39"/>
        <v>0.74708936813540439</v>
      </c>
      <c r="BS28">
        <f t="shared" si="40"/>
        <v>0.89125789318940696</v>
      </c>
      <c r="BT28">
        <f t="shared" si="41"/>
        <v>4.1014442848603255E-2</v>
      </c>
      <c r="BU28">
        <f t="shared" si="42"/>
        <v>0.89364558909337888</v>
      </c>
      <c r="BV28">
        <f t="shared" si="43"/>
        <v>4.1119803098298061E-2</v>
      </c>
      <c r="BW28">
        <f t="shared" si="44"/>
        <v>0.67457166602889485</v>
      </c>
      <c r="BX28">
        <f t="shared" si="45"/>
        <v>0.32542833397110515</v>
      </c>
      <c r="DG28">
        <f t="shared" si="46"/>
        <v>49.992646666666673</v>
      </c>
      <c r="DH28">
        <f t="shared" si="47"/>
        <v>42.128815756315682</v>
      </c>
      <c r="DI28">
        <f t="shared" si="48"/>
        <v>0.84270024824282175</v>
      </c>
      <c r="DJ28">
        <f t="shared" si="49"/>
        <v>0.16481147910864605</v>
      </c>
      <c r="DK28">
        <v>6</v>
      </c>
      <c r="DL28">
        <v>0.5</v>
      </c>
      <c r="DM28" t="s">
        <v>403</v>
      </c>
      <c r="DN28">
        <v>2</v>
      </c>
      <c r="DO28" t="b">
        <v>0</v>
      </c>
      <c r="DP28">
        <v>1784999261.849999</v>
      </c>
      <c r="DQ28">
        <v>419.96560000000011</v>
      </c>
      <c r="DR28">
        <v>421.61246666666648</v>
      </c>
      <c r="DS28">
        <v>24.48388666666667</v>
      </c>
      <c r="DT28">
        <v>23.684313333333328</v>
      </c>
      <c r="DU28">
        <v>429.08159999999998</v>
      </c>
      <c r="DV28">
        <v>25.757886666666671</v>
      </c>
      <c r="DW28">
        <v>500.02609999999999</v>
      </c>
      <c r="DX28">
        <v>97.748403333333357</v>
      </c>
      <c r="DY28">
        <v>5.8572493333333343E-2</v>
      </c>
      <c r="DZ28">
        <v>27.560663333333331</v>
      </c>
      <c r="EA28">
        <v>28.000483333333332</v>
      </c>
      <c r="EB28">
        <v>999.9000000000002</v>
      </c>
      <c r="EC28">
        <v>0</v>
      </c>
      <c r="ED28">
        <v>0</v>
      </c>
      <c r="EE28">
        <v>10001.66666666667</v>
      </c>
      <c r="EF28">
        <v>0</v>
      </c>
      <c r="EG28">
        <v>226.4127666666667</v>
      </c>
      <c r="EH28">
        <v>-1.637147333333334</v>
      </c>
      <c r="EI28">
        <v>430.53246666666672</v>
      </c>
      <c r="EJ28">
        <v>431.84030000000001</v>
      </c>
      <c r="EK28">
        <v>0.83654003333333327</v>
      </c>
      <c r="EL28">
        <v>421.61246666666648</v>
      </c>
      <c r="EM28">
        <v>23.684313333333328</v>
      </c>
      <c r="EN28">
        <v>2.396875666666666</v>
      </c>
      <c r="EO28">
        <v>2.3151039999999998</v>
      </c>
      <c r="EP28">
        <v>20.342663333333331</v>
      </c>
      <c r="EQ28">
        <v>19.781870000000001</v>
      </c>
      <c r="ER28">
        <v>49.992646666666673</v>
      </c>
      <c r="ES28">
        <v>0.90002466666666636</v>
      </c>
      <c r="ET28">
        <v>9.9975799999999962E-2</v>
      </c>
      <c r="EU28">
        <v>0</v>
      </c>
      <c r="EV28">
        <v>738.65226666666649</v>
      </c>
      <c r="EW28">
        <v>5.0010700000000003</v>
      </c>
      <c r="EX28">
        <v>3623.231666666667</v>
      </c>
      <c r="EY28">
        <v>396.2048666666667</v>
      </c>
      <c r="EZ28">
        <v>41.375</v>
      </c>
      <c r="FA28">
        <v>45.875</v>
      </c>
      <c r="FB28">
        <v>43.75</v>
      </c>
      <c r="FC28">
        <v>45.432866666666648</v>
      </c>
      <c r="FD28">
        <v>43.370800000000003</v>
      </c>
      <c r="FE28">
        <v>40.49433333333333</v>
      </c>
      <c r="FF28">
        <v>4.5</v>
      </c>
      <c r="FG28">
        <v>0</v>
      </c>
      <c r="FH28">
        <v>180.70000004768369</v>
      </c>
      <c r="FI28">
        <v>0</v>
      </c>
      <c r="FJ28">
        <v>738.74705882352941</v>
      </c>
      <c r="FK28">
        <v>2.9061274562417512</v>
      </c>
      <c r="FL28">
        <v>256.70833347732179</v>
      </c>
      <c r="FM28">
        <v>3621.2882352941178</v>
      </c>
      <c r="FN28">
        <v>10</v>
      </c>
      <c r="FO28">
        <v>1784999289.5999999</v>
      </c>
      <c r="FP28" t="s">
        <v>460</v>
      </c>
      <c r="FQ28">
        <v>1784999288.5999999</v>
      </c>
      <c r="FR28">
        <v>1784999289.5999999</v>
      </c>
      <c r="FS28">
        <v>12</v>
      </c>
      <c r="FT28">
        <v>-4.0000000000000001E-3</v>
      </c>
      <c r="FU28">
        <v>-1.4999999999999999E-2</v>
      </c>
      <c r="FV28">
        <v>-9.1159999999999997</v>
      </c>
      <c r="FW28">
        <v>-1.274</v>
      </c>
      <c r="FX28">
        <v>422</v>
      </c>
      <c r="FY28">
        <v>24</v>
      </c>
      <c r="FZ28">
        <v>1.82</v>
      </c>
      <c r="GA28">
        <v>0.35</v>
      </c>
      <c r="GB28">
        <v>419.97543333333329</v>
      </c>
      <c r="GC28">
        <v>0.12416462736267959</v>
      </c>
      <c r="GD28">
        <v>5.7054175034688723E-2</v>
      </c>
      <c r="GE28">
        <v>-1</v>
      </c>
      <c r="GF28">
        <v>738.61226470588235</v>
      </c>
      <c r="GG28">
        <v>1.6951413327744731</v>
      </c>
      <c r="GH28">
        <v>0.25247006914316</v>
      </c>
      <c r="GI28">
        <v>1</v>
      </c>
      <c r="GJ28">
        <v>0.8500728500000001</v>
      </c>
      <c r="GK28">
        <v>-0.16414604127579829</v>
      </c>
      <c r="GL28">
        <v>3.3567682830774902E-2</v>
      </c>
      <c r="GM28">
        <v>1</v>
      </c>
      <c r="GN28">
        <v>2</v>
      </c>
      <c r="GO28">
        <v>2</v>
      </c>
      <c r="GP28" t="s">
        <v>404</v>
      </c>
      <c r="GQ28">
        <v>3.1309800000000001</v>
      </c>
      <c r="GR28">
        <v>2.7341700000000002</v>
      </c>
      <c r="GS28">
        <v>9.0776599999999999E-2</v>
      </c>
      <c r="GT28">
        <v>9.02723E-2</v>
      </c>
      <c r="GU28">
        <v>0.11638800000000001</v>
      </c>
      <c r="GV28">
        <v>0.10994</v>
      </c>
      <c r="GW28">
        <v>22593.3</v>
      </c>
      <c r="GX28">
        <v>30212.5</v>
      </c>
      <c r="GY28">
        <v>26978.799999999999</v>
      </c>
      <c r="GZ28">
        <v>34185.4</v>
      </c>
      <c r="HA28">
        <v>34953.599999999999</v>
      </c>
      <c r="HB28">
        <v>38292.1</v>
      </c>
      <c r="HC28">
        <v>39857.1</v>
      </c>
      <c r="HD28">
        <v>43090.400000000001</v>
      </c>
      <c r="HE28">
        <v>1.9166000000000001</v>
      </c>
      <c r="HF28">
        <v>1.6568000000000001</v>
      </c>
      <c r="HG28">
        <v>-0.122339</v>
      </c>
      <c r="HH28">
        <v>0</v>
      </c>
      <c r="HI28">
        <v>29.9726</v>
      </c>
      <c r="HJ28">
        <v>999.9</v>
      </c>
      <c r="HK28">
        <v>44.5</v>
      </c>
      <c r="HL28">
        <v>43.5</v>
      </c>
      <c r="HM28">
        <v>40.600499999999997</v>
      </c>
      <c r="HN28">
        <v>61.405500000000004</v>
      </c>
      <c r="HO28">
        <v>4.33894</v>
      </c>
      <c r="HP28">
        <v>1</v>
      </c>
      <c r="HQ28">
        <v>1.0216499999999999</v>
      </c>
      <c r="HR28">
        <v>7.3574700000000002</v>
      </c>
      <c r="HS28">
        <v>20.0901</v>
      </c>
      <c r="HT28">
        <v>5.2053099999999999</v>
      </c>
      <c r="HU28">
        <v>11.914099999999999</v>
      </c>
      <c r="HV28">
        <v>4.9820000000000002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1.86758</v>
      </c>
      <c r="IC28">
        <v>1.8633999999999999</v>
      </c>
      <c r="ID28">
        <v>1.8628199999999999</v>
      </c>
      <c r="IE28">
        <v>1.86246</v>
      </c>
      <c r="IF28">
        <v>1.8623400000000001</v>
      </c>
      <c r="IG28">
        <v>1.8628199999999999</v>
      </c>
      <c r="IH28">
        <v>1.8638600000000001</v>
      </c>
      <c r="II28">
        <v>1.86172</v>
      </c>
      <c r="IJ28">
        <v>0</v>
      </c>
      <c r="IK28">
        <v>0</v>
      </c>
      <c r="IL28">
        <v>0</v>
      </c>
      <c r="IM28">
        <v>4.5</v>
      </c>
      <c r="IN28" t="s">
        <v>405</v>
      </c>
      <c r="IO28" t="s">
        <v>406</v>
      </c>
      <c r="IP28" t="s">
        <v>407</v>
      </c>
      <c r="IQ28" t="s">
        <v>408</v>
      </c>
      <c r="IR28" t="s">
        <v>408</v>
      </c>
      <c r="IS28" t="s">
        <v>407</v>
      </c>
      <c r="IT28">
        <v>0</v>
      </c>
      <c r="IU28">
        <v>100</v>
      </c>
      <c r="IV28">
        <v>100</v>
      </c>
      <c r="IW28">
        <v>-9.1159999999999997</v>
      </c>
      <c r="IX28">
        <v>-1.274</v>
      </c>
      <c r="IY28">
        <v>-7.106969498800197</v>
      </c>
      <c r="IZ28">
        <v>-5.6215304933332991E-3</v>
      </c>
      <c r="JA28">
        <v>2.3979931213773931E-6</v>
      </c>
      <c r="JB28">
        <v>-3.6297174575716598E-10</v>
      </c>
      <c r="JC28">
        <v>-1.678612311048487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4.4000000000000004</v>
      </c>
      <c r="JL28">
        <v>4.4000000000000004</v>
      </c>
      <c r="JM28">
        <v>1.1059600000000001</v>
      </c>
      <c r="JN28">
        <v>2.5744600000000002</v>
      </c>
      <c r="JO28">
        <v>1.50024</v>
      </c>
      <c r="JP28">
        <v>2.2705099999999998</v>
      </c>
      <c r="JQ28">
        <v>1.4477500000000001</v>
      </c>
      <c r="JR28">
        <v>2.3889200000000002</v>
      </c>
      <c r="JS28">
        <v>49.200600000000001</v>
      </c>
      <c r="JT28">
        <v>23.886099999999999</v>
      </c>
      <c r="JU28">
        <v>18</v>
      </c>
      <c r="JV28">
        <v>550.15099999999995</v>
      </c>
      <c r="JW28">
        <v>392.03399999999999</v>
      </c>
      <c r="JX28">
        <v>23.9405</v>
      </c>
      <c r="JY28">
        <v>39.067399999999999</v>
      </c>
      <c r="JZ28">
        <v>29.999700000000001</v>
      </c>
      <c r="KA28">
        <v>39.247300000000003</v>
      </c>
      <c r="KB28">
        <v>39.277200000000001</v>
      </c>
      <c r="KC28">
        <v>22.126200000000001</v>
      </c>
      <c r="KD28">
        <v>44.721600000000002</v>
      </c>
      <c r="KE28">
        <v>0</v>
      </c>
      <c r="KF28">
        <v>23.932600000000001</v>
      </c>
      <c r="KG28">
        <v>421.642</v>
      </c>
      <c r="KH28">
        <v>23.733499999999999</v>
      </c>
      <c r="KI28">
        <v>99.595600000000005</v>
      </c>
      <c r="KJ28">
        <v>97.229500000000002</v>
      </c>
    </row>
    <row r="29" spans="1:296" x14ac:dyDescent="0.3">
      <c r="A29">
        <v>13</v>
      </c>
      <c r="B29">
        <v>1784999470.5999999</v>
      </c>
      <c r="C29">
        <v>2197.599999904633</v>
      </c>
      <c r="D29" t="s">
        <v>461</v>
      </c>
      <c r="E29" t="s">
        <v>462</v>
      </c>
      <c r="F29">
        <v>15</v>
      </c>
      <c r="H29">
        <v>1784999462.599999</v>
      </c>
      <c r="I29">
        <f t="shared" si="0"/>
        <v>6.0642125807510642E-4</v>
      </c>
      <c r="J29">
        <f t="shared" si="1"/>
        <v>0.60642125807510638</v>
      </c>
      <c r="K29">
        <f t="shared" si="2"/>
        <v>-2.8371633977391801</v>
      </c>
      <c r="L29">
        <f t="shared" si="3"/>
        <v>420.04274193548378</v>
      </c>
      <c r="M29">
        <f t="shared" si="4"/>
        <v>517.62163116867373</v>
      </c>
      <c r="N29">
        <f t="shared" si="5"/>
        <v>50.625906387267804</v>
      </c>
      <c r="O29">
        <f t="shared" si="6"/>
        <v>41.08221768836318</v>
      </c>
      <c r="P29">
        <f t="shared" si="7"/>
        <v>4.2149351453612489E-2</v>
      </c>
      <c r="Q29">
        <f t="shared" si="8"/>
        <v>2.8901092025864337</v>
      </c>
      <c r="R29">
        <f t="shared" si="9"/>
        <v>4.1810809158727043E-2</v>
      </c>
      <c r="S29">
        <f t="shared" si="10"/>
        <v>2.6161945615546651E-2</v>
      </c>
      <c r="T29">
        <f t="shared" si="11"/>
        <v>1.5966703903835998E-4</v>
      </c>
      <c r="U29">
        <f t="shared" si="12"/>
        <v>27.332153417714579</v>
      </c>
      <c r="V29">
        <f t="shared" si="13"/>
        <v>27.929425806451601</v>
      </c>
      <c r="W29">
        <f t="shared" si="14"/>
        <v>3.7792548170637708</v>
      </c>
      <c r="X29">
        <f t="shared" si="15"/>
        <v>65.299808243150025</v>
      </c>
      <c r="Y29">
        <f t="shared" si="16"/>
        <v>2.4055516349108697</v>
      </c>
      <c r="Z29">
        <f t="shared" si="17"/>
        <v>3.6838571193862779</v>
      </c>
      <c r="AA29">
        <f t="shared" si="18"/>
        <v>1.3737031821529011</v>
      </c>
      <c r="AB29">
        <f t="shared" si="19"/>
        <v>-26.743177481112195</v>
      </c>
      <c r="AC29">
        <f t="shared" si="20"/>
        <v>-68.185654953330641</v>
      </c>
      <c r="AD29">
        <f t="shared" si="21"/>
        <v>-5.1278638978111335</v>
      </c>
      <c r="AE29">
        <f t="shared" si="22"/>
        <v>-100.05653666521494</v>
      </c>
      <c r="AF29">
        <f t="shared" si="23"/>
        <v>-2.8371633977391801</v>
      </c>
      <c r="AG29">
        <f t="shared" si="24"/>
        <v>0.60642125807510638</v>
      </c>
      <c r="AH29">
        <f t="shared" si="25"/>
        <v>-2.7684979304591804</v>
      </c>
      <c r="AI29">
        <v>427.01326195672982</v>
      </c>
      <c r="AJ29">
        <v>430.56418181818191</v>
      </c>
      <c r="AK29">
        <v>-2.814779054165948E-2</v>
      </c>
      <c r="AL29">
        <v>67.064467988838217</v>
      </c>
      <c r="AM29">
        <f t="shared" si="26"/>
        <v>0.64317911085338453</v>
      </c>
      <c r="AN29">
        <v>23.887464661861479</v>
      </c>
      <c r="AO29">
        <v>24.6396593939394</v>
      </c>
      <c r="AP29">
        <v>9.0765021644867487E-5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51612.205861029273</v>
      </c>
      <c r="AW29" t="s">
        <v>463</v>
      </c>
      <c r="AX29">
        <v>13221.2</v>
      </c>
      <c r="AY29">
        <v>587.47941176470601</v>
      </c>
      <c r="AZ29">
        <v>2389.06</v>
      </c>
      <c r="BA29">
        <f t="shared" si="30"/>
        <v>0.75409599936179661</v>
      </c>
      <c r="BB29">
        <v>-2.8371633977392272</v>
      </c>
      <c r="BC29" t="s">
        <v>402</v>
      </c>
      <c r="BD29" t="s">
        <v>402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-2.8371633977391801</v>
      </c>
      <c r="BK29" t="e">
        <f t="shared" si="34"/>
        <v>#DIV/0!</v>
      </c>
      <c r="BL29">
        <f t="shared" si="35"/>
        <v>5.6016299545903629E-11</v>
      </c>
      <c r="BM29" t="e">
        <f t="shared" si="36"/>
        <v>#DIV/0!</v>
      </c>
      <c r="BN29" t="e">
        <f t="shared" si="37"/>
        <v>#DIV/0!</v>
      </c>
      <c r="BO29" t="s">
        <v>402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1.3260911088857597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403</v>
      </c>
      <c r="DN29">
        <v>2</v>
      </c>
      <c r="DO29" t="b">
        <v>0</v>
      </c>
      <c r="DP29">
        <v>1784999462.599999</v>
      </c>
      <c r="DQ29">
        <v>420.04274193548378</v>
      </c>
      <c r="DR29">
        <v>416.94400000000002</v>
      </c>
      <c r="DS29">
        <v>24.59542258064516</v>
      </c>
      <c r="DT29">
        <v>23.885658064516129</v>
      </c>
      <c r="DU29">
        <v>429.12274193548382</v>
      </c>
      <c r="DV29">
        <v>25.875422580645161</v>
      </c>
      <c r="DW29">
        <v>500.03012903225812</v>
      </c>
      <c r="DX29">
        <v>97.746574193548383</v>
      </c>
      <c r="DY29">
        <v>5.8276567741935487E-2</v>
      </c>
      <c r="DZ29">
        <v>27.491809677419361</v>
      </c>
      <c r="EA29">
        <v>27.929425806451601</v>
      </c>
      <c r="EB29">
        <v>999.90000000000032</v>
      </c>
      <c r="EC29">
        <v>0</v>
      </c>
      <c r="ED29">
        <v>0</v>
      </c>
      <c r="EE29">
        <v>10002.258064516131</v>
      </c>
      <c r="EF29">
        <v>0</v>
      </c>
      <c r="EG29">
        <v>225.65116129032259</v>
      </c>
      <c r="EH29">
        <v>3.0681848387096768</v>
      </c>
      <c r="EI29">
        <v>430.61693548387109</v>
      </c>
      <c r="EJ29">
        <v>427.14664516129028</v>
      </c>
      <c r="EK29">
        <v>0.7412799677419355</v>
      </c>
      <c r="EL29">
        <v>416.94400000000002</v>
      </c>
      <c r="EM29">
        <v>23.885658064516129</v>
      </c>
      <c r="EN29">
        <v>2.4072003225806449</v>
      </c>
      <c r="EO29">
        <v>2.334742903225806</v>
      </c>
      <c r="EP29">
        <v>20.41228709677419</v>
      </c>
      <c r="EQ29">
        <v>19.918116129032249</v>
      </c>
      <c r="ER29">
        <v>1.00021E-2</v>
      </c>
      <c r="ES29">
        <v>0</v>
      </c>
      <c r="ET29">
        <v>0</v>
      </c>
      <c r="EU29">
        <v>0</v>
      </c>
      <c r="EV29">
        <v>586.99516129032247</v>
      </c>
      <c r="EW29">
        <v>1.00021E-2</v>
      </c>
      <c r="EX29">
        <v>3230.724193548388</v>
      </c>
      <c r="EY29">
        <v>3.1709677419354838</v>
      </c>
      <c r="EZ29">
        <v>41.125</v>
      </c>
      <c r="FA29">
        <v>45.755999999999993</v>
      </c>
      <c r="FB29">
        <v>43.533999999999978</v>
      </c>
      <c r="FC29">
        <v>45.186999999999969</v>
      </c>
      <c r="FD29">
        <v>42.941064516129003</v>
      </c>
      <c r="FE29">
        <v>0</v>
      </c>
      <c r="FF29">
        <v>0</v>
      </c>
      <c r="FG29">
        <v>0</v>
      </c>
      <c r="FH29">
        <v>200.0999999046326</v>
      </c>
      <c r="FI29">
        <v>0</v>
      </c>
      <c r="FJ29">
        <v>587.47941176470601</v>
      </c>
      <c r="FK29">
        <v>14.375000585261141</v>
      </c>
      <c r="FL29">
        <v>164.17892048374961</v>
      </c>
      <c r="FM29">
        <v>3232.5852941176472</v>
      </c>
      <c r="FN29">
        <v>10</v>
      </c>
      <c r="FO29">
        <v>1784999489.5999999</v>
      </c>
      <c r="FP29" t="s">
        <v>464</v>
      </c>
      <c r="FQ29">
        <v>1784999489.5999999</v>
      </c>
      <c r="FR29">
        <v>1784999487.5999999</v>
      </c>
      <c r="FS29">
        <v>13</v>
      </c>
      <c r="FT29">
        <v>1.9E-2</v>
      </c>
      <c r="FU29">
        <v>-1.0999999999999999E-2</v>
      </c>
      <c r="FV29">
        <v>-9.08</v>
      </c>
      <c r="FW29">
        <v>-1.28</v>
      </c>
      <c r="FX29">
        <v>417</v>
      </c>
      <c r="FY29">
        <v>24</v>
      </c>
      <c r="FZ29">
        <v>1.63</v>
      </c>
      <c r="GA29">
        <v>0.37</v>
      </c>
      <c r="GB29">
        <v>420.01222580645162</v>
      </c>
      <c r="GC29">
        <v>8.6612903225956606E-2</v>
      </c>
      <c r="GD29">
        <v>4.7837567689152462E-2</v>
      </c>
      <c r="GE29">
        <v>-1</v>
      </c>
      <c r="GF29">
        <v>587.83970588235286</v>
      </c>
      <c r="GG29">
        <v>-2.4560732219294108</v>
      </c>
      <c r="GH29">
        <v>4.7495166845716206</v>
      </c>
      <c r="GI29">
        <v>1</v>
      </c>
      <c r="GJ29">
        <v>0.73953404878048778</v>
      </c>
      <c r="GK29">
        <v>3.9020864111499812E-2</v>
      </c>
      <c r="GL29">
        <v>5.8919604669381356E-3</v>
      </c>
      <c r="GM29">
        <v>1</v>
      </c>
      <c r="GN29">
        <v>2</v>
      </c>
      <c r="GO29">
        <v>2</v>
      </c>
      <c r="GP29" t="s">
        <v>404</v>
      </c>
      <c r="GQ29">
        <v>3.1315200000000001</v>
      </c>
      <c r="GR29">
        <v>2.7344400000000002</v>
      </c>
      <c r="GS29">
        <v>9.0787800000000002E-2</v>
      </c>
      <c r="GT29">
        <v>8.9500300000000005E-2</v>
      </c>
      <c r="GU29">
        <v>0.116609</v>
      </c>
      <c r="GV29">
        <v>0.110515</v>
      </c>
      <c r="GW29">
        <v>22592.7</v>
      </c>
      <c r="GX29">
        <v>30238.7</v>
      </c>
      <c r="GY29">
        <v>26978.6</v>
      </c>
      <c r="GZ29">
        <v>34186.300000000003</v>
      </c>
      <c r="HA29">
        <v>34944.9</v>
      </c>
      <c r="HB29">
        <v>38267.5</v>
      </c>
      <c r="HC29">
        <v>39856.800000000003</v>
      </c>
      <c r="HD29">
        <v>43090.5</v>
      </c>
      <c r="HE29">
        <v>1.9164000000000001</v>
      </c>
      <c r="HF29">
        <v>1.6552</v>
      </c>
      <c r="HG29">
        <v>-0.12785199999999999</v>
      </c>
      <c r="HH29">
        <v>0</v>
      </c>
      <c r="HI29">
        <v>30.027100000000001</v>
      </c>
      <c r="HJ29">
        <v>999.9</v>
      </c>
      <c r="HK29">
        <v>44.3</v>
      </c>
      <c r="HL29">
        <v>43.7</v>
      </c>
      <c r="HM29">
        <v>40.837400000000002</v>
      </c>
      <c r="HN29">
        <v>61.345599999999997</v>
      </c>
      <c r="HO29">
        <v>4.2347799999999998</v>
      </c>
      <c r="HP29">
        <v>1</v>
      </c>
      <c r="HQ29">
        <v>1.0184599999999999</v>
      </c>
      <c r="HR29">
        <v>6.7718999999999996</v>
      </c>
      <c r="HS29">
        <v>20.113299999999999</v>
      </c>
      <c r="HT29">
        <v>5.2100999999999997</v>
      </c>
      <c r="HU29">
        <v>11.914099999999999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1.86765</v>
      </c>
      <c r="IC29">
        <v>1.8633999999999999</v>
      </c>
      <c r="ID29">
        <v>1.8628499999999999</v>
      </c>
      <c r="IE29">
        <v>1.86249</v>
      </c>
      <c r="IF29">
        <v>1.8624000000000001</v>
      </c>
      <c r="IG29">
        <v>1.8629500000000001</v>
      </c>
      <c r="IH29">
        <v>1.8638600000000001</v>
      </c>
      <c r="II29">
        <v>1.86175</v>
      </c>
      <c r="IJ29">
        <v>0</v>
      </c>
      <c r="IK29">
        <v>0</v>
      </c>
      <c r="IL29">
        <v>0</v>
      </c>
      <c r="IM29">
        <v>4.5</v>
      </c>
      <c r="IN29" t="s">
        <v>405</v>
      </c>
      <c r="IO29" t="s">
        <v>406</v>
      </c>
      <c r="IP29" t="s">
        <v>407</v>
      </c>
      <c r="IQ29" t="s">
        <v>408</v>
      </c>
      <c r="IR29" t="s">
        <v>408</v>
      </c>
      <c r="IS29" t="s">
        <v>407</v>
      </c>
      <c r="IT29">
        <v>0</v>
      </c>
      <c r="IU29">
        <v>100</v>
      </c>
      <c r="IV29">
        <v>100</v>
      </c>
      <c r="IW29">
        <v>-9.08</v>
      </c>
      <c r="IX29">
        <v>-1.28</v>
      </c>
      <c r="IY29">
        <v>-7.111044160335882</v>
      </c>
      <c r="IZ29">
        <v>-5.6215304933332991E-3</v>
      </c>
      <c r="JA29">
        <v>2.3979931213773931E-6</v>
      </c>
      <c r="JB29">
        <v>-3.6297174575716598E-10</v>
      </c>
      <c r="JC29">
        <v>-1.6934130986700111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3</v>
      </c>
      <c r="JL29">
        <v>3</v>
      </c>
      <c r="JM29">
        <v>1.09741</v>
      </c>
      <c r="JN29">
        <v>2.5720200000000002</v>
      </c>
      <c r="JO29">
        <v>1.50024</v>
      </c>
      <c r="JP29">
        <v>2.2705099999999998</v>
      </c>
      <c r="JQ29">
        <v>1.4477500000000001</v>
      </c>
      <c r="JR29">
        <v>2.3925800000000002</v>
      </c>
      <c r="JS29">
        <v>49.420999999999999</v>
      </c>
      <c r="JT29">
        <v>23.8949</v>
      </c>
      <c r="JU29">
        <v>18</v>
      </c>
      <c r="JV29">
        <v>550.15599999999995</v>
      </c>
      <c r="JW29">
        <v>391.209</v>
      </c>
      <c r="JX29">
        <v>24.271999999999998</v>
      </c>
      <c r="JY29">
        <v>39.113</v>
      </c>
      <c r="JZ29">
        <v>29.999400000000001</v>
      </c>
      <c r="KA29">
        <v>39.265999999999998</v>
      </c>
      <c r="KB29">
        <v>39.299500000000002</v>
      </c>
      <c r="KC29">
        <v>21.9436</v>
      </c>
      <c r="KD29">
        <v>44.510199999999998</v>
      </c>
      <c r="KE29">
        <v>0</v>
      </c>
      <c r="KF29">
        <v>24.275200000000002</v>
      </c>
      <c r="KG29">
        <v>417.01299999999998</v>
      </c>
      <c r="KH29">
        <v>23.895399999999999</v>
      </c>
      <c r="KI29">
        <v>99.594999999999999</v>
      </c>
      <c r="KJ29">
        <v>97.230699999999999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CE57-92D9-4E3C-82CA-40D49E135E51}">
  <dimension ref="A2:KJ29"/>
  <sheetViews>
    <sheetView workbookViewId="0">
      <selection activeCell="L10" sqref="L10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410</v>
      </c>
      <c r="G13" t="s">
        <v>411</v>
      </c>
      <c r="H13">
        <v>0</v>
      </c>
    </row>
    <row r="14" spans="1:296" x14ac:dyDescent="0.3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57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61</v>
      </c>
      <c r="BK14" t="s">
        <v>61</v>
      </c>
      <c r="BL14" t="s">
        <v>61</v>
      </c>
      <c r="BM14" t="s">
        <v>61</v>
      </c>
      <c r="BN14" t="s">
        <v>61</v>
      </c>
      <c r="BO14" t="s">
        <v>61</v>
      </c>
      <c r="BP14" t="s">
        <v>61</v>
      </c>
      <c r="BQ14" t="s">
        <v>61</v>
      </c>
      <c r="BR14" t="s">
        <v>61</v>
      </c>
      <c r="BS14" t="s">
        <v>61</v>
      </c>
      <c r="BT14" t="s">
        <v>61</v>
      </c>
      <c r="BU14" t="s">
        <v>61</v>
      </c>
      <c r="BV14" t="s">
        <v>61</v>
      </c>
      <c r="BW14" t="s">
        <v>61</v>
      </c>
      <c r="BX14" t="s">
        <v>61</v>
      </c>
      <c r="BY14" t="s">
        <v>62</v>
      </c>
      <c r="BZ14" t="s">
        <v>62</v>
      </c>
      <c r="CA14" t="s">
        <v>62</v>
      </c>
      <c r="CB14" t="s">
        <v>62</v>
      </c>
      <c r="CC14" t="s">
        <v>62</v>
      </c>
      <c r="CD14" t="s">
        <v>62</v>
      </c>
      <c r="CE14" t="s">
        <v>62</v>
      </c>
      <c r="CF14" t="s">
        <v>62</v>
      </c>
      <c r="CG14" t="s">
        <v>62</v>
      </c>
      <c r="CH14" t="s">
        <v>62</v>
      </c>
      <c r="CI14" t="s">
        <v>62</v>
      </c>
      <c r="CJ14" t="s">
        <v>62</v>
      </c>
      <c r="CK14" t="s">
        <v>62</v>
      </c>
      <c r="CL14" t="s">
        <v>62</v>
      </c>
      <c r="CM14" t="s">
        <v>62</v>
      </c>
      <c r="CN14" t="s">
        <v>62</v>
      </c>
      <c r="CO14" t="s">
        <v>62</v>
      </c>
      <c r="CP14" t="s">
        <v>62</v>
      </c>
      <c r="CQ14" t="s">
        <v>62</v>
      </c>
      <c r="CR14" t="s">
        <v>62</v>
      </c>
      <c r="CS14" t="s">
        <v>62</v>
      </c>
      <c r="CT14" t="s">
        <v>63</v>
      </c>
      <c r="CU14" t="s">
        <v>63</v>
      </c>
      <c r="CV14" t="s">
        <v>63</v>
      </c>
      <c r="CW14" t="s">
        <v>63</v>
      </c>
      <c r="CX14" t="s">
        <v>63</v>
      </c>
      <c r="CY14" t="s">
        <v>63</v>
      </c>
      <c r="CZ14" t="s">
        <v>63</v>
      </c>
      <c r="DA14" t="s">
        <v>63</v>
      </c>
      <c r="DB14" t="s">
        <v>63</v>
      </c>
      <c r="DC14" t="s">
        <v>63</v>
      </c>
      <c r="DD14" t="s">
        <v>63</v>
      </c>
      <c r="DE14" t="s">
        <v>63</v>
      </c>
      <c r="DF14" t="s">
        <v>63</v>
      </c>
      <c r="DG14" t="s">
        <v>64</v>
      </c>
      <c r="DH14" t="s">
        <v>64</v>
      </c>
      <c r="DI14" t="s">
        <v>64</v>
      </c>
      <c r="DJ14" t="s">
        <v>64</v>
      </c>
      <c r="DK14" t="s">
        <v>65</v>
      </c>
      <c r="DL14" t="s">
        <v>65</v>
      </c>
      <c r="DM14" t="s">
        <v>65</v>
      </c>
      <c r="DN14" t="s">
        <v>65</v>
      </c>
      <c r="DO14" t="s">
        <v>65</v>
      </c>
      <c r="DP14" t="s">
        <v>66</v>
      </c>
      <c r="DQ14" t="s">
        <v>66</v>
      </c>
      <c r="DR14" t="s">
        <v>66</v>
      </c>
      <c r="DS14" t="s">
        <v>66</v>
      </c>
      <c r="DT14" t="s">
        <v>66</v>
      </c>
      <c r="DU14" t="s">
        <v>66</v>
      </c>
      <c r="DV14" t="s">
        <v>66</v>
      </c>
      <c r="DW14" t="s">
        <v>66</v>
      </c>
      <c r="DX14" t="s">
        <v>66</v>
      </c>
      <c r="DY14" t="s">
        <v>66</v>
      </c>
      <c r="DZ14" t="s">
        <v>66</v>
      </c>
      <c r="EA14" t="s">
        <v>66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s">
        <v>67</v>
      </c>
      <c r="EI14" t="s">
        <v>67</v>
      </c>
      <c r="EJ14" t="s">
        <v>67</v>
      </c>
      <c r="EK14" t="s">
        <v>67</v>
      </c>
      <c r="EL14" t="s">
        <v>67</v>
      </c>
      <c r="EM14" t="s">
        <v>67</v>
      </c>
      <c r="EN14" t="s">
        <v>67</v>
      </c>
      <c r="EO14" t="s">
        <v>67</v>
      </c>
      <c r="EP14" t="s">
        <v>67</v>
      </c>
      <c r="EQ14" t="s">
        <v>67</v>
      </c>
      <c r="ER14" t="s">
        <v>68</v>
      </c>
      <c r="ES14" t="s">
        <v>68</v>
      </c>
      <c r="ET14" t="s">
        <v>68</v>
      </c>
      <c r="EU14" t="s">
        <v>68</v>
      </c>
      <c r="EV14" t="s">
        <v>68</v>
      </c>
      <c r="EW14" t="s">
        <v>68</v>
      </c>
      <c r="EX14" t="s">
        <v>68</v>
      </c>
      <c r="EY14" t="s">
        <v>68</v>
      </c>
      <c r="EZ14" t="s">
        <v>68</v>
      </c>
      <c r="FA14" t="s">
        <v>68</v>
      </c>
      <c r="FB14" t="s">
        <v>68</v>
      </c>
      <c r="FC14" t="s">
        <v>68</v>
      </c>
      <c r="FD14" t="s">
        <v>68</v>
      </c>
      <c r="FE14" t="s">
        <v>68</v>
      </c>
      <c r="FF14" t="s">
        <v>68</v>
      </c>
      <c r="FG14" t="s">
        <v>68</v>
      </c>
      <c r="FH14" t="s">
        <v>68</v>
      </c>
      <c r="FI14" t="s">
        <v>68</v>
      </c>
      <c r="FJ14" t="s">
        <v>69</v>
      </c>
      <c r="FK14" t="s">
        <v>69</v>
      </c>
      <c r="FL14" t="s">
        <v>69</v>
      </c>
      <c r="FM14" t="s">
        <v>69</v>
      </c>
      <c r="FN14" t="s">
        <v>69</v>
      </c>
      <c r="FO14" t="s">
        <v>70</v>
      </c>
      <c r="FP14" t="s">
        <v>70</v>
      </c>
      <c r="FQ14" t="s">
        <v>70</v>
      </c>
      <c r="FR14" t="s">
        <v>70</v>
      </c>
      <c r="FS14" t="s">
        <v>70</v>
      </c>
      <c r="FT14" t="s">
        <v>70</v>
      </c>
      <c r="FU14" t="s">
        <v>70</v>
      </c>
      <c r="FV14" t="s">
        <v>70</v>
      </c>
      <c r="FW14" t="s">
        <v>70</v>
      </c>
      <c r="FX14" t="s">
        <v>70</v>
      </c>
      <c r="FY14" t="s">
        <v>70</v>
      </c>
      <c r="FZ14" t="s">
        <v>70</v>
      </c>
      <c r="GA14" t="s">
        <v>70</v>
      </c>
      <c r="GB14" t="s">
        <v>71</v>
      </c>
      <c r="GC14" t="s">
        <v>71</v>
      </c>
      <c r="GD14" t="s">
        <v>71</v>
      </c>
      <c r="GE14" t="s">
        <v>71</v>
      </c>
      <c r="GF14" t="s">
        <v>71</v>
      </c>
      <c r="GG14" t="s">
        <v>71</v>
      </c>
      <c r="GH14" t="s">
        <v>71</v>
      </c>
      <c r="GI14" t="s">
        <v>71</v>
      </c>
      <c r="GJ14" t="s">
        <v>71</v>
      </c>
      <c r="GK14" t="s">
        <v>71</v>
      </c>
      <c r="GL14" t="s">
        <v>71</v>
      </c>
      <c r="GM14" t="s">
        <v>71</v>
      </c>
      <c r="GN14" t="s">
        <v>71</v>
      </c>
      <c r="GO14" t="s">
        <v>71</v>
      </c>
      <c r="GP14" t="s">
        <v>71</v>
      </c>
      <c r="GQ14" t="s">
        <v>72</v>
      </c>
      <c r="GR14" t="s">
        <v>72</v>
      </c>
      <c r="GS14" t="s">
        <v>72</v>
      </c>
      <c r="GT14" t="s">
        <v>72</v>
      </c>
      <c r="GU14" t="s">
        <v>72</v>
      </c>
      <c r="GV14" t="s">
        <v>72</v>
      </c>
      <c r="GW14" t="s">
        <v>72</v>
      </c>
      <c r="GX14" t="s">
        <v>72</v>
      </c>
      <c r="GY14" t="s">
        <v>72</v>
      </c>
      <c r="GZ14" t="s">
        <v>72</v>
      </c>
      <c r="HA14" t="s">
        <v>72</v>
      </c>
      <c r="HB14" t="s">
        <v>72</v>
      </c>
      <c r="HC14" t="s">
        <v>72</v>
      </c>
      <c r="HD14" t="s">
        <v>72</v>
      </c>
      <c r="HE14" t="s">
        <v>72</v>
      </c>
      <c r="HF14" t="s">
        <v>72</v>
      </c>
      <c r="HG14" t="s">
        <v>72</v>
      </c>
      <c r="HH14" t="s">
        <v>72</v>
      </c>
      <c r="HI14" t="s">
        <v>73</v>
      </c>
      <c r="HJ14" t="s">
        <v>73</v>
      </c>
      <c r="HK14" t="s">
        <v>73</v>
      </c>
      <c r="HL14" t="s">
        <v>73</v>
      </c>
      <c r="HM14" t="s">
        <v>73</v>
      </c>
      <c r="HN14" t="s">
        <v>73</v>
      </c>
      <c r="HO14" t="s">
        <v>73</v>
      </c>
      <c r="HP14" t="s">
        <v>73</v>
      </c>
      <c r="HQ14" t="s">
        <v>73</v>
      </c>
      <c r="HR14" t="s">
        <v>73</v>
      </c>
      <c r="HS14" t="s">
        <v>73</v>
      </c>
      <c r="HT14" t="s">
        <v>73</v>
      </c>
      <c r="HU14" t="s">
        <v>73</v>
      </c>
      <c r="HV14" t="s">
        <v>73</v>
      </c>
      <c r="HW14" t="s">
        <v>73</v>
      </c>
      <c r="HX14" t="s">
        <v>73</v>
      </c>
      <c r="HY14" t="s">
        <v>73</v>
      </c>
      <c r="HZ14" t="s">
        <v>73</v>
      </c>
      <c r="IA14" t="s">
        <v>73</v>
      </c>
      <c r="IB14" t="s">
        <v>74</v>
      </c>
      <c r="IC14" t="s">
        <v>74</v>
      </c>
      <c r="ID14" t="s">
        <v>74</v>
      </c>
      <c r="IE14" t="s">
        <v>74</v>
      </c>
      <c r="IF14" t="s">
        <v>74</v>
      </c>
      <c r="IG14" t="s">
        <v>74</v>
      </c>
      <c r="IH14" t="s">
        <v>74</v>
      </c>
      <c r="II14" t="s">
        <v>74</v>
      </c>
      <c r="IJ14" t="s">
        <v>74</v>
      </c>
      <c r="IK14" t="s">
        <v>74</v>
      </c>
      <c r="IL14" t="s">
        <v>74</v>
      </c>
      <c r="IM14" t="s">
        <v>74</v>
      </c>
      <c r="IN14" t="s">
        <v>74</v>
      </c>
      <c r="IO14" t="s">
        <v>74</v>
      </c>
      <c r="IP14" t="s">
        <v>74</v>
      </c>
      <c r="IQ14" t="s">
        <v>74</v>
      </c>
      <c r="IR14" t="s">
        <v>74</v>
      </c>
      <c r="IS14" t="s">
        <v>74</v>
      </c>
      <c r="IT14" t="s">
        <v>74</v>
      </c>
      <c r="IU14" t="s">
        <v>75</v>
      </c>
      <c r="IV14" t="s">
        <v>75</v>
      </c>
      <c r="IW14" t="s">
        <v>75</v>
      </c>
      <c r="IX14" t="s">
        <v>75</v>
      </c>
      <c r="IY14" t="s">
        <v>75</v>
      </c>
      <c r="IZ14" t="s">
        <v>75</v>
      </c>
      <c r="JA14" t="s">
        <v>75</v>
      </c>
      <c r="JB14" t="s">
        <v>75</v>
      </c>
      <c r="JC14" t="s">
        <v>75</v>
      </c>
      <c r="JD14" t="s">
        <v>75</v>
      </c>
      <c r="JE14" t="s">
        <v>75</v>
      </c>
      <c r="JF14" t="s">
        <v>75</v>
      </c>
      <c r="JG14" t="s">
        <v>75</v>
      </c>
      <c r="JH14" t="s">
        <v>75</v>
      </c>
      <c r="JI14" t="s">
        <v>75</v>
      </c>
      <c r="JJ14" t="s">
        <v>75</v>
      </c>
      <c r="JK14" t="s">
        <v>75</v>
      </c>
      <c r="JL14" t="s">
        <v>75</v>
      </c>
      <c r="JM14" t="s">
        <v>76</v>
      </c>
      <c r="JN14" t="s">
        <v>76</v>
      </c>
      <c r="JO14" t="s">
        <v>76</v>
      </c>
      <c r="JP14" t="s">
        <v>76</v>
      </c>
      <c r="JQ14" t="s">
        <v>76</v>
      </c>
      <c r="JR14" t="s">
        <v>76</v>
      </c>
      <c r="JS14" t="s">
        <v>76</v>
      </c>
      <c r="JT14" t="s">
        <v>76</v>
      </c>
      <c r="JU14" t="s">
        <v>77</v>
      </c>
      <c r="JV14" t="s">
        <v>77</v>
      </c>
      <c r="JW14" t="s">
        <v>77</v>
      </c>
      <c r="JX14" t="s">
        <v>77</v>
      </c>
      <c r="JY14" t="s">
        <v>77</v>
      </c>
      <c r="JZ14" t="s">
        <v>77</v>
      </c>
      <c r="KA14" t="s">
        <v>77</v>
      </c>
      <c r="KB14" t="s">
        <v>77</v>
      </c>
      <c r="KC14" t="s">
        <v>77</v>
      </c>
      <c r="KD14" t="s">
        <v>77</v>
      </c>
      <c r="KE14" t="s">
        <v>77</v>
      </c>
      <c r="KF14" t="s">
        <v>77</v>
      </c>
      <c r="KG14" t="s">
        <v>77</v>
      </c>
      <c r="KH14" t="s">
        <v>77</v>
      </c>
      <c r="KI14" t="s">
        <v>77</v>
      </c>
      <c r="KJ14" t="s">
        <v>77</v>
      </c>
    </row>
    <row r="15" spans="1:296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t="s">
        <v>97</v>
      </c>
      <c r="U15" t="s">
        <v>98</v>
      </c>
      <c r="V15" t="s">
        <v>99</v>
      </c>
      <c r="W15" t="s">
        <v>100</v>
      </c>
      <c r="X15" t="s">
        <v>101</v>
      </c>
      <c r="Y15" t="s">
        <v>102</v>
      </c>
      <c r="Z15" t="s">
        <v>103</v>
      </c>
      <c r="AA15" t="s">
        <v>104</v>
      </c>
      <c r="AB15" t="s">
        <v>105</v>
      </c>
      <c r="AC15" t="s">
        <v>106</v>
      </c>
      <c r="AD15" t="s">
        <v>107</v>
      </c>
      <c r="AE15" t="s">
        <v>108</v>
      </c>
      <c r="AF15" t="s">
        <v>109</v>
      </c>
      <c r="AG15" t="s">
        <v>110</v>
      </c>
      <c r="AH15" t="s">
        <v>111</v>
      </c>
      <c r="AI15" t="s">
        <v>112</v>
      </c>
      <c r="AJ15" t="s">
        <v>113</v>
      </c>
      <c r="AK15" t="s">
        <v>114</v>
      </c>
      <c r="AL15" t="s">
        <v>115</v>
      </c>
      <c r="AM15" t="s">
        <v>116</v>
      </c>
      <c r="AN15" t="s">
        <v>117</v>
      </c>
      <c r="AO15" t="s">
        <v>118</v>
      </c>
      <c r="AP15" t="s">
        <v>119</v>
      </c>
      <c r="AQ15" t="s">
        <v>120</v>
      </c>
      <c r="AR15" t="s">
        <v>60</v>
      </c>
      <c r="AS15" t="s">
        <v>121</v>
      </c>
      <c r="AT15" t="s">
        <v>122</v>
      </c>
      <c r="AU15" t="s">
        <v>123</v>
      </c>
      <c r="AV15" t="s">
        <v>124</v>
      </c>
      <c r="AW15" t="s">
        <v>125</v>
      </c>
      <c r="AX15" t="s">
        <v>126</v>
      </c>
      <c r="AY15" t="s">
        <v>127</v>
      </c>
      <c r="AZ15" t="s">
        <v>128</v>
      </c>
      <c r="BA15" t="s">
        <v>129</v>
      </c>
      <c r="BB15" t="s">
        <v>130</v>
      </c>
      <c r="BC15" t="s">
        <v>131</v>
      </c>
      <c r="BD15" t="s">
        <v>132</v>
      </c>
      <c r="BE15" t="s">
        <v>133</v>
      </c>
      <c r="BF15" t="s">
        <v>134</v>
      </c>
      <c r="BG15" t="s">
        <v>135</v>
      </c>
      <c r="BH15" t="s">
        <v>136</v>
      </c>
      <c r="BI15" t="s">
        <v>137</v>
      </c>
      <c r="BJ15" t="s">
        <v>138</v>
      </c>
      <c r="BK15" t="s">
        <v>139</v>
      </c>
      <c r="BL15" t="s">
        <v>140</v>
      </c>
      <c r="BM15" t="s">
        <v>141</v>
      </c>
      <c r="BN15" t="s">
        <v>142</v>
      </c>
      <c r="BO15" t="s">
        <v>143</v>
      </c>
      <c r="BP15" t="s">
        <v>144</v>
      </c>
      <c r="BQ15" t="s">
        <v>145</v>
      </c>
      <c r="BR15" t="s">
        <v>146</v>
      </c>
      <c r="BS15" t="s">
        <v>147</v>
      </c>
      <c r="BT15" t="s">
        <v>148</v>
      </c>
      <c r="BU15" t="s">
        <v>149</v>
      </c>
      <c r="BV15" t="s">
        <v>150</v>
      </c>
      <c r="BW15" t="s">
        <v>151</v>
      </c>
      <c r="BX15" t="s">
        <v>152</v>
      </c>
      <c r="BY15" t="s">
        <v>153</v>
      </c>
      <c r="BZ15" t="s">
        <v>154</v>
      </c>
      <c r="CA15" t="s">
        <v>155</v>
      </c>
      <c r="CB15" t="s">
        <v>156</v>
      </c>
      <c r="CC15" t="s">
        <v>157</v>
      </c>
      <c r="CD15" t="s">
        <v>158</v>
      </c>
      <c r="CE15" t="s">
        <v>159</v>
      </c>
      <c r="CF15" t="s">
        <v>160</v>
      </c>
      <c r="CG15" t="s">
        <v>161</v>
      </c>
      <c r="CH15" t="s">
        <v>162</v>
      </c>
      <c r="CI15" t="s">
        <v>163</v>
      </c>
      <c r="CJ15" t="s">
        <v>164</v>
      </c>
      <c r="CK15" t="s">
        <v>165</v>
      </c>
      <c r="CL15" t="s">
        <v>166</v>
      </c>
      <c r="CM15" t="s">
        <v>167</v>
      </c>
      <c r="CN15" t="s">
        <v>168</v>
      </c>
      <c r="CO15" t="s">
        <v>169</v>
      </c>
      <c r="CP15" t="s">
        <v>170</v>
      </c>
      <c r="CQ15" t="s">
        <v>171</v>
      </c>
      <c r="CR15" t="s">
        <v>172</v>
      </c>
      <c r="CS15" t="s">
        <v>173</v>
      </c>
      <c r="CT15" t="s">
        <v>153</v>
      </c>
      <c r="CU15" t="s">
        <v>174</v>
      </c>
      <c r="CV15" t="s">
        <v>175</v>
      </c>
      <c r="CW15" t="s">
        <v>176</v>
      </c>
      <c r="CX15" t="s">
        <v>127</v>
      </c>
      <c r="CY15" t="s">
        <v>177</v>
      </c>
      <c r="CZ15" t="s">
        <v>178</v>
      </c>
      <c r="DA15" t="s">
        <v>179</v>
      </c>
      <c r="DB15" t="s">
        <v>180</v>
      </c>
      <c r="DC15" t="s">
        <v>181</v>
      </c>
      <c r="DD15" t="s">
        <v>182</v>
      </c>
      <c r="DE15" t="s">
        <v>183</v>
      </c>
      <c r="DF15" t="s">
        <v>184</v>
      </c>
      <c r="DG15" t="s">
        <v>185</v>
      </c>
      <c r="DH15" t="s">
        <v>186</v>
      </c>
      <c r="DI15" t="s">
        <v>187</v>
      </c>
      <c r="DJ15" t="s">
        <v>188</v>
      </c>
      <c r="DK15" t="s">
        <v>189</v>
      </c>
      <c r="DL15" t="s">
        <v>190</v>
      </c>
      <c r="DM15" t="s">
        <v>191</v>
      </c>
      <c r="DN15" t="s">
        <v>192</v>
      </c>
      <c r="DO15" t="s">
        <v>193</v>
      </c>
      <c r="DP15" t="s">
        <v>85</v>
      </c>
      <c r="DQ15" t="s">
        <v>194</v>
      </c>
      <c r="DR15" t="s">
        <v>195</v>
      </c>
      <c r="DS15" t="s">
        <v>196</v>
      </c>
      <c r="DT15" t="s">
        <v>197</v>
      </c>
      <c r="DU15" t="s">
        <v>198</v>
      </c>
      <c r="DV15" t="s">
        <v>199</v>
      </c>
      <c r="DW15" t="s">
        <v>200</v>
      </c>
      <c r="DX15" t="s">
        <v>201</v>
      </c>
      <c r="DY15" t="s">
        <v>202</v>
      </c>
      <c r="DZ15" t="s">
        <v>203</v>
      </c>
      <c r="EA15" t="s">
        <v>204</v>
      </c>
      <c r="EB15" t="s">
        <v>205</v>
      </c>
      <c r="EC15" t="s">
        <v>206</v>
      </c>
      <c r="ED15" t="s">
        <v>207</v>
      </c>
      <c r="EE15" t="s">
        <v>208</v>
      </c>
      <c r="EF15" t="s">
        <v>209</v>
      </c>
      <c r="EG15" t="s">
        <v>210</v>
      </c>
      <c r="EH15" t="s">
        <v>211</v>
      </c>
      <c r="EI15" t="s">
        <v>212</v>
      </c>
      <c r="EJ15" t="s">
        <v>213</v>
      </c>
      <c r="EK15" t="s">
        <v>214</v>
      </c>
      <c r="EL15" t="s">
        <v>215</v>
      </c>
      <c r="EM15" t="s">
        <v>216</v>
      </c>
      <c r="EN15" t="s">
        <v>217</v>
      </c>
      <c r="EO15" t="s">
        <v>218</v>
      </c>
      <c r="EP15" t="s">
        <v>219</v>
      </c>
      <c r="EQ15" t="s">
        <v>220</v>
      </c>
      <c r="ER15" t="s">
        <v>221</v>
      </c>
      <c r="ES15" t="s">
        <v>222</v>
      </c>
      <c r="ET15" t="s">
        <v>223</v>
      </c>
      <c r="EU15" t="s">
        <v>224</v>
      </c>
      <c r="EV15" t="s">
        <v>225</v>
      </c>
      <c r="EW15" t="s">
        <v>226</v>
      </c>
      <c r="EX15" t="s">
        <v>227</v>
      </c>
      <c r="EY15" t="s">
        <v>228</v>
      </c>
      <c r="EZ15" t="s">
        <v>229</v>
      </c>
      <c r="FA15" t="s">
        <v>230</v>
      </c>
      <c r="FB15" t="s">
        <v>231</v>
      </c>
      <c r="FC15" t="s">
        <v>232</v>
      </c>
      <c r="FD15" t="s">
        <v>233</v>
      </c>
      <c r="FE15" t="s">
        <v>234</v>
      </c>
      <c r="FF15" t="s">
        <v>235</v>
      </c>
      <c r="FG15" t="s">
        <v>236</v>
      </c>
      <c r="FH15" t="s">
        <v>237</v>
      </c>
      <c r="FI15" t="s">
        <v>238</v>
      </c>
      <c r="FJ15" t="s">
        <v>239</v>
      </c>
      <c r="FK15" t="s">
        <v>240</v>
      </c>
      <c r="FL15" t="s">
        <v>241</v>
      </c>
      <c r="FM15" t="s">
        <v>242</v>
      </c>
      <c r="FN15" t="s">
        <v>243</v>
      </c>
      <c r="FO15" t="s">
        <v>79</v>
      </c>
      <c r="FP15" t="s">
        <v>82</v>
      </c>
      <c r="FQ15" t="s">
        <v>244</v>
      </c>
      <c r="FR15" t="s">
        <v>245</v>
      </c>
      <c r="FS15" t="s">
        <v>246</v>
      </c>
      <c r="FT15" t="s">
        <v>247</v>
      </c>
      <c r="FU15" t="s">
        <v>248</v>
      </c>
      <c r="FV15" t="s">
        <v>249</v>
      </c>
      <c r="FW15" t="s">
        <v>250</v>
      </c>
      <c r="FX15" t="s">
        <v>251</v>
      </c>
      <c r="FY15" t="s">
        <v>252</v>
      </c>
      <c r="FZ15" t="s">
        <v>253</v>
      </c>
      <c r="GA15" t="s">
        <v>254</v>
      </c>
      <c r="GB15" t="s">
        <v>255</v>
      </c>
      <c r="GC15" t="s">
        <v>256</v>
      </c>
      <c r="GD15" t="s">
        <v>257</v>
      </c>
      <c r="GE15" t="s">
        <v>258</v>
      </c>
      <c r="GF15" t="s">
        <v>259</v>
      </c>
      <c r="GG15" t="s">
        <v>260</v>
      </c>
      <c r="GH15" t="s">
        <v>261</v>
      </c>
      <c r="GI15" t="s">
        <v>262</v>
      </c>
      <c r="GJ15" t="s">
        <v>263</v>
      </c>
      <c r="GK15" t="s">
        <v>264</v>
      </c>
      <c r="GL15" t="s">
        <v>265</v>
      </c>
      <c r="GM15" t="s">
        <v>266</v>
      </c>
      <c r="GN15" t="s">
        <v>267</v>
      </c>
      <c r="GO15" t="s">
        <v>268</v>
      </c>
      <c r="GP15" t="s">
        <v>269</v>
      </c>
      <c r="GQ15" t="s">
        <v>270</v>
      </c>
      <c r="GR15" t="s">
        <v>271</v>
      </c>
      <c r="GS15" t="s">
        <v>272</v>
      </c>
      <c r="GT15" t="s">
        <v>273</v>
      </c>
      <c r="GU15" t="s">
        <v>274</v>
      </c>
      <c r="GV15" t="s">
        <v>275</v>
      </c>
      <c r="GW15" t="s">
        <v>276</v>
      </c>
      <c r="GX15" t="s">
        <v>277</v>
      </c>
      <c r="GY15" t="s">
        <v>278</v>
      </c>
      <c r="GZ15" t="s">
        <v>279</v>
      </c>
      <c r="HA15" t="s">
        <v>280</v>
      </c>
      <c r="HB15" t="s">
        <v>281</v>
      </c>
      <c r="HC15" t="s">
        <v>282</v>
      </c>
      <c r="HD15" t="s">
        <v>283</v>
      </c>
      <c r="HE15" t="s">
        <v>284</v>
      </c>
      <c r="HF15" t="s">
        <v>285</v>
      </c>
      <c r="HG15" t="s">
        <v>286</v>
      </c>
      <c r="HH15" t="s">
        <v>287</v>
      </c>
      <c r="HI15" t="s">
        <v>288</v>
      </c>
      <c r="HJ15" t="s">
        <v>289</v>
      </c>
      <c r="HK15" t="s">
        <v>290</v>
      </c>
      <c r="HL15" t="s">
        <v>291</v>
      </c>
      <c r="HM15" t="s">
        <v>292</v>
      </c>
      <c r="HN15" t="s">
        <v>293</v>
      </c>
      <c r="HO15" t="s">
        <v>294</v>
      </c>
      <c r="HP15" t="s">
        <v>295</v>
      </c>
      <c r="HQ15" t="s">
        <v>296</v>
      </c>
      <c r="HR15" t="s">
        <v>297</v>
      </c>
      <c r="HS15" t="s">
        <v>298</v>
      </c>
      <c r="HT15" t="s">
        <v>299</v>
      </c>
      <c r="HU15" t="s">
        <v>300</v>
      </c>
      <c r="HV15" t="s">
        <v>301</v>
      </c>
      <c r="HW15" t="s">
        <v>302</v>
      </c>
      <c r="HX15" t="s">
        <v>303</v>
      </c>
      <c r="HY15" t="s">
        <v>304</v>
      </c>
      <c r="HZ15" t="s">
        <v>305</v>
      </c>
      <c r="IA15" t="s">
        <v>306</v>
      </c>
      <c r="IB15" t="s">
        <v>307</v>
      </c>
      <c r="IC15" t="s">
        <v>308</v>
      </c>
      <c r="ID15" t="s">
        <v>309</v>
      </c>
      <c r="IE15" t="s">
        <v>310</v>
      </c>
      <c r="IF15" t="s">
        <v>311</v>
      </c>
      <c r="IG15" t="s">
        <v>312</v>
      </c>
      <c r="IH15" t="s">
        <v>313</v>
      </c>
      <c r="II15" t="s">
        <v>314</v>
      </c>
      <c r="IJ15" t="s">
        <v>315</v>
      </c>
      <c r="IK15" t="s">
        <v>316</v>
      </c>
      <c r="IL15" t="s">
        <v>317</v>
      </c>
      <c r="IM15" t="s">
        <v>318</v>
      </c>
      <c r="IN15" t="s">
        <v>319</v>
      </c>
      <c r="IO15" t="s">
        <v>320</v>
      </c>
      <c r="IP15" t="s">
        <v>321</v>
      </c>
      <c r="IQ15" t="s">
        <v>322</v>
      </c>
      <c r="IR15" t="s">
        <v>323</v>
      </c>
      <c r="IS15" t="s">
        <v>324</v>
      </c>
      <c r="IT15" t="s">
        <v>325</v>
      </c>
      <c r="IU15" t="s">
        <v>326</v>
      </c>
      <c r="IV15" t="s">
        <v>327</v>
      </c>
      <c r="IW15" t="s">
        <v>328</v>
      </c>
      <c r="IX15" t="s">
        <v>329</v>
      </c>
      <c r="IY15" t="s">
        <v>330</v>
      </c>
      <c r="IZ15" t="s">
        <v>331</v>
      </c>
      <c r="JA15" t="s">
        <v>332</v>
      </c>
      <c r="JB15" t="s">
        <v>333</v>
      </c>
      <c r="JC15" t="s">
        <v>334</v>
      </c>
      <c r="JD15" t="s">
        <v>335</v>
      </c>
      <c r="JE15" t="s">
        <v>336</v>
      </c>
      <c r="JF15" t="s">
        <v>337</v>
      </c>
      <c r="JG15" t="s">
        <v>338</v>
      </c>
      <c r="JH15" t="s">
        <v>339</v>
      </c>
      <c r="JI15" t="s">
        <v>340</v>
      </c>
      <c r="JJ15" t="s">
        <v>341</v>
      </c>
      <c r="JK15" t="s">
        <v>342</v>
      </c>
      <c r="JL15" t="s">
        <v>343</v>
      </c>
      <c r="JM15" t="s">
        <v>344</v>
      </c>
      <c r="JN15" t="s">
        <v>345</v>
      </c>
      <c r="JO15" t="s">
        <v>346</v>
      </c>
      <c r="JP15" t="s">
        <v>347</v>
      </c>
      <c r="JQ15" t="s">
        <v>348</v>
      </c>
      <c r="JR15" t="s">
        <v>349</v>
      </c>
      <c r="JS15" t="s">
        <v>350</v>
      </c>
      <c r="JT15" t="s">
        <v>351</v>
      </c>
      <c r="JU15" t="s">
        <v>352</v>
      </c>
      <c r="JV15" t="s">
        <v>353</v>
      </c>
      <c r="JW15" t="s">
        <v>354</v>
      </c>
      <c r="JX15" t="s">
        <v>355</v>
      </c>
      <c r="JY15" t="s">
        <v>356</v>
      </c>
      <c r="JZ15" t="s">
        <v>357</v>
      </c>
      <c r="KA15" t="s">
        <v>358</v>
      </c>
      <c r="KB15" t="s">
        <v>359</v>
      </c>
      <c r="KC15" t="s">
        <v>360</v>
      </c>
      <c r="KD15" t="s">
        <v>361</v>
      </c>
      <c r="KE15" t="s">
        <v>362</v>
      </c>
      <c r="KF15" t="s">
        <v>363</v>
      </c>
      <c r="KG15" t="s">
        <v>364</v>
      </c>
      <c r="KH15" t="s">
        <v>365</v>
      </c>
      <c r="KI15" t="s">
        <v>366</v>
      </c>
      <c r="KJ15" t="s">
        <v>367</v>
      </c>
    </row>
    <row r="16" spans="1:296" x14ac:dyDescent="0.3">
      <c r="B16" t="s">
        <v>368</v>
      </c>
      <c r="C16" t="s">
        <v>368</v>
      </c>
      <c r="F16" t="s">
        <v>368</v>
      </c>
      <c r="H16" t="s">
        <v>368</v>
      </c>
      <c r="I16" t="s">
        <v>369</v>
      </c>
      <c r="J16" t="s">
        <v>370</v>
      </c>
      <c r="K16" t="s">
        <v>371</v>
      </c>
      <c r="L16" t="s">
        <v>372</v>
      </c>
      <c r="M16" t="s">
        <v>372</v>
      </c>
      <c r="N16" t="s">
        <v>201</v>
      </c>
      <c r="O16" t="s">
        <v>201</v>
      </c>
      <c r="P16" t="s">
        <v>369</v>
      </c>
      <c r="Q16" t="s">
        <v>369</v>
      </c>
      <c r="R16" t="s">
        <v>369</v>
      </c>
      <c r="S16" t="s">
        <v>369</v>
      </c>
      <c r="T16" t="s">
        <v>373</v>
      </c>
      <c r="U16" t="s">
        <v>374</v>
      </c>
      <c r="V16" t="s">
        <v>374</v>
      </c>
      <c r="W16" t="s">
        <v>375</v>
      </c>
      <c r="X16" t="s">
        <v>376</v>
      </c>
      <c r="Y16" t="s">
        <v>375</v>
      </c>
      <c r="Z16" t="s">
        <v>375</v>
      </c>
      <c r="AA16" t="s">
        <v>375</v>
      </c>
      <c r="AB16" t="s">
        <v>373</v>
      </c>
      <c r="AC16" t="s">
        <v>373</v>
      </c>
      <c r="AD16" t="s">
        <v>373</v>
      </c>
      <c r="AE16" t="s">
        <v>373</v>
      </c>
      <c r="AF16" t="s">
        <v>371</v>
      </c>
      <c r="AG16" t="s">
        <v>370</v>
      </c>
      <c r="AH16" t="s">
        <v>371</v>
      </c>
      <c r="AI16" t="s">
        <v>372</v>
      </c>
      <c r="AJ16" t="s">
        <v>372</v>
      </c>
      <c r="AK16" t="s">
        <v>377</v>
      </c>
      <c r="AL16" t="s">
        <v>378</v>
      </c>
      <c r="AM16" t="s">
        <v>370</v>
      </c>
      <c r="AN16" t="s">
        <v>379</v>
      </c>
      <c r="AO16" t="s">
        <v>379</v>
      </c>
      <c r="AP16" t="s">
        <v>380</v>
      </c>
      <c r="AQ16" t="s">
        <v>378</v>
      </c>
      <c r="AR16" t="s">
        <v>381</v>
      </c>
      <c r="AS16" t="s">
        <v>376</v>
      </c>
      <c r="AU16" t="s">
        <v>376</v>
      </c>
      <c r="AV16" t="s">
        <v>381</v>
      </c>
      <c r="BB16" t="s">
        <v>371</v>
      </c>
      <c r="BI16" t="s">
        <v>371</v>
      </c>
      <c r="BJ16" t="s">
        <v>371</v>
      </c>
      <c r="BK16" t="s">
        <v>371</v>
      </c>
      <c r="BL16" t="s">
        <v>382</v>
      </c>
      <c r="BZ16" t="s">
        <v>383</v>
      </c>
      <c r="CB16" t="s">
        <v>383</v>
      </c>
      <c r="CC16" t="s">
        <v>371</v>
      </c>
      <c r="CF16" t="s">
        <v>383</v>
      </c>
      <c r="CG16" t="s">
        <v>376</v>
      </c>
      <c r="CJ16" t="s">
        <v>384</v>
      </c>
      <c r="CK16" t="s">
        <v>384</v>
      </c>
      <c r="CM16" t="s">
        <v>385</v>
      </c>
      <c r="CN16" t="s">
        <v>383</v>
      </c>
      <c r="CP16" t="s">
        <v>383</v>
      </c>
      <c r="CQ16" t="s">
        <v>371</v>
      </c>
      <c r="CU16" t="s">
        <v>383</v>
      </c>
      <c r="CW16" t="s">
        <v>386</v>
      </c>
      <c r="CZ16" t="s">
        <v>383</v>
      </c>
      <c r="DA16" t="s">
        <v>383</v>
      </c>
      <c r="DC16" t="s">
        <v>383</v>
      </c>
      <c r="DE16" t="s">
        <v>383</v>
      </c>
      <c r="DG16" t="s">
        <v>371</v>
      </c>
      <c r="DH16" t="s">
        <v>371</v>
      </c>
      <c r="DJ16" t="s">
        <v>387</v>
      </c>
      <c r="DK16" t="s">
        <v>388</v>
      </c>
      <c r="DN16" t="s">
        <v>369</v>
      </c>
      <c r="DP16" t="s">
        <v>368</v>
      </c>
      <c r="DQ16" t="s">
        <v>372</v>
      </c>
      <c r="DR16" t="s">
        <v>372</v>
      </c>
      <c r="DS16" t="s">
        <v>379</v>
      </c>
      <c r="DT16" t="s">
        <v>379</v>
      </c>
      <c r="DU16" t="s">
        <v>372</v>
      </c>
      <c r="DV16" t="s">
        <v>379</v>
      </c>
      <c r="DW16" t="s">
        <v>381</v>
      </c>
      <c r="DX16" t="s">
        <v>375</v>
      </c>
      <c r="DY16" t="s">
        <v>375</v>
      </c>
      <c r="DZ16" t="s">
        <v>374</v>
      </c>
      <c r="EA16" t="s">
        <v>374</v>
      </c>
      <c r="EB16" t="s">
        <v>374</v>
      </c>
      <c r="EC16" t="s">
        <v>374</v>
      </c>
      <c r="ED16" t="s">
        <v>374</v>
      </c>
      <c r="EE16" t="s">
        <v>389</v>
      </c>
      <c r="EF16" t="s">
        <v>371</v>
      </c>
      <c r="EG16" t="s">
        <v>371</v>
      </c>
      <c r="EH16" t="s">
        <v>372</v>
      </c>
      <c r="EI16" t="s">
        <v>372</v>
      </c>
      <c r="EJ16" t="s">
        <v>372</v>
      </c>
      <c r="EK16" t="s">
        <v>379</v>
      </c>
      <c r="EL16" t="s">
        <v>372</v>
      </c>
      <c r="EM16" t="s">
        <v>379</v>
      </c>
      <c r="EN16" t="s">
        <v>375</v>
      </c>
      <c r="EO16" t="s">
        <v>375</v>
      </c>
      <c r="EP16" t="s">
        <v>374</v>
      </c>
      <c r="EQ16" t="s">
        <v>374</v>
      </c>
      <c r="ER16" t="s">
        <v>371</v>
      </c>
      <c r="EW16" t="s">
        <v>371</v>
      </c>
      <c r="EZ16" t="s">
        <v>374</v>
      </c>
      <c r="FA16" t="s">
        <v>374</v>
      </c>
      <c r="FB16" t="s">
        <v>374</v>
      </c>
      <c r="FC16" t="s">
        <v>374</v>
      </c>
      <c r="FD16" t="s">
        <v>374</v>
      </c>
      <c r="FE16" t="s">
        <v>371</v>
      </c>
      <c r="FF16" t="s">
        <v>371</v>
      </c>
      <c r="FG16" t="s">
        <v>371</v>
      </c>
      <c r="FH16" t="s">
        <v>368</v>
      </c>
      <c r="FK16" t="s">
        <v>390</v>
      </c>
      <c r="FL16" t="s">
        <v>390</v>
      </c>
      <c r="FN16" t="s">
        <v>368</v>
      </c>
      <c r="FO16" t="s">
        <v>391</v>
      </c>
      <c r="FQ16" t="s">
        <v>368</v>
      </c>
      <c r="FR16" t="s">
        <v>368</v>
      </c>
      <c r="FT16" t="s">
        <v>392</v>
      </c>
      <c r="FU16" t="s">
        <v>393</v>
      </c>
      <c r="FV16" t="s">
        <v>392</v>
      </c>
      <c r="FW16" t="s">
        <v>393</v>
      </c>
      <c r="FX16" t="s">
        <v>392</v>
      </c>
      <c r="FY16" t="s">
        <v>393</v>
      </c>
      <c r="FZ16" t="s">
        <v>376</v>
      </c>
      <c r="GA16" t="s">
        <v>376</v>
      </c>
      <c r="GB16" t="s">
        <v>372</v>
      </c>
      <c r="GC16" t="s">
        <v>394</v>
      </c>
      <c r="GD16" t="s">
        <v>372</v>
      </c>
      <c r="GG16" t="s">
        <v>395</v>
      </c>
      <c r="GJ16" t="s">
        <v>379</v>
      </c>
      <c r="GK16" t="s">
        <v>396</v>
      </c>
      <c r="GL16" t="s">
        <v>379</v>
      </c>
      <c r="GQ16" t="s">
        <v>397</v>
      </c>
      <c r="GR16" t="s">
        <v>397</v>
      </c>
      <c r="HE16" t="s">
        <v>397</v>
      </c>
      <c r="HF16" t="s">
        <v>397</v>
      </c>
      <c r="HG16" t="s">
        <v>398</v>
      </c>
      <c r="HH16" t="s">
        <v>398</v>
      </c>
      <c r="HI16" t="s">
        <v>374</v>
      </c>
      <c r="HJ16" t="s">
        <v>374</v>
      </c>
      <c r="HK16" t="s">
        <v>376</v>
      </c>
      <c r="HL16" t="s">
        <v>374</v>
      </c>
      <c r="HM16" t="s">
        <v>379</v>
      </c>
      <c r="HN16" t="s">
        <v>376</v>
      </c>
      <c r="HO16" t="s">
        <v>376</v>
      </c>
      <c r="HQ16" t="s">
        <v>397</v>
      </c>
      <c r="HR16" t="s">
        <v>397</v>
      </c>
      <c r="HS16" t="s">
        <v>397</v>
      </c>
      <c r="HT16" t="s">
        <v>397</v>
      </c>
      <c r="HU16" t="s">
        <v>397</v>
      </c>
      <c r="HV16" t="s">
        <v>397</v>
      </c>
      <c r="HW16" t="s">
        <v>397</v>
      </c>
      <c r="HX16" t="s">
        <v>399</v>
      </c>
      <c r="HY16" t="s">
        <v>399</v>
      </c>
      <c r="HZ16" t="s">
        <v>399</v>
      </c>
      <c r="IA16" t="s">
        <v>400</v>
      </c>
      <c r="IB16" t="s">
        <v>397</v>
      </c>
      <c r="IC16" t="s">
        <v>397</v>
      </c>
      <c r="ID16" t="s">
        <v>397</v>
      </c>
      <c r="IE16" t="s">
        <v>397</v>
      </c>
      <c r="IF16" t="s">
        <v>397</v>
      </c>
      <c r="IG16" t="s">
        <v>397</v>
      </c>
      <c r="IH16" t="s">
        <v>397</v>
      </c>
      <c r="II16" t="s">
        <v>397</v>
      </c>
      <c r="IJ16" t="s">
        <v>397</v>
      </c>
      <c r="IK16" t="s">
        <v>397</v>
      </c>
      <c r="IL16" t="s">
        <v>397</v>
      </c>
      <c r="IM16" t="s">
        <v>397</v>
      </c>
      <c r="IT16" t="s">
        <v>397</v>
      </c>
      <c r="IU16" t="s">
        <v>376</v>
      </c>
      <c r="IV16" t="s">
        <v>376</v>
      </c>
      <c r="IW16" t="s">
        <v>392</v>
      </c>
      <c r="IX16" t="s">
        <v>393</v>
      </c>
      <c r="IY16" t="s">
        <v>392</v>
      </c>
      <c r="JC16" t="s">
        <v>393</v>
      </c>
      <c r="JG16" t="s">
        <v>372</v>
      </c>
      <c r="JH16" t="s">
        <v>372</v>
      </c>
      <c r="JI16" t="s">
        <v>379</v>
      </c>
      <c r="JJ16" t="s">
        <v>379</v>
      </c>
      <c r="JK16" t="s">
        <v>401</v>
      </c>
      <c r="JL16" t="s">
        <v>401</v>
      </c>
      <c r="JM16" t="s">
        <v>397</v>
      </c>
      <c r="JN16" t="s">
        <v>397</v>
      </c>
      <c r="JO16" t="s">
        <v>397</v>
      </c>
      <c r="JP16" t="s">
        <v>397</v>
      </c>
      <c r="JQ16" t="s">
        <v>397</v>
      </c>
      <c r="JR16" t="s">
        <v>397</v>
      </c>
      <c r="JS16" t="s">
        <v>374</v>
      </c>
      <c r="JT16" t="s">
        <v>397</v>
      </c>
      <c r="JV16" t="s">
        <v>381</v>
      </c>
      <c r="JW16" t="s">
        <v>381</v>
      </c>
      <c r="JX16" t="s">
        <v>374</v>
      </c>
      <c r="JY16" t="s">
        <v>374</v>
      </c>
      <c r="JZ16" t="s">
        <v>374</v>
      </c>
      <c r="KA16" t="s">
        <v>374</v>
      </c>
      <c r="KB16" t="s">
        <v>374</v>
      </c>
      <c r="KC16" t="s">
        <v>376</v>
      </c>
      <c r="KD16" t="s">
        <v>376</v>
      </c>
      <c r="KE16" t="s">
        <v>376</v>
      </c>
      <c r="KF16" t="s">
        <v>374</v>
      </c>
      <c r="KG16" t="s">
        <v>372</v>
      </c>
      <c r="KH16" t="s">
        <v>379</v>
      </c>
      <c r="KI16" t="s">
        <v>376</v>
      </c>
      <c r="KJ16" t="s">
        <v>376</v>
      </c>
    </row>
    <row r="17" spans="1:296" x14ac:dyDescent="0.3">
      <c r="A17">
        <v>1</v>
      </c>
      <c r="B17">
        <v>1785001508</v>
      </c>
      <c r="C17">
        <v>0</v>
      </c>
      <c r="D17" t="s">
        <v>465</v>
      </c>
      <c r="E17" t="s">
        <v>466</v>
      </c>
      <c r="F17">
        <v>15</v>
      </c>
      <c r="H17">
        <v>1785001500.25</v>
      </c>
      <c r="I17">
        <f t="shared" ref="I17:I29" si="0">(J17)/1000</f>
        <v>3.3438157399957847E-3</v>
      </c>
      <c r="J17">
        <f t="shared" ref="J17:J29" si="1">IF(DO17, AM17, AG17)</f>
        <v>3.3438157399957849</v>
      </c>
      <c r="K17">
        <f t="shared" ref="K17:K29" si="2">IF(DO17, AH17, AF17)</f>
        <v>39.190409597188903</v>
      </c>
      <c r="L17">
        <f t="shared" ref="L17:L29" si="3">DQ17 - IF(AT17&gt;1, K17*DK17*100/(AV17), 0)</f>
        <v>419.95253333333329</v>
      </c>
      <c r="M17">
        <f t="shared" ref="M17:M29" si="4">((S17-I17/2)*L17-K17)/(S17+I17/2)</f>
        <v>126.72646826451137</v>
      </c>
      <c r="N17">
        <f t="shared" ref="N17:N29" si="5">M17*(DX17+DY17)/1000</f>
        <v>12.391839416547176</v>
      </c>
      <c r="O17">
        <f t="shared" ref="O17:O29" si="6">(DQ17 - IF(AT17&gt;1, K17*DK17*100/(AV17), 0))*(DX17+DY17)/1000</f>
        <v>41.064699639358381</v>
      </c>
      <c r="P17">
        <f t="shared" ref="P17:P29" si="7">2/((1/R17-1/Q17)+SIGN(R17)*SQRT((1/R17-1/Q17)*(1/R17-1/Q17) + 4*DL17/((DL17+1)*(DL17+1))*(2*1/R17*1/Q17-1/Q17*1/Q17)))</f>
        <v>0.22698495267321364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2.8894933552422977</v>
      </c>
      <c r="R17">
        <f t="shared" ref="R17:R29" si="9">I17*(1000-(1000*0.61365*EXP(17.502*V17/(240.97+V17))/(DX17+DY17)+DS17)/2)/(1000*0.61365*EXP(17.502*V17/(240.97+V17))/(DX17+DY17)-DS17)</f>
        <v>0.21752384182168566</v>
      </c>
      <c r="S17">
        <f t="shared" ref="S17:S29" si="10">1/((DL17+1)/(P17/1.6)+1/(Q17/1.37)) + DL17/((DL17+1)/(P17/1.6) + DL17/(Q17/1.37))</f>
        <v>0.13676958258437966</v>
      </c>
      <c r="T17">
        <f t="shared" ref="T17:T29" si="11">(DG17*DJ17)</f>
        <v>319.77603909116317</v>
      </c>
      <c r="U17">
        <f t="shared" ref="U17:U29" si="12">(DZ17+(T17+2*0.95*0.0000000567*(((DZ17+$B$7)+273)^4-(DZ17+273)^4)-44100*I17)/(1.84*29.3*Q17+8*0.95*0.0000000567*(DZ17+273)^3))</f>
        <v>29.427194530506881</v>
      </c>
      <c r="V17">
        <f t="shared" ref="V17:V29" si="13">($C$7*EA17+$D$7*EB17+$E$7*U17)</f>
        <v>28.78218</v>
      </c>
      <c r="W17">
        <f t="shared" ref="W17:W29" si="14">0.61365*EXP(17.502*V17/(240.97+V17))</f>
        <v>3.9713590032246344</v>
      </c>
      <c r="X17">
        <f t="shared" ref="X17:X29" si="15">(Y17/Z17*100)</f>
        <v>64.832295781578679</v>
      </c>
      <c r="Y17">
        <f t="shared" ref="Y17:Y29" si="16">DS17*(DX17+DY17)/1000</f>
        <v>2.5180819049302756</v>
      </c>
      <c r="Z17">
        <f t="shared" ref="Z17:Z29" si="17">0.61365*EXP(17.502*DZ17/(240.97+DZ17))</f>
        <v>3.883993115736244</v>
      </c>
      <c r="AA17">
        <f t="shared" ref="AA17:AA29" si="18">(W17-DS17*(DX17+DY17)/1000)</f>
        <v>1.4532770982943588</v>
      </c>
      <c r="AB17">
        <f t="shared" ref="AB17:AB29" si="19">(-I17*44100)</f>
        <v>-147.46227413381411</v>
      </c>
      <c r="AC17">
        <f t="shared" ref="AC17:AC29" si="20">2*29.3*Q17*0.92*(DZ17-V17)</f>
        <v>-59.702577941738255</v>
      </c>
      <c r="AD17">
        <f t="shared" ref="AD17:AD29" si="21">2*0.95*0.0000000567*(((DZ17+$B$7)+273)^4-(V17+273)^4)</f>
        <v>-4.5303939594669735</v>
      </c>
      <c r="AE17">
        <f t="shared" ref="AE17:AE29" si="22">T17+AD17+AB17+AC17</f>
        <v>108.08079305614386</v>
      </c>
      <c r="AF17">
        <f t="shared" ref="AF17:AF29" si="23">DW17*AT17*(DR17-DQ17*(1000-AT17*DT17)/(1000-AT17*DS17))/(100*DK17)</f>
        <v>39.190409597188903</v>
      </c>
      <c r="AG17">
        <f t="shared" ref="AG17:AG29" si="24">1000*DW17*AT17*(DS17-DT17)/(100*DK17*(1000-AT17*DS17))</f>
        <v>3.3438157399957849</v>
      </c>
      <c r="AH17">
        <f t="shared" ref="AH17:AH29" si="25">(AI17 - AJ17 - DX17*1000/(8.314*(DZ17+273.15)) * AL17/DW17 * AK17) * DW17/(100*DK17) * (1000 - DT17)/1000</f>
        <v>38.907026031195336</v>
      </c>
      <c r="AI17">
        <v>479.14660155119509</v>
      </c>
      <c r="AJ17">
        <v>431.1585333333332</v>
      </c>
      <c r="AK17">
        <v>4.9540905471310737E-2</v>
      </c>
      <c r="AL17">
        <v>67.070243605429695</v>
      </c>
      <c r="AM17">
        <f t="shared" ref="AM17:AM29" si="26">(AO17 - AN17 + DX17*1000/(8.314*(DZ17+273.15)) * AQ17/DW17 * AP17) * DW17/(100*DK17) * 1000/(1000 - AO17)</f>
        <v>3.3522383347048637</v>
      </c>
      <c r="AN17">
        <v>21.84253418787879</v>
      </c>
      <c r="AO17">
        <v>25.761087878787869</v>
      </c>
      <c r="AP17">
        <v>5.6163715072998458E-5</v>
      </c>
      <c r="AQ17">
        <v>78.55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51438.935632135457</v>
      </c>
      <c r="AW17" t="s">
        <v>463</v>
      </c>
      <c r="AX17">
        <v>13221.2</v>
      </c>
      <c r="AY17">
        <v>587.47941176470601</v>
      </c>
      <c r="AZ17">
        <v>2389.06</v>
      </c>
      <c r="BA17">
        <f t="shared" ref="BA17:BA29" si="30">1-AY17/AZ17</f>
        <v>0.75409599936179661</v>
      </c>
      <c r="BB17">
        <v>-2.8371633977392272</v>
      </c>
      <c r="BC17" t="s">
        <v>467</v>
      </c>
      <c r="BD17">
        <v>13159.9</v>
      </c>
      <c r="BE17">
        <v>855.60011764705894</v>
      </c>
      <c r="BF17">
        <v>1058.5999999999999</v>
      </c>
      <c r="BG17">
        <f t="shared" ref="BG17:BG29" si="31">1-BE17/BF17</f>
        <v>0.19176259432546849</v>
      </c>
      <c r="BH17">
        <v>0.5</v>
      </c>
      <c r="BI17">
        <f t="shared" ref="BI17:BI29" si="32">DH17</f>
        <v>1680.2926598399806</v>
      </c>
      <c r="BJ17">
        <f t="shared" ref="BJ17:BJ29" si="33">K17</f>
        <v>39.190409597188903</v>
      </c>
      <c r="BK17">
        <f t="shared" ref="BK17:BK29" si="34">BG17*BH17*BI17</f>
        <v>161.10863983847833</v>
      </c>
      <c r="BL17">
        <f t="shared" ref="BL17:BL29" si="35">(BJ17-BB17)/BI17</f>
        <v>2.5012055339770717E-2</v>
      </c>
      <c r="BM17">
        <f t="shared" ref="BM17:BM29" si="36">(AZ17-BF17)/BF17</f>
        <v>1.256810882297374</v>
      </c>
      <c r="BN17">
        <f t="shared" ref="BN17:BN29" si="37">AY17/(BA17+AY17/BF17)</f>
        <v>448.78136575551071</v>
      </c>
      <c r="BO17" t="s">
        <v>402</v>
      </c>
      <c r="BP17">
        <v>0</v>
      </c>
      <c r="BQ17">
        <f t="shared" ref="BQ17:BQ29" si="38">IF(BP17&lt;&gt;0, BP17, BN17)</f>
        <v>448.78136575551071</v>
      </c>
      <c r="BR17">
        <f t="shared" ref="BR17:BR29" si="39">1-BQ17/BF17</f>
        <v>0.57606143420034883</v>
      </c>
      <c r="BS17">
        <f t="shared" ref="BS17:BS29" si="40">(BF17-BE17)/(BF17-BQ17)</f>
        <v>0.33288566625131044</v>
      </c>
      <c r="BT17">
        <f t="shared" ref="BT17:BT29" si="41">(AZ17-BF17)/(AZ17-BQ17)</f>
        <v>0.68570563862239198</v>
      </c>
      <c r="BU17">
        <f t="shared" ref="BU17:BU29" si="42">(BF17-BE17)/(BF17-AY17)</f>
        <v>0.43088730873199671</v>
      </c>
      <c r="BV17">
        <f t="shared" ref="BV17:BV29" si="43">(AZ17-BF17)/(AZ17-AY17)</f>
        <v>0.7384959677564179</v>
      </c>
      <c r="BW17">
        <f t="shared" ref="BW17:BW29" si="44">(BS17*BQ17/BE17)</f>
        <v>0.1746059647017508</v>
      </c>
      <c r="BX17">
        <f t="shared" ref="BX17:BX29" si="45">(1-BW17)</f>
        <v>0.82539403529824917</v>
      </c>
      <c r="DG17">
        <f t="shared" ref="DG17:DG29" si="46">$B$11*EF17+$C$11*EG17+$F$11*ER17*(1-EU17)</f>
        <v>1999.9923333333329</v>
      </c>
      <c r="DH17">
        <f t="shared" ref="DH17:DH29" si="47">DG17*DI17</f>
        <v>1680.2926598399806</v>
      </c>
      <c r="DI17">
        <f t="shared" ref="DI17:DI29" si="48">($B$11*$D$9+$C$11*$D$9+$F$11*((FE17+EW17)/MAX(FE17+EW17+FF17, 0.1)*$I$9+FF17/MAX(FE17+EW17+FF17, 0.1)*$J$9))/($B$11+$C$11+$F$11)</f>
        <v>0.84014955049326734</v>
      </c>
      <c r="DJ17">
        <f t="shared" ref="DJ17:DJ29" si="49">($B$11*$K$9+$C$11*$K$9+$F$11*((FE17+EW17)/MAX(FE17+EW17+FF17, 0.1)*$P$9+FF17/MAX(FE17+EW17+FF17, 0.1)*$Q$9))/($B$11+$C$11+$F$11)</f>
        <v>0.15988863245200602</v>
      </c>
      <c r="DK17">
        <v>6</v>
      </c>
      <c r="DL17">
        <v>0.5</v>
      </c>
      <c r="DM17" t="s">
        <v>403</v>
      </c>
      <c r="DN17">
        <v>2</v>
      </c>
      <c r="DO17" t="b">
        <v>0</v>
      </c>
      <c r="DP17">
        <v>1785001500.25</v>
      </c>
      <c r="DQ17">
        <v>419.95253333333329</v>
      </c>
      <c r="DR17">
        <v>468.66413333333333</v>
      </c>
      <c r="DS17">
        <v>25.751433333333338</v>
      </c>
      <c r="DT17">
        <v>21.842343333333339</v>
      </c>
      <c r="DU17">
        <v>429.35286666666673</v>
      </c>
      <c r="DV17">
        <v>26.936133333333331</v>
      </c>
      <c r="DW17">
        <v>500.02036666666669</v>
      </c>
      <c r="DX17">
        <v>97.724296666666703</v>
      </c>
      <c r="DY17">
        <v>5.984887333333333E-2</v>
      </c>
      <c r="DZ17">
        <v>28.398926666666661</v>
      </c>
      <c r="EA17">
        <v>28.78218</v>
      </c>
      <c r="EB17">
        <v>999.9000000000002</v>
      </c>
      <c r="EC17">
        <v>0</v>
      </c>
      <c r="ED17">
        <v>0</v>
      </c>
      <c r="EE17">
        <v>10001</v>
      </c>
      <c r="EF17">
        <v>0</v>
      </c>
      <c r="EG17">
        <v>169.24379999999999</v>
      </c>
      <c r="EH17">
        <v>-48.711616666666671</v>
      </c>
      <c r="EI17">
        <v>431.05273333333332</v>
      </c>
      <c r="EJ17">
        <v>479.12950000000001</v>
      </c>
      <c r="EK17">
        <v>3.909083666666668</v>
      </c>
      <c r="EL17">
        <v>468.66413333333333</v>
      </c>
      <c r="EM17">
        <v>21.842343333333339</v>
      </c>
      <c r="EN17">
        <v>2.5165403333333329</v>
      </c>
      <c r="EO17">
        <v>2.134526666666666</v>
      </c>
      <c r="EP17">
        <v>21.13387333333333</v>
      </c>
      <c r="EQ17">
        <v>18.479203333333331</v>
      </c>
      <c r="ER17">
        <v>1999.9923333333329</v>
      </c>
      <c r="ES17">
        <v>0.99500099999999969</v>
      </c>
      <c r="ET17">
        <v>4.9986506666666649E-3</v>
      </c>
      <c r="EU17">
        <v>0</v>
      </c>
      <c r="EV17">
        <v>855.75779999999986</v>
      </c>
      <c r="EW17">
        <v>5.0010700000000003</v>
      </c>
      <c r="EX17">
        <v>21515.86</v>
      </c>
      <c r="EY17">
        <v>18241.593333333331</v>
      </c>
      <c r="EZ17">
        <v>47.462200000000003</v>
      </c>
      <c r="FA17">
        <v>49.125</v>
      </c>
      <c r="FB17">
        <v>48.207999999999991</v>
      </c>
      <c r="FC17">
        <v>48.403933333333313</v>
      </c>
      <c r="FD17">
        <v>48.186999999999983</v>
      </c>
      <c r="FE17">
        <v>1985.0223333333331</v>
      </c>
      <c r="FF17">
        <v>9.9700000000000042</v>
      </c>
      <c r="FG17">
        <v>0</v>
      </c>
      <c r="FH17">
        <v>2036.599999904633</v>
      </c>
      <c r="FI17">
        <v>0</v>
      </c>
      <c r="FJ17">
        <v>855.60011764705894</v>
      </c>
      <c r="FK17">
        <v>-3.8210784594834499</v>
      </c>
      <c r="FL17">
        <v>-35.808823491417257</v>
      </c>
      <c r="FM17">
        <v>21514.435294117651</v>
      </c>
      <c r="FN17">
        <v>10</v>
      </c>
      <c r="FO17">
        <v>1785001381</v>
      </c>
      <c r="FP17" t="s">
        <v>468</v>
      </c>
      <c r="FQ17">
        <v>1785001381</v>
      </c>
      <c r="FR17">
        <v>1785001380</v>
      </c>
      <c r="FS17">
        <v>15</v>
      </c>
      <c r="FT17">
        <v>-0.27100000000000002</v>
      </c>
      <c r="FU17">
        <v>7.1999999999999995E-2</v>
      </c>
      <c r="FV17">
        <v>-9.5779999999999994</v>
      </c>
      <c r="FW17">
        <v>-1.296</v>
      </c>
      <c r="FX17">
        <v>468</v>
      </c>
      <c r="FY17">
        <v>22</v>
      </c>
      <c r="FZ17">
        <v>0.24</v>
      </c>
      <c r="GA17">
        <v>0.08</v>
      </c>
      <c r="GB17">
        <v>419.94645161290322</v>
      </c>
      <c r="GC17">
        <v>-5.6564516128991903E-2</v>
      </c>
      <c r="GD17">
        <v>6.5225088538214251E-2</v>
      </c>
      <c r="GE17">
        <v>-1</v>
      </c>
      <c r="GF17">
        <v>855.87997058823521</v>
      </c>
      <c r="GG17">
        <v>-2.7167150530795361</v>
      </c>
      <c r="GH17">
        <v>0.33854528633500958</v>
      </c>
      <c r="GI17">
        <v>1</v>
      </c>
      <c r="GJ17">
        <v>3.9071780487804881</v>
      </c>
      <c r="GK17">
        <v>3.6323623693389269E-2</v>
      </c>
      <c r="GL17">
        <v>4.6865730469554832E-3</v>
      </c>
      <c r="GM17">
        <v>1</v>
      </c>
      <c r="GN17">
        <v>2</v>
      </c>
      <c r="GO17">
        <v>2</v>
      </c>
      <c r="GP17" t="s">
        <v>404</v>
      </c>
      <c r="GQ17">
        <v>3.1307299999999998</v>
      </c>
      <c r="GR17">
        <v>2.7362899999999999</v>
      </c>
      <c r="GS17">
        <v>9.0571700000000005E-2</v>
      </c>
      <c r="GT17">
        <v>9.7473500000000005E-2</v>
      </c>
      <c r="GU17">
        <v>0.11960800000000001</v>
      </c>
      <c r="GV17">
        <v>0.103477</v>
      </c>
      <c r="GW17">
        <v>22551.200000000001</v>
      </c>
      <c r="GX17">
        <v>29904.799999999999</v>
      </c>
      <c r="GY17">
        <v>26928.400000000001</v>
      </c>
      <c r="GZ17">
        <v>34116.6</v>
      </c>
      <c r="HA17">
        <v>34772.400000000001</v>
      </c>
      <c r="HB17">
        <v>38506.800000000003</v>
      </c>
      <c r="HC17">
        <v>39786.5</v>
      </c>
      <c r="HD17">
        <v>43017.9</v>
      </c>
      <c r="HE17">
        <v>1.9088000000000001</v>
      </c>
      <c r="HF17">
        <v>1.6224000000000001</v>
      </c>
      <c r="HG17">
        <v>-9.8377500000000007E-2</v>
      </c>
      <c r="HH17">
        <v>0</v>
      </c>
      <c r="HI17">
        <v>30.383299999999998</v>
      </c>
      <c r="HJ17">
        <v>999.9</v>
      </c>
      <c r="HK17">
        <v>43.1</v>
      </c>
      <c r="HL17">
        <v>45.3</v>
      </c>
      <c r="HM17">
        <v>43.1693</v>
      </c>
      <c r="HN17">
        <v>61.486199999999997</v>
      </c>
      <c r="HO17">
        <v>4.41106</v>
      </c>
      <c r="HP17">
        <v>1</v>
      </c>
      <c r="HQ17">
        <v>1.1483300000000001</v>
      </c>
      <c r="HR17">
        <v>9.2810500000000005</v>
      </c>
      <c r="HS17">
        <v>19.986499999999999</v>
      </c>
      <c r="HT17">
        <v>5.2100999999999997</v>
      </c>
      <c r="HU17">
        <v>11.9201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1.8675200000000001</v>
      </c>
      <c r="IC17">
        <v>1.8632500000000001</v>
      </c>
      <c r="ID17">
        <v>1.8627899999999999</v>
      </c>
      <c r="IE17">
        <v>1.8623400000000001</v>
      </c>
      <c r="IF17">
        <v>1.8623400000000001</v>
      </c>
      <c r="IG17">
        <v>1.8627899999999999</v>
      </c>
      <c r="IH17">
        <v>1.86374</v>
      </c>
      <c r="II17">
        <v>1.8616900000000001</v>
      </c>
      <c r="IJ17">
        <v>0</v>
      </c>
      <c r="IK17">
        <v>0</v>
      </c>
      <c r="IL17">
        <v>0</v>
      </c>
      <c r="IM17">
        <v>4.5</v>
      </c>
      <c r="IN17" t="s">
        <v>405</v>
      </c>
      <c r="IO17" t="s">
        <v>406</v>
      </c>
      <c r="IP17" t="s">
        <v>407</v>
      </c>
      <c r="IQ17" t="s">
        <v>408</v>
      </c>
      <c r="IR17" t="s">
        <v>408</v>
      </c>
      <c r="IS17" t="s">
        <v>407</v>
      </c>
      <c r="IT17">
        <v>0</v>
      </c>
      <c r="IU17">
        <v>100</v>
      </c>
      <c r="IV17">
        <v>100</v>
      </c>
      <c r="IW17">
        <v>-9.4</v>
      </c>
      <c r="IX17">
        <v>-1.1845000000000001</v>
      </c>
      <c r="IY17">
        <v>-7.3999554476069056</v>
      </c>
      <c r="IZ17">
        <v>-5.6215304933332991E-3</v>
      </c>
      <c r="JA17">
        <v>2.3979931213773931E-6</v>
      </c>
      <c r="JB17">
        <v>-3.6297174575716598E-10</v>
      </c>
      <c r="JC17">
        <v>-1.660219053983367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2.1</v>
      </c>
      <c r="JM17">
        <v>1.2048300000000001</v>
      </c>
      <c r="JN17">
        <v>2.5891099999999998</v>
      </c>
      <c r="JO17">
        <v>1.50024</v>
      </c>
      <c r="JP17">
        <v>2.2692899999999998</v>
      </c>
      <c r="JQ17">
        <v>1.4477500000000001</v>
      </c>
      <c r="JR17">
        <v>2.4072300000000002</v>
      </c>
      <c r="JS17">
        <v>49.515799999999999</v>
      </c>
      <c r="JT17">
        <v>23.921099999999999</v>
      </c>
      <c r="JU17">
        <v>18</v>
      </c>
      <c r="JV17">
        <v>553.77700000000004</v>
      </c>
      <c r="JW17">
        <v>378.05</v>
      </c>
      <c r="JX17">
        <v>23.668199999999999</v>
      </c>
      <c r="JY17">
        <v>40.393599999999999</v>
      </c>
      <c r="JZ17">
        <v>30.0001</v>
      </c>
      <c r="KA17">
        <v>40.429600000000001</v>
      </c>
      <c r="KB17">
        <v>40.432099999999998</v>
      </c>
      <c r="KC17">
        <v>24.089500000000001</v>
      </c>
      <c r="KD17">
        <v>49.524500000000003</v>
      </c>
      <c r="KE17">
        <v>0</v>
      </c>
      <c r="KF17">
        <v>21.638500000000001</v>
      </c>
      <c r="KG17">
        <v>468.68099999999998</v>
      </c>
      <c r="KH17">
        <v>21.835599999999999</v>
      </c>
      <c r="KI17">
        <v>99.415400000000005</v>
      </c>
      <c r="KJ17">
        <v>97.051599999999993</v>
      </c>
    </row>
    <row r="18" spans="1:296" x14ac:dyDescent="0.3">
      <c r="A18">
        <v>2</v>
      </c>
      <c r="B18">
        <v>1785001689.5</v>
      </c>
      <c r="C18">
        <v>181.5</v>
      </c>
      <c r="D18" t="s">
        <v>469</v>
      </c>
      <c r="E18" t="s">
        <v>470</v>
      </c>
      <c r="F18">
        <v>15</v>
      </c>
      <c r="H18">
        <v>1785001681.5</v>
      </c>
      <c r="I18">
        <f t="shared" si="0"/>
        <v>3.0918471469718275E-3</v>
      </c>
      <c r="J18">
        <f t="shared" si="1"/>
        <v>3.0918471469718276</v>
      </c>
      <c r="K18">
        <f t="shared" si="2"/>
        <v>37.958775098502706</v>
      </c>
      <c r="L18">
        <f t="shared" si="3"/>
        <v>420.11738709677422</v>
      </c>
      <c r="M18">
        <f t="shared" si="4"/>
        <v>106.07625177111071</v>
      </c>
      <c r="N18">
        <f t="shared" si="5"/>
        <v>10.37262486453192</v>
      </c>
      <c r="O18">
        <f t="shared" si="6"/>
        <v>41.08101467258841</v>
      </c>
      <c r="P18">
        <f t="shared" si="7"/>
        <v>0.20416413369083639</v>
      </c>
      <c r="Q18">
        <f t="shared" si="8"/>
        <v>2.8884779877432774</v>
      </c>
      <c r="R18">
        <f t="shared" si="9"/>
        <v>0.19647256325012499</v>
      </c>
      <c r="S18">
        <f t="shared" si="10"/>
        <v>0.12346226620547575</v>
      </c>
      <c r="T18">
        <f t="shared" si="11"/>
        <v>271.90838881826505</v>
      </c>
      <c r="U18">
        <f t="shared" si="12"/>
        <v>29.503746280053562</v>
      </c>
      <c r="V18">
        <f t="shared" si="13"/>
        <v>29.082583870967738</v>
      </c>
      <c r="W18">
        <f t="shared" si="14"/>
        <v>4.0410319325478472</v>
      </c>
      <c r="X18">
        <f t="shared" si="15"/>
        <v>64.640179831780017</v>
      </c>
      <c r="Y18">
        <f t="shared" si="16"/>
        <v>2.5541093982084306</v>
      </c>
      <c r="Z18">
        <f t="shared" si="17"/>
        <v>3.9512721110232985</v>
      </c>
      <c r="AA18">
        <f t="shared" si="18"/>
        <v>1.4869225343394166</v>
      </c>
      <c r="AB18">
        <f t="shared" si="19"/>
        <v>-136.35045918145758</v>
      </c>
      <c r="AC18">
        <f t="shared" si="20"/>
        <v>-60.399668567229554</v>
      </c>
      <c r="AD18">
        <f t="shared" si="21"/>
        <v>-4.5985111429852674</v>
      </c>
      <c r="AE18">
        <f t="shared" si="22"/>
        <v>70.559749926592644</v>
      </c>
      <c r="AF18">
        <f t="shared" si="23"/>
        <v>37.958775098502706</v>
      </c>
      <c r="AG18">
        <f t="shared" si="24"/>
        <v>3.0918471469718276</v>
      </c>
      <c r="AH18">
        <f t="shared" si="25"/>
        <v>37.939710376889714</v>
      </c>
      <c r="AI18">
        <v>477.89849236124508</v>
      </c>
      <c r="AJ18">
        <v>431.35049696969708</v>
      </c>
      <c r="AK18">
        <v>-5.4040209026144674E-3</v>
      </c>
      <c r="AL18">
        <v>67.00826365870229</v>
      </c>
      <c r="AM18">
        <f t="shared" si="26"/>
        <v>3.1137949547406518</v>
      </c>
      <c r="AN18">
        <v>22.562543129392051</v>
      </c>
      <c r="AO18">
        <v>26.162715151515162</v>
      </c>
      <c r="AP18">
        <v>6.3480343183658543E-3</v>
      </c>
      <c r="AQ18">
        <v>78.167112175948773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51359.761899348123</v>
      </c>
      <c r="AW18" t="s">
        <v>463</v>
      </c>
      <c r="AX18">
        <v>13221.2</v>
      </c>
      <c r="AY18">
        <v>587.47941176470601</v>
      </c>
      <c r="AZ18">
        <v>2389.06</v>
      </c>
      <c r="BA18">
        <f t="shared" si="30"/>
        <v>0.75409599936179661</v>
      </c>
      <c r="BB18">
        <v>-2.8371633977392272</v>
      </c>
      <c r="BC18" t="s">
        <v>471</v>
      </c>
      <c r="BD18">
        <v>13153.5</v>
      </c>
      <c r="BE18">
        <v>852.14370588235295</v>
      </c>
      <c r="BF18">
        <v>1097.57</v>
      </c>
      <c r="BG18">
        <f t="shared" si="31"/>
        <v>0.22360878496829084</v>
      </c>
      <c r="BH18">
        <v>0.5</v>
      </c>
      <c r="BI18">
        <f t="shared" si="32"/>
        <v>1428.3021774589035</v>
      </c>
      <c r="BJ18">
        <f t="shared" si="33"/>
        <v>37.958775098502706</v>
      </c>
      <c r="BK18">
        <f t="shared" si="34"/>
        <v>159.69045723457478</v>
      </c>
      <c r="BL18">
        <f t="shared" si="35"/>
        <v>2.8562540294394916E-2</v>
      </c>
      <c r="BM18">
        <f t="shared" si="36"/>
        <v>1.1766812139544631</v>
      </c>
      <c r="BN18">
        <f t="shared" si="37"/>
        <v>455.63976436588564</v>
      </c>
      <c r="BO18" t="s">
        <v>402</v>
      </c>
      <c r="BP18">
        <v>0</v>
      </c>
      <c r="BQ18">
        <f t="shared" si="38"/>
        <v>455.63976436588564</v>
      </c>
      <c r="BR18">
        <f t="shared" si="39"/>
        <v>0.58486496135473298</v>
      </c>
      <c r="BS18">
        <f t="shared" si="40"/>
        <v>0.3823254934786004</v>
      </c>
      <c r="BT18">
        <f t="shared" si="41"/>
        <v>0.6679820435294157</v>
      </c>
      <c r="BU18">
        <f t="shared" si="42"/>
        <v>0.4811425652190961</v>
      </c>
      <c r="BV18">
        <f t="shared" si="43"/>
        <v>0.71686496204150163</v>
      </c>
      <c r="BW18">
        <f t="shared" si="44"/>
        <v>0.20442877950882954</v>
      </c>
      <c r="BX18">
        <f t="shared" si="45"/>
        <v>0.79557122049117046</v>
      </c>
      <c r="DG18">
        <f t="shared" si="46"/>
        <v>1699.996451612903</v>
      </c>
      <c r="DH18">
        <f t="shared" si="47"/>
        <v>1428.3021774589035</v>
      </c>
      <c r="DI18">
        <f t="shared" si="48"/>
        <v>0.84017950514177575</v>
      </c>
      <c r="DJ18">
        <f t="shared" si="49"/>
        <v>0.15994644492362731</v>
      </c>
      <c r="DK18">
        <v>6</v>
      </c>
      <c r="DL18">
        <v>0.5</v>
      </c>
      <c r="DM18" t="s">
        <v>403</v>
      </c>
      <c r="DN18">
        <v>2</v>
      </c>
      <c r="DO18" t="b">
        <v>0</v>
      </c>
      <c r="DP18">
        <v>1785001681.5</v>
      </c>
      <c r="DQ18">
        <v>420.11738709677422</v>
      </c>
      <c r="DR18">
        <v>467.22693548387099</v>
      </c>
      <c r="DS18">
        <v>26.119748387096781</v>
      </c>
      <c r="DT18">
        <v>22.506419354838709</v>
      </c>
      <c r="DU18">
        <v>429.64309677419351</v>
      </c>
      <c r="DV18">
        <v>27.30428387096774</v>
      </c>
      <c r="DW18">
        <v>499.99690322580642</v>
      </c>
      <c r="DX18">
        <v>97.724364516129057</v>
      </c>
      <c r="DY18">
        <v>6.0245058064516133E-2</v>
      </c>
      <c r="DZ18">
        <v>28.694719354838711</v>
      </c>
      <c r="EA18">
        <v>29.082583870967738</v>
      </c>
      <c r="EB18">
        <v>999.90000000000032</v>
      </c>
      <c r="EC18">
        <v>0</v>
      </c>
      <c r="ED18">
        <v>0</v>
      </c>
      <c r="EE18">
        <v>9995.1612903225814</v>
      </c>
      <c r="EF18">
        <v>0</v>
      </c>
      <c r="EG18">
        <v>171.39825806451611</v>
      </c>
      <c r="EH18">
        <v>-47.109541935483882</v>
      </c>
      <c r="EI18">
        <v>431.38499999999999</v>
      </c>
      <c r="EJ18">
        <v>477.98470967741929</v>
      </c>
      <c r="EK18">
        <v>3.6133345161290329</v>
      </c>
      <c r="EL18">
        <v>467.22693548387099</v>
      </c>
      <c r="EM18">
        <v>22.506419354838709</v>
      </c>
      <c r="EN18">
        <v>2.552536451612903</v>
      </c>
      <c r="EO18">
        <v>2.1994258064516128</v>
      </c>
      <c r="EP18">
        <v>21.365406451612898</v>
      </c>
      <c r="EQ18">
        <v>18.95800645161291</v>
      </c>
      <c r="ER18">
        <v>1699.996451612903</v>
      </c>
      <c r="ES18">
        <v>0.99399870967741932</v>
      </c>
      <c r="ET18">
        <v>6.0009509677419349E-3</v>
      </c>
      <c r="EU18">
        <v>0</v>
      </c>
      <c r="EV18">
        <v>852.30058064516129</v>
      </c>
      <c r="EW18">
        <v>5.0010700000000003</v>
      </c>
      <c r="EX18">
        <v>18784.83870967742</v>
      </c>
      <c r="EY18">
        <v>15492.470967741931</v>
      </c>
      <c r="EZ18">
        <v>47.436999999999969</v>
      </c>
      <c r="FA18">
        <v>49.406999999999989</v>
      </c>
      <c r="FB18">
        <v>48.375</v>
      </c>
      <c r="FC18">
        <v>48.75</v>
      </c>
      <c r="FD18">
        <v>48.311999999999969</v>
      </c>
      <c r="FE18">
        <v>1684.823225806452</v>
      </c>
      <c r="FF18">
        <v>10.171935483870969</v>
      </c>
      <c r="FG18">
        <v>0</v>
      </c>
      <c r="FH18">
        <v>180.70000004768369</v>
      </c>
      <c r="FI18">
        <v>0</v>
      </c>
      <c r="FJ18">
        <v>852.14370588235295</v>
      </c>
      <c r="FK18">
        <v>-2.5899509800965621</v>
      </c>
      <c r="FL18">
        <v>-83.259803928839943</v>
      </c>
      <c r="FM18">
        <v>18785.73529411765</v>
      </c>
      <c r="FN18">
        <v>10</v>
      </c>
      <c r="FO18">
        <v>1785001577</v>
      </c>
      <c r="FP18" t="s">
        <v>472</v>
      </c>
      <c r="FQ18">
        <v>1785001574.5</v>
      </c>
      <c r="FR18">
        <v>1785001577</v>
      </c>
      <c r="FS18">
        <v>16</v>
      </c>
      <c r="FT18">
        <v>-0.124</v>
      </c>
      <c r="FU18">
        <v>-1.0999999999999999E-2</v>
      </c>
      <c r="FV18">
        <v>-9.702</v>
      </c>
      <c r="FW18">
        <v>-1.2969999999999999</v>
      </c>
      <c r="FX18">
        <v>468</v>
      </c>
      <c r="FY18">
        <v>22</v>
      </c>
      <c r="FZ18">
        <v>0.17</v>
      </c>
      <c r="GA18">
        <v>0.08</v>
      </c>
      <c r="GB18">
        <v>420.11883333333333</v>
      </c>
      <c r="GC18">
        <v>9.186206896560721E-2</v>
      </c>
      <c r="GD18">
        <v>6.2020471530691762E-2</v>
      </c>
      <c r="GE18">
        <v>-1</v>
      </c>
      <c r="GF18">
        <v>852.4188529411764</v>
      </c>
      <c r="GG18">
        <v>-3.0174331564481571</v>
      </c>
      <c r="GH18">
        <v>0.36410285653700192</v>
      </c>
      <c r="GI18">
        <v>1</v>
      </c>
      <c r="GJ18">
        <v>3.65876775</v>
      </c>
      <c r="GK18">
        <v>-0.84852416510318385</v>
      </c>
      <c r="GL18">
        <v>9.8052262301476248E-2</v>
      </c>
      <c r="GM18">
        <v>0</v>
      </c>
      <c r="GN18">
        <v>1</v>
      </c>
      <c r="GO18">
        <v>2</v>
      </c>
      <c r="GP18" t="s">
        <v>409</v>
      </c>
      <c r="GQ18">
        <v>3.1311800000000001</v>
      </c>
      <c r="GR18">
        <v>2.7368000000000001</v>
      </c>
      <c r="GS18">
        <v>9.0564000000000006E-2</v>
      </c>
      <c r="GT18">
        <v>9.7177600000000003E-2</v>
      </c>
      <c r="GU18">
        <v>0.120848</v>
      </c>
      <c r="GV18">
        <v>0.105846</v>
      </c>
      <c r="GW18">
        <v>22547.3</v>
      </c>
      <c r="GX18">
        <v>29907.8</v>
      </c>
      <c r="GY18">
        <v>26923.9</v>
      </c>
      <c r="GZ18">
        <v>34109.5</v>
      </c>
      <c r="HA18">
        <v>34720.300000000003</v>
      </c>
      <c r="HB18">
        <v>38398.199999999997</v>
      </c>
      <c r="HC18">
        <v>39781.5</v>
      </c>
      <c r="HD18">
        <v>43009.4</v>
      </c>
      <c r="HE18">
        <v>1.9077999999999999</v>
      </c>
      <c r="HF18">
        <v>1.6224000000000001</v>
      </c>
      <c r="HG18">
        <v>-9.81987E-2</v>
      </c>
      <c r="HH18">
        <v>0</v>
      </c>
      <c r="HI18">
        <v>30.6753</v>
      </c>
      <c r="HJ18">
        <v>999.9</v>
      </c>
      <c r="HK18">
        <v>43</v>
      </c>
      <c r="HL18">
        <v>45.4</v>
      </c>
      <c r="HM18">
        <v>43.2928</v>
      </c>
      <c r="HN18">
        <v>61.446199999999997</v>
      </c>
      <c r="HO18">
        <v>4.5352600000000001</v>
      </c>
      <c r="HP18">
        <v>1</v>
      </c>
      <c r="HQ18">
        <v>1.15726</v>
      </c>
      <c r="HR18">
        <v>9.2810500000000005</v>
      </c>
      <c r="HS18">
        <v>19.989000000000001</v>
      </c>
      <c r="HT18">
        <v>5.2100999999999997</v>
      </c>
      <c r="HU18">
        <v>11.9201</v>
      </c>
      <c r="HV18">
        <v>4.9836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1.8675200000000001</v>
      </c>
      <c r="IC18">
        <v>1.8632500000000001</v>
      </c>
      <c r="ID18">
        <v>1.8627899999999999</v>
      </c>
      <c r="IE18">
        <v>1.8623400000000001</v>
      </c>
      <c r="IF18">
        <v>1.8622799999999999</v>
      </c>
      <c r="IG18">
        <v>1.8627899999999999</v>
      </c>
      <c r="IH18">
        <v>1.86371</v>
      </c>
      <c r="II18">
        <v>1.8615999999999999</v>
      </c>
      <c r="IJ18">
        <v>0</v>
      </c>
      <c r="IK18">
        <v>0</v>
      </c>
      <c r="IL18">
        <v>0</v>
      </c>
      <c r="IM18">
        <v>4.5</v>
      </c>
      <c r="IN18" t="s">
        <v>405</v>
      </c>
      <c r="IO18" t="s">
        <v>406</v>
      </c>
      <c r="IP18" t="s">
        <v>407</v>
      </c>
      <c r="IQ18" t="s">
        <v>408</v>
      </c>
      <c r="IR18" t="s">
        <v>408</v>
      </c>
      <c r="IS18" t="s">
        <v>407</v>
      </c>
      <c r="IT18">
        <v>0</v>
      </c>
      <c r="IU18">
        <v>100</v>
      </c>
      <c r="IV18">
        <v>100</v>
      </c>
      <c r="IW18">
        <v>-9.5250000000000004</v>
      </c>
      <c r="IX18">
        <v>-1.1831</v>
      </c>
      <c r="IY18">
        <v>-7.5243390580160607</v>
      </c>
      <c r="IZ18">
        <v>-5.6215304933332991E-3</v>
      </c>
      <c r="JA18">
        <v>2.3979931213773931E-6</v>
      </c>
      <c r="JB18">
        <v>-3.6297174575716598E-10</v>
      </c>
      <c r="JC18">
        <v>-1.6707637376702531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1.9</v>
      </c>
      <c r="JL18">
        <v>1.9</v>
      </c>
      <c r="JM18">
        <v>1.2011700000000001</v>
      </c>
      <c r="JN18">
        <v>2.5854499999999998</v>
      </c>
      <c r="JO18">
        <v>1.50024</v>
      </c>
      <c r="JP18">
        <v>2.2680699999999998</v>
      </c>
      <c r="JQ18">
        <v>1.4477500000000001</v>
      </c>
      <c r="JR18">
        <v>2.36328</v>
      </c>
      <c r="JS18">
        <v>49.642600000000002</v>
      </c>
      <c r="JT18">
        <v>23.9299</v>
      </c>
      <c r="JU18">
        <v>18</v>
      </c>
      <c r="JV18">
        <v>553.73400000000004</v>
      </c>
      <c r="JW18">
        <v>378.48200000000003</v>
      </c>
      <c r="JX18">
        <v>24.047699999999999</v>
      </c>
      <c r="JY18">
        <v>40.49</v>
      </c>
      <c r="JZ18">
        <v>29.9999</v>
      </c>
      <c r="KA18">
        <v>40.516399999999997</v>
      </c>
      <c r="KB18">
        <v>40.514299999999999</v>
      </c>
      <c r="KC18">
        <v>24.033999999999999</v>
      </c>
      <c r="KD18">
        <v>48.686500000000002</v>
      </c>
      <c r="KE18">
        <v>0</v>
      </c>
      <c r="KF18">
        <v>21.8809</v>
      </c>
      <c r="KG18">
        <v>467.13099999999997</v>
      </c>
      <c r="KH18">
        <v>22.492799999999999</v>
      </c>
      <c r="KI18">
        <v>99.401300000000006</v>
      </c>
      <c r="KJ18">
        <v>97.031999999999996</v>
      </c>
    </row>
    <row r="19" spans="1:296" x14ac:dyDescent="0.3">
      <c r="A19">
        <v>3</v>
      </c>
      <c r="B19">
        <v>1785001871</v>
      </c>
      <c r="C19">
        <v>363</v>
      </c>
      <c r="D19" t="s">
        <v>473</v>
      </c>
      <c r="E19" t="s">
        <v>474</v>
      </c>
      <c r="F19">
        <v>15</v>
      </c>
      <c r="H19">
        <v>1785001863</v>
      </c>
      <c r="I19">
        <f t="shared" si="0"/>
        <v>3.0885803439533498E-3</v>
      </c>
      <c r="J19">
        <f t="shared" si="1"/>
        <v>3.0885803439533497</v>
      </c>
      <c r="K19">
        <f t="shared" si="2"/>
        <v>37.10808362848541</v>
      </c>
      <c r="L19">
        <f t="shared" si="3"/>
        <v>420.00632258064502</v>
      </c>
      <c r="M19">
        <f t="shared" si="4"/>
        <v>122.10867512441227</v>
      </c>
      <c r="N19">
        <f t="shared" si="5"/>
        <v>11.939911266557129</v>
      </c>
      <c r="O19">
        <f t="shared" si="6"/>
        <v>41.068648217634234</v>
      </c>
      <c r="P19">
        <f t="shared" si="7"/>
        <v>0.2108585093669976</v>
      </c>
      <c r="Q19">
        <f t="shared" si="8"/>
        <v>2.8895131232918989</v>
      </c>
      <c r="R19">
        <f t="shared" si="9"/>
        <v>0.20266796756410829</v>
      </c>
      <c r="S19">
        <f t="shared" si="10"/>
        <v>0.1273768585134511</v>
      </c>
      <c r="T19">
        <f t="shared" si="11"/>
        <v>255.91838179111585</v>
      </c>
      <c r="U19">
        <f t="shared" si="12"/>
        <v>29.213816293486804</v>
      </c>
      <c r="V19">
        <f t="shared" si="13"/>
        <v>28.857535483870969</v>
      </c>
      <c r="W19">
        <f t="shared" si="14"/>
        <v>3.9887370881400868</v>
      </c>
      <c r="X19">
        <f t="shared" si="15"/>
        <v>65.230704684307483</v>
      </c>
      <c r="Y19">
        <f t="shared" si="16"/>
        <v>2.5484043691928702</v>
      </c>
      <c r="Z19">
        <f t="shared" si="17"/>
        <v>3.9067558468457544</v>
      </c>
      <c r="AA19">
        <f t="shared" si="18"/>
        <v>1.4403327189472166</v>
      </c>
      <c r="AB19">
        <f t="shared" si="19"/>
        <v>-136.20639316834271</v>
      </c>
      <c r="AC19">
        <f t="shared" si="20"/>
        <v>-55.77456413528963</v>
      </c>
      <c r="AD19">
        <f t="shared" si="21"/>
        <v>-4.236000778208628</v>
      </c>
      <c r="AE19">
        <f t="shared" si="22"/>
        <v>59.701423709274884</v>
      </c>
      <c r="AF19">
        <f t="shared" si="23"/>
        <v>37.10808362848541</v>
      </c>
      <c r="AG19">
        <f t="shared" si="24"/>
        <v>3.0885803439533497</v>
      </c>
      <c r="AH19">
        <f t="shared" si="25"/>
        <v>37.183097032479807</v>
      </c>
      <c r="AI19">
        <v>476.83829807612489</v>
      </c>
      <c r="AJ19">
        <v>431.19655151515138</v>
      </c>
      <c r="AK19">
        <v>-2.3097153792108331E-4</v>
      </c>
      <c r="AL19">
        <v>67.048377259535428</v>
      </c>
      <c r="AM19">
        <f t="shared" si="26"/>
        <v>3.0035975450246513</v>
      </c>
      <c r="AN19">
        <v>22.544727644891779</v>
      </c>
      <c r="AO19">
        <v>26.053544848484851</v>
      </c>
      <c r="AP19">
        <v>2.4026936026973569E-4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51422.265692417517</v>
      </c>
      <c r="AW19" t="s">
        <v>463</v>
      </c>
      <c r="AX19">
        <v>13221.2</v>
      </c>
      <c r="AY19">
        <v>587.47941176470601</v>
      </c>
      <c r="AZ19">
        <v>2389.06</v>
      </c>
      <c r="BA19">
        <f t="shared" si="30"/>
        <v>0.75409599936179661</v>
      </c>
      <c r="BB19">
        <v>-2.8371633977392272</v>
      </c>
      <c r="BC19" t="s">
        <v>475</v>
      </c>
      <c r="BD19">
        <v>13165.4</v>
      </c>
      <c r="BE19">
        <v>851.75699999999995</v>
      </c>
      <c r="BF19">
        <v>1113.3900000000001</v>
      </c>
      <c r="BG19">
        <f t="shared" si="31"/>
        <v>0.23498774014496282</v>
      </c>
      <c r="BH19">
        <v>0.5</v>
      </c>
      <c r="BI19">
        <f t="shared" si="32"/>
        <v>1344.3122804533609</v>
      </c>
      <c r="BJ19">
        <f t="shared" si="33"/>
        <v>37.10808362848541</v>
      </c>
      <c r="BK19">
        <f t="shared" si="34"/>
        <v>157.94845241642838</v>
      </c>
      <c r="BL19">
        <f t="shared" si="35"/>
        <v>2.9714261788007582E-2</v>
      </c>
      <c r="BM19">
        <f t="shared" si="36"/>
        <v>1.1457530604729698</v>
      </c>
      <c r="BN19">
        <f t="shared" si="37"/>
        <v>458.34334598011225</v>
      </c>
      <c r="BO19" t="s">
        <v>402</v>
      </c>
      <c r="BP19">
        <v>0</v>
      </c>
      <c r="BQ19">
        <f t="shared" si="38"/>
        <v>458.34334598011225</v>
      </c>
      <c r="BR19">
        <f t="shared" si="39"/>
        <v>0.58833531289115926</v>
      </c>
      <c r="BS19">
        <f t="shared" si="40"/>
        <v>0.39941124558748864</v>
      </c>
      <c r="BT19">
        <f t="shared" si="41"/>
        <v>0.66072356984333525</v>
      </c>
      <c r="BU19">
        <f t="shared" si="42"/>
        <v>0.49748570546547866</v>
      </c>
      <c r="BV19">
        <f t="shared" si="43"/>
        <v>0.70808378394527427</v>
      </c>
      <c r="BW19">
        <f t="shared" si="44"/>
        <v>0.21492924240675909</v>
      </c>
      <c r="BX19">
        <f t="shared" si="45"/>
        <v>0.78507075759324096</v>
      </c>
      <c r="DG19">
        <f t="shared" si="46"/>
        <v>1600.0303225806449</v>
      </c>
      <c r="DH19">
        <f t="shared" si="47"/>
        <v>1344.3122804533609</v>
      </c>
      <c r="DI19">
        <f t="shared" si="48"/>
        <v>0.84017925253138737</v>
      </c>
      <c r="DJ19">
        <f t="shared" si="49"/>
        <v>0.15994595738557763</v>
      </c>
      <c r="DK19">
        <v>6</v>
      </c>
      <c r="DL19">
        <v>0.5</v>
      </c>
      <c r="DM19" t="s">
        <v>403</v>
      </c>
      <c r="DN19">
        <v>2</v>
      </c>
      <c r="DO19" t="b">
        <v>0</v>
      </c>
      <c r="DP19">
        <v>1785001863</v>
      </c>
      <c r="DQ19">
        <v>420.00632258064502</v>
      </c>
      <c r="DR19">
        <v>466.09106451612899</v>
      </c>
      <c r="DS19">
        <v>26.062361290322581</v>
      </c>
      <c r="DT19">
        <v>22.452787096774191</v>
      </c>
      <c r="DU19">
        <v>429.43748387096781</v>
      </c>
      <c r="DV19">
        <v>27.262051612903221</v>
      </c>
      <c r="DW19">
        <v>500.01764516129032</v>
      </c>
      <c r="DX19">
        <v>97.720993548387099</v>
      </c>
      <c r="DY19">
        <v>6.0030235483870958E-2</v>
      </c>
      <c r="DZ19">
        <v>28.499500000000001</v>
      </c>
      <c r="EA19">
        <v>28.857535483870969</v>
      </c>
      <c r="EB19">
        <v>999.90000000000032</v>
      </c>
      <c r="EC19">
        <v>0</v>
      </c>
      <c r="ED19">
        <v>0</v>
      </c>
      <c r="EE19">
        <v>10001.451612903231</v>
      </c>
      <c r="EF19">
        <v>0</v>
      </c>
      <c r="EG19">
        <v>169.7736129032258</v>
      </c>
      <c r="EH19">
        <v>-46.084632258064509</v>
      </c>
      <c r="EI19">
        <v>431.24567741935488</v>
      </c>
      <c r="EJ19">
        <v>476.79648387096779</v>
      </c>
      <c r="EK19">
        <v>3.6095700000000011</v>
      </c>
      <c r="EL19">
        <v>466.09106451612899</v>
      </c>
      <c r="EM19">
        <v>22.452787096774191</v>
      </c>
      <c r="EN19">
        <v>2.546839032258065</v>
      </c>
      <c r="EO19">
        <v>2.1941083870967741</v>
      </c>
      <c r="EP19">
        <v>21.32896451612903</v>
      </c>
      <c r="EQ19">
        <v>18.919193548387089</v>
      </c>
      <c r="ER19">
        <v>1600.0303225806449</v>
      </c>
      <c r="ES19">
        <v>0.99400509677419346</v>
      </c>
      <c r="ET19">
        <v>5.9947777419354841E-3</v>
      </c>
      <c r="EU19">
        <v>0</v>
      </c>
      <c r="EV19">
        <v>851.77832258064529</v>
      </c>
      <c r="EW19">
        <v>5.0010700000000003</v>
      </c>
      <c r="EX19">
        <v>17886.464516129028</v>
      </c>
      <c r="EY19">
        <v>14578.812903225809</v>
      </c>
      <c r="EZ19">
        <v>47.25</v>
      </c>
      <c r="FA19">
        <v>49.383000000000003</v>
      </c>
      <c r="FB19">
        <v>48.311999999999969</v>
      </c>
      <c r="FC19">
        <v>48.686999999999969</v>
      </c>
      <c r="FD19">
        <v>48.182999999999971</v>
      </c>
      <c r="FE19">
        <v>1585.47</v>
      </c>
      <c r="FF19">
        <v>9.5603225806451633</v>
      </c>
      <c r="FG19">
        <v>0</v>
      </c>
      <c r="FH19">
        <v>180.9000000953674</v>
      </c>
      <c r="FI19">
        <v>0</v>
      </c>
      <c r="FJ19">
        <v>851.75699999999995</v>
      </c>
      <c r="FK19">
        <v>-1.4340685899487711</v>
      </c>
      <c r="FL19">
        <v>-2.426470930229041</v>
      </c>
      <c r="FM19">
        <v>17883.99411764706</v>
      </c>
      <c r="FN19">
        <v>10</v>
      </c>
      <c r="FO19">
        <v>1785001749.5</v>
      </c>
      <c r="FP19" t="s">
        <v>476</v>
      </c>
      <c r="FQ19">
        <v>1785001739</v>
      </c>
      <c r="FR19">
        <v>1785001749.5</v>
      </c>
      <c r="FS19">
        <v>17</v>
      </c>
      <c r="FT19">
        <v>9.4E-2</v>
      </c>
      <c r="FU19">
        <v>-1.4E-2</v>
      </c>
      <c r="FV19">
        <v>-9.6039999999999992</v>
      </c>
      <c r="FW19">
        <v>-1.3</v>
      </c>
      <c r="FX19">
        <v>467</v>
      </c>
      <c r="FY19">
        <v>22</v>
      </c>
      <c r="FZ19">
        <v>0.15</v>
      </c>
      <c r="GA19">
        <v>0.09</v>
      </c>
      <c r="GB19">
        <v>420.00632258064502</v>
      </c>
      <c r="GC19">
        <v>-0.42793548387147939</v>
      </c>
      <c r="GD19">
        <v>6.7958899864254615E-2</v>
      </c>
      <c r="GE19">
        <v>-1</v>
      </c>
      <c r="GF19">
        <v>851.82902941176474</v>
      </c>
      <c r="GG19">
        <v>-1.373277308623144</v>
      </c>
      <c r="GH19">
        <v>0.24861599083657951</v>
      </c>
      <c r="GI19">
        <v>1</v>
      </c>
      <c r="GJ19">
        <v>3.6585251219512189</v>
      </c>
      <c r="GK19">
        <v>-1.281439860627168</v>
      </c>
      <c r="GL19">
        <v>0.13703479805744109</v>
      </c>
      <c r="GM19">
        <v>0</v>
      </c>
      <c r="GN19">
        <v>1</v>
      </c>
      <c r="GO19">
        <v>2</v>
      </c>
      <c r="GP19" t="s">
        <v>409</v>
      </c>
      <c r="GQ19">
        <v>3.1303299999999998</v>
      </c>
      <c r="GR19">
        <v>2.7370199999999998</v>
      </c>
      <c r="GS19">
        <v>9.0567599999999998E-2</v>
      </c>
      <c r="GT19">
        <v>9.7002500000000005E-2</v>
      </c>
      <c r="GU19">
        <v>0.120546</v>
      </c>
      <c r="GV19">
        <v>0.105795</v>
      </c>
      <c r="GW19">
        <v>22548</v>
      </c>
      <c r="GX19">
        <v>29912.9</v>
      </c>
      <c r="GY19">
        <v>26924.799999999999</v>
      </c>
      <c r="GZ19">
        <v>34108.6</v>
      </c>
      <c r="HA19">
        <v>34732.6</v>
      </c>
      <c r="HB19">
        <v>38401.199999999997</v>
      </c>
      <c r="HC19">
        <v>39782.300000000003</v>
      </c>
      <c r="HD19">
        <v>43010.3</v>
      </c>
      <c r="HE19">
        <v>1.9066000000000001</v>
      </c>
      <c r="HF19">
        <v>1.6217999999999999</v>
      </c>
      <c r="HG19">
        <v>-0.10907600000000001</v>
      </c>
      <c r="HH19">
        <v>0</v>
      </c>
      <c r="HI19">
        <v>30.624600000000001</v>
      </c>
      <c r="HJ19">
        <v>999.9</v>
      </c>
      <c r="HK19">
        <v>42.7</v>
      </c>
      <c r="HL19">
        <v>45.5</v>
      </c>
      <c r="HM19">
        <v>43.213999999999999</v>
      </c>
      <c r="HN19">
        <v>61.396299999999997</v>
      </c>
      <c r="HO19">
        <v>4.5793299999999997</v>
      </c>
      <c r="HP19">
        <v>1</v>
      </c>
      <c r="HQ19">
        <v>1.1569499999999999</v>
      </c>
      <c r="HR19">
        <v>9.2810500000000005</v>
      </c>
      <c r="HS19">
        <v>19.9895</v>
      </c>
      <c r="HT19">
        <v>5.2100999999999997</v>
      </c>
      <c r="HU19">
        <v>11.9201</v>
      </c>
      <c r="HV19">
        <v>4.9836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1.8632500000000001</v>
      </c>
      <c r="ID19">
        <v>1.8627899999999999</v>
      </c>
      <c r="IE19">
        <v>1.8623400000000001</v>
      </c>
      <c r="IF19">
        <v>1.8623400000000001</v>
      </c>
      <c r="IG19">
        <v>1.8627899999999999</v>
      </c>
      <c r="IH19">
        <v>1.86371</v>
      </c>
      <c r="II19">
        <v>1.86172</v>
      </c>
      <c r="IJ19">
        <v>0</v>
      </c>
      <c r="IK19">
        <v>0</v>
      </c>
      <c r="IL19">
        <v>0</v>
      </c>
      <c r="IM19">
        <v>4.5</v>
      </c>
      <c r="IN19" t="s">
        <v>405</v>
      </c>
      <c r="IO19" t="s">
        <v>406</v>
      </c>
      <c r="IP19" t="s">
        <v>407</v>
      </c>
      <c r="IQ19" t="s">
        <v>408</v>
      </c>
      <c r="IR19" t="s">
        <v>408</v>
      </c>
      <c r="IS19" t="s">
        <v>407</v>
      </c>
      <c r="IT19">
        <v>0</v>
      </c>
      <c r="IU19">
        <v>100</v>
      </c>
      <c r="IV19">
        <v>100</v>
      </c>
      <c r="IW19">
        <v>-9.4309999999999992</v>
      </c>
      <c r="IX19">
        <v>-1.1999</v>
      </c>
      <c r="IY19">
        <v>-7.4304392854350958</v>
      </c>
      <c r="IZ19">
        <v>-5.6215304933332991E-3</v>
      </c>
      <c r="JA19">
        <v>2.3979931213773931E-6</v>
      </c>
      <c r="JB19">
        <v>-3.6297174575716598E-10</v>
      </c>
      <c r="JC19">
        <v>-1.6846939414002331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2.2000000000000002</v>
      </c>
      <c r="JL19">
        <v>2</v>
      </c>
      <c r="JM19">
        <v>1.1999500000000001</v>
      </c>
      <c r="JN19">
        <v>2.5805699999999998</v>
      </c>
      <c r="JO19">
        <v>1.50024</v>
      </c>
      <c r="JP19">
        <v>2.2680699999999998</v>
      </c>
      <c r="JQ19">
        <v>1.4477500000000001</v>
      </c>
      <c r="JR19">
        <v>2.49512</v>
      </c>
      <c r="JS19">
        <v>49.674399999999999</v>
      </c>
      <c r="JT19">
        <v>23.938700000000001</v>
      </c>
      <c r="JU19">
        <v>18</v>
      </c>
      <c r="JV19">
        <v>552.95399999999995</v>
      </c>
      <c r="JW19">
        <v>378.21600000000001</v>
      </c>
      <c r="JX19">
        <v>23.884599999999999</v>
      </c>
      <c r="JY19">
        <v>40.469799999999999</v>
      </c>
      <c r="JZ19">
        <v>30.0002</v>
      </c>
      <c r="KA19">
        <v>40.524299999999997</v>
      </c>
      <c r="KB19">
        <v>40.529899999999998</v>
      </c>
      <c r="KC19">
        <v>23.995699999999999</v>
      </c>
      <c r="KD19">
        <v>49.023600000000002</v>
      </c>
      <c r="KE19">
        <v>0</v>
      </c>
      <c r="KF19">
        <v>21.876000000000001</v>
      </c>
      <c r="KG19">
        <v>466.07100000000003</v>
      </c>
      <c r="KH19">
        <v>22.423200000000001</v>
      </c>
      <c r="KI19">
        <v>99.403700000000001</v>
      </c>
      <c r="KJ19">
        <v>97.031999999999996</v>
      </c>
    </row>
    <row r="20" spans="1:296" x14ac:dyDescent="0.3">
      <c r="A20">
        <v>4</v>
      </c>
      <c r="B20">
        <v>1785002052.5</v>
      </c>
      <c r="C20">
        <v>544.5</v>
      </c>
      <c r="D20" t="s">
        <v>477</v>
      </c>
      <c r="E20" t="s">
        <v>478</v>
      </c>
      <c r="F20">
        <v>15</v>
      </c>
      <c r="H20">
        <v>1785002044.75</v>
      </c>
      <c r="I20">
        <f t="shared" si="0"/>
        <v>2.8682686341094089E-3</v>
      </c>
      <c r="J20">
        <f t="shared" si="1"/>
        <v>2.868268634109409</v>
      </c>
      <c r="K20">
        <f t="shared" si="2"/>
        <v>35.591925663997166</v>
      </c>
      <c r="L20">
        <f t="shared" si="3"/>
        <v>420.05073333333331</v>
      </c>
      <c r="M20">
        <f t="shared" si="4"/>
        <v>116.17342447781027</v>
      </c>
      <c r="N20">
        <f t="shared" si="5"/>
        <v>11.359060706642047</v>
      </c>
      <c r="O20">
        <f t="shared" si="6"/>
        <v>41.071198522810199</v>
      </c>
      <c r="P20">
        <f t="shared" si="7"/>
        <v>0.19766469932625669</v>
      </c>
      <c r="Q20">
        <f t="shared" si="8"/>
        <v>2.8895900448701619</v>
      </c>
      <c r="R20">
        <f t="shared" si="9"/>
        <v>0.19044840216308878</v>
      </c>
      <c r="S20">
        <f t="shared" si="10"/>
        <v>0.11965665770600699</v>
      </c>
      <c r="T20">
        <f t="shared" si="11"/>
        <v>224.00621456765788</v>
      </c>
      <c r="U20">
        <f t="shared" si="12"/>
        <v>28.867387423349719</v>
      </c>
      <c r="V20">
        <f t="shared" si="13"/>
        <v>28.614623333333331</v>
      </c>
      <c r="W20">
        <f t="shared" si="14"/>
        <v>3.9329544224605448</v>
      </c>
      <c r="X20">
        <f t="shared" si="15"/>
        <v>65.023201768250701</v>
      </c>
      <c r="Y20">
        <f t="shared" si="16"/>
        <v>2.5088860767587424</v>
      </c>
      <c r="Z20">
        <f t="shared" si="17"/>
        <v>3.8584474595709191</v>
      </c>
      <c r="AA20">
        <f t="shared" si="18"/>
        <v>1.4240683457018024</v>
      </c>
      <c r="AB20">
        <f t="shared" si="19"/>
        <v>-126.49064676422493</v>
      </c>
      <c r="AC20">
        <f t="shared" si="20"/>
        <v>-51.28083837031253</v>
      </c>
      <c r="AD20">
        <f t="shared" si="21"/>
        <v>-3.8857622983346189</v>
      </c>
      <c r="AE20">
        <f t="shared" si="22"/>
        <v>42.348967134785802</v>
      </c>
      <c r="AF20">
        <f t="shared" si="23"/>
        <v>35.591925663997166</v>
      </c>
      <c r="AG20">
        <f t="shared" si="24"/>
        <v>2.868268634109409</v>
      </c>
      <c r="AH20">
        <f t="shared" si="25"/>
        <v>35.487645998263702</v>
      </c>
      <c r="AI20">
        <v>474.70207225490782</v>
      </c>
      <c r="AJ20">
        <v>431.11174545454531</v>
      </c>
      <c r="AK20">
        <v>6.3514906320997584E-3</v>
      </c>
      <c r="AL20">
        <v>67.068450093310318</v>
      </c>
      <c r="AM20">
        <f t="shared" si="26"/>
        <v>2.8593997652455911</v>
      </c>
      <c r="AN20">
        <v>22.305800551731611</v>
      </c>
      <c r="AO20">
        <v>25.649220606060609</v>
      </c>
      <c r="AP20">
        <v>-1.9864357864118481E-5</v>
      </c>
      <c r="AQ20">
        <v>78.550000000000011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51460.88812935965</v>
      </c>
      <c r="AW20" t="s">
        <v>463</v>
      </c>
      <c r="AX20">
        <v>13221.2</v>
      </c>
      <c r="AY20">
        <v>587.47941176470601</v>
      </c>
      <c r="AZ20">
        <v>2389.06</v>
      </c>
      <c r="BA20">
        <f t="shared" si="30"/>
        <v>0.75409599936179661</v>
      </c>
      <c r="BB20">
        <v>-2.8371633977392272</v>
      </c>
      <c r="BC20" t="s">
        <v>479</v>
      </c>
      <c r="BD20">
        <v>13161.1</v>
      </c>
      <c r="BE20">
        <v>856.04911764705889</v>
      </c>
      <c r="BF20">
        <v>1160.17</v>
      </c>
      <c r="BG20">
        <f t="shared" si="31"/>
        <v>0.2621347581414285</v>
      </c>
      <c r="BH20">
        <v>0.5</v>
      </c>
      <c r="BI20">
        <f t="shared" si="32"/>
        <v>1176.2958997759883</v>
      </c>
      <c r="BJ20">
        <f t="shared" si="33"/>
        <v>35.591925663997166</v>
      </c>
      <c r="BK20">
        <f t="shared" si="34"/>
        <v>154.17402059526637</v>
      </c>
      <c r="BL20">
        <f t="shared" si="35"/>
        <v>3.2669576650785535E-2</v>
      </c>
      <c r="BM20">
        <f t="shared" si="36"/>
        <v>1.0592326986562313</v>
      </c>
      <c r="BN20">
        <f t="shared" si="37"/>
        <v>466.07980965496847</v>
      </c>
      <c r="BO20" t="s">
        <v>402</v>
      </c>
      <c r="BP20">
        <v>0</v>
      </c>
      <c r="BQ20">
        <f t="shared" si="38"/>
        <v>466.07980965496847</v>
      </c>
      <c r="BR20">
        <f t="shared" si="39"/>
        <v>0.59826593546207163</v>
      </c>
      <c r="BS20">
        <f t="shared" si="40"/>
        <v>0.4381575861225801</v>
      </c>
      <c r="BT20">
        <f t="shared" si="41"/>
        <v>0.63905494511594829</v>
      </c>
      <c r="BU20">
        <f t="shared" si="42"/>
        <v>0.53103872946483788</v>
      </c>
      <c r="BV20">
        <f t="shared" si="43"/>
        <v>0.68211769599701177</v>
      </c>
      <c r="BW20">
        <f t="shared" si="44"/>
        <v>0.23855687732054778</v>
      </c>
      <c r="BX20">
        <f t="shared" si="45"/>
        <v>0.76144312267945224</v>
      </c>
      <c r="DG20">
        <f t="shared" si="46"/>
        <v>1400.0033333333331</v>
      </c>
      <c r="DH20">
        <f t="shared" si="47"/>
        <v>1176.2958997759883</v>
      </c>
      <c r="DI20">
        <f t="shared" si="48"/>
        <v>0.84020935648438111</v>
      </c>
      <c r="DJ20">
        <f t="shared" si="49"/>
        <v>0.16000405801485562</v>
      </c>
      <c r="DK20">
        <v>6</v>
      </c>
      <c r="DL20">
        <v>0.5</v>
      </c>
      <c r="DM20" t="s">
        <v>403</v>
      </c>
      <c r="DN20">
        <v>2</v>
      </c>
      <c r="DO20" t="b">
        <v>0</v>
      </c>
      <c r="DP20">
        <v>1785002044.75</v>
      </c>
      <c r="DQ20">
        <v>420.05073333333331</v>
      </c>
      <c r="DR20">
        <v>464.20719999999989</v>
      </c>
      <c r="DS20">
        <v>25.659330000000001</v>
      </c>
      <c r="DT20">
        <v>22.30569666666667</v>
      </c>
      <c r="DU20">
        <v>429.49446666666671</v>
      </c>
      <c r="DV20">
        <v>26.866626666666669</v>
      </c>
      <c r="DW20">
        <v>499.99576666666673</v>
      </c>
      <c r="DX20">
        <v>97.71669666666665</v>
      </c>
      <c r="DY20">
        <v>6.0060433333333343E-2</v>
      </c>
      <c r="DZ20">
        <v>28.28544333333334</v>
      </c>
      <c r="EA20">
        <v>28.614623333333331</v>
      </c>
      <c r="EB20">
        <v>999.9000000000002</v>
      </c>
      <c r="EC20">
        <v>0</v>
      </c>
      <c r="ED20">
        <v>0</v>
      </c>
      <c r="EE20">
        <v>10002.33333333333</v>
      </c>
      <c r="EF20">
        <v>0</v>
      </c>
      <c r="EG20">
        <v>167.7549333333333</v>
      </c>
      <c r="EH20">
        <v>-44.156453333333317</v>
      </c>
      <c r="EI20">
        <v>431.11283333333341</v>
      </c>
      <c r="EJ20">
        <v>474.79786666666672</v>
      </c>
      <c r="EK20">
        <v>3.3536429999999999</v>
      </c>
      <c r="EL20">
        <v>464.20719999999989</v>
      </c>
      <c r="EM20">
        <v>22.30569666666667</v>
      </c>
      <c r="EN20">
        <v>2.5073449999999999</v>
      </c>
      <c r="EO20">
        <v>2.179638333333334</v>
      </c>
      <c r="EP20">
        <v>21.074259999999999</v>
      </c>
      <c r="EQ20">
        <v>18.813436666666661</v>
      </c>
      <c r="ER20">
        <v>1400.0033333333331</v>
      </c>
      <c r="ES20">
        <v>0.99299689999999996</v>
      </c>
      <c r="ET20">
        <v>7.0028609999999991E-3</v>
      </c>
      <c r="EU20">
        <v>0</v>
      </c>
      <c r="EV20">
        <v>856.0264333333331</v>
      </c>
      <c r="EW20">
        <v>5.0010700000000003</v>
      </c>
      <c r="EX20">
        <v>16162.513333333331</v>
      </c>
      <c r="EY20">
        <v>12745.52666666667</v>
      </c>
      <c r="EZ20">
        <v>46.978999999999992</v>
      </c>
      <c r="FA20">
        <v>49.449599999999982</v>
      </c>
      <c r="FB20">
        <v>48.25</v>
      </c>
      <c r="FC20">
        <v>48.682866666666641</v>
      </c>
      <c r="FD20">
        <v>47.955899999999978</v>
      </c>
      <c r="FE20">
        <v>1385.2333333333329</v>
      </c>
      <c r="FF20">
        <v>9.77</v>
      </c>
      <c r="FG20">
        <v>0</v>
      </c>
      <c r="FH20">
        <v>180.70000004768369</v>
      </c>
      <c r="FI20">
        <v>0</v>
      </c>
      <c r="FJ20">
        <v>856.04911764705889</v>
      </c>
      <c r="FK20">
        <v>-0.54166666916341621</v>
      </c>
      <c r="FL20">
        <v>-184.2156862016233</v>
      </c>
      <c r="FM20">
        <v>16160.182352941179</v>
      </c>
      <c r="FN20">
        <v>10</v>
      </c>
      <c r="FO20">
        <v>1785001942.5</v>
      </c>
      <c r="FP20" t="s">
        <v>480</v>
      </c>
      <c r="FQ20">
        <v>1785001942</v>
      </c>
      <c r="FR20">
        <v>1785001942.5</v>
      </c>
      <c r="FS20">
        <v>18</v>
      </c>
      <c r="FT20">
        <v>-1.2E-2</v>
      </c>
      <c r="FU20">
        <v>4.0000000000000001E-3</v>
      </c>
      <c r="FV20">
        <v>-9.6110000000000007</v>
      </c>
      <c r="FW20">
        <v>-1.2969999999999999</v>
      </c>
      <c r="FX20">
        <v>465</v>
      </c>
      <c r="FY20">
        <v>22</v>
      </c>
      <c r="FZ20">
        <v>0.2</v>
      </c>
      <c r="GA20">
        <v>0.08</v>
      </c>
      <c r="GB20">
        <v>420.05163333333343</v>
      </c>
      <c r="GC20">
        <v>-0.37121245828670407</v>
      </c>
      <c r="GD20">
        <v>6.3626767602600498E-2</v>
      </c>
      <c r="GE20">
        <v>-1</v>
      </c>
      <c r="GF20">
        <v>856.12070588235281</v>
      </c>
      <c r="GG20">
        <v>-1.46218487754019</v>
      </c>
      <c r="GH20">
        <v>0.27956316022257133</v>
      </c>
      <c r="GI20">
        <v>1</v>
      </c>
      <c r="GJ20">
        <v>3.3601082500000001</v>
      </c>
      <c r="GK20">
        <v>-0.10943380863039549</v>
      </c>
      <c r="GL20">
        <v>1.1585827093371441E-2</v>
      </c>
      <c r="GM20">
        <v>1</v>
      </c>
      <c r="GN20">
        <v>2</v>
      </c>
      <c r="GO20">
        <v>2</v>
      </c>
      <c r="GP20" t="s">
        <v>404</v>
      </c>
      <c r="GQ20">
        <v>3.1316099999999998</v>
      </c>
      <c r="GR20">
        <v>2.7358799999999999</v>
      </c>
      <c r="GS20">
        <v>9.0550800000000001E-2</v>
      </c>
      <c r="GT20">
        <v>9.6719399999999997E-2</v>
      </c>
      <c r="GU20">
        <v>0.119287</v>
      </c>
      <c r="GV20">
        <v>0.10498300000000001</v>
      </c>
      <c r="GW20">
        <v>22547.5</v>
      </c>
      <c r="GX20">
        <v>29922.400000000001</v>
      </c>
      <c r="GY20">
        <v>26923.7</v>
      </c>
      <c r="GZ20">
        <v>34108.800000000003</v>
      </c>
      <c r="HA20">
        <v>34780.6</v>
      </c>
      <c r="HB20">
        <v>38437.199999999997</v>
      </c>
      <c r="HC20">
        <v>39781.1</v>
      </c>
      <c r="HD20">
        <v>43011.9</v>
      </c>
      <c r="HE20">
        <v>1.9076</v>
      </c>
      <c r="HF20">
        <v>1.6197999999999999</v>
      </c>
      <c r="HG20">
        <v>-0.11414299999999999</v>
      </c>
      <c r="HH20">
        <v>0</v>
      </c>
      <c r="HI20">
        <v>30.473199999999999</v>
      </c>
      <c r="HJ20">
        <v>999.9</v>
      </c>
      <c r="HK20">
        <v>42.5</v>
      </c>
      <c r="HL20">
        <v>45.6</v>
      </c>
      <c r="HM20">
        <v>43.2361</v>
      </c>
      <c r="HN20">
        <v>61.266300000000001</v>
      </c>
      <c r="HO20">
        <v>4.4751599999999998</v>
      </c>
      <c r="HP20">
        <v>1</v>
      </c>
      <c r="HQ20">
        <v>1.1587000000000001</v>
      </c>
      <c r="HR20">
        <v>9.2257099999999994</v>
      </c>
      <c r="HS20">
        <v>19.9938</v>
      </c>
      <c r="HT20">
        <v>5.2088999999999999</v>
      </c>
      <c r="HU20">
        <v>11.9201</v>
      </c>
      <c r="HV20">
        <v>4.9816000000000003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1.8675200000000001</v>
      </c>
      <c r="IC20">
        <v>1.8632500000000001</v>
      </c>
      <c r="ID20">
        <v>1.8627899999999999</v>
      </c>
      <c r="IE20">
        <v>1.8623400000000001</v>
      </c>
      <c r="IF20">
        <v>1.8623400000000001</v>
      </c>
      <c r="IG20">
        <v>1.86276</v>
      </c>
      <c r="IH20">
        <v>1.86374</v>
      </c>
      <c r="II20">
        <v>1.8616600000000001</v>
      </c>
      <c r="IJ20">
        <v>0</v>
      </c>
      <c r="IK20">
        <v>0</v>
      </c>
      <c r="IL20">
        <v>0</v>
      </c>
      <c r="IM20">
        <v>4.5</v>
      </c>
      <c r="IN20" t="s">
        <v>405</v>
      </c>
      <c r="IO20" t="s">
        <v>406</v>
      </c>
      <c r="IP20" t="s">
        <v>407</v>
      </c>
      <c r="IQ20" t="s">
        <v>408</v>
      </c>
      <c r="IR20" t="s">
        <v>408</v>
      </c>
      <c r="IS20" t="s">
        <v>407</v>
      </c>
      <c r="IT20">
        <v>0</v>
      </c>
      <c r="IU20">
        <v>100</v>
      </c>
      <c r="IV20">
        <v>100</v>
      </c>
      <c r="IW20">
        <v>-9.4440000000000008</v>
      </c>
      <c r="IX20">
        <v>-1.2077</v>
      </c>
      <c r="IY20">
        <v>-7.442830142852813</v>
      </c>
      <c r="IZ20">
        <v>-5.6215304933332991E-3</v>
      </c>
      <c r="JA20">
        <v>2.3979931213773931E-6</v>
      </c>
      <c r="JB20">
        <v>-3.6297174575716598E-10</v>
      </c>
      <c r="JC20">
        <v>-1.680782964710186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1.8</v>
      </c>
      <c r="JL20">
        <v>1.8</v>
      </c>
      <c r="JM20">
        <v>1.1950700000000001</v>
      </c>
      <c r="JN20">
        <v>2.5939899999999998</v>
      </c>
      <c r="JO20">
        <v>1.50024</v>
      </c>
      <c r="JP20">
        <v>2.2680699999999998</v>
      </c>
      <c r="JQ20">
        <v>1.4477500000000001</v>
      </c>
      <c r="JR20">
        <v>2.36206</v>
      </c>
      <c r="JS20">
        <v>49.706200000000003</v>
      </c>
      <c r="JT20">
        <v>23.938700000000001</v>
      </c>
      <c r="JU20">
        <v>18</v>
      </c>
      <c r="JV20">
        <v>553.83500000000004</v>
      </c>
      <c r="JW20">
        <v>377.17200000000003</v>
      </c>
      <c r="JX20">
        <v>23.721299999999999</v>
      </c>
      <c r="JY20">
        <v>40.477899999999998</v>
      </c>
      <c r="JZ20">
        <v>30.0001</v>
      </c>
      <c r="KA20">
        <v>40.548000000000002</v>
      </c>
      <c r="KB20">
        <v>40.553400000000003</v>
      </c>
      <c r="KC20">
        <v>23.911100000000001</v>
      </c>
      <c r="KD20">
        <v>49.122199999999999</v>
      </c>
      <c r="KE20">
        <v>0</v>
      </c>
      <c r="KF20">
        <v>24.0808</v>
      </c>
      <c r="KG20">
        <v>464.18900000000002</v>
      </c>
      <c r="KH20">
        <v>22.357500000000002</v>
      </c>
      <c r="KI20">
        <v>99.400499999999994</v>
      </c>
      <c r="KJ20">
        <v>97.034199999999998</v>
      </c>
    </row>
    <row r="21" spans="1:296" x14ac:dyDescent="0.3">
      <c r="A21">
        <v>5</v>
      </c>
      <c r="B21">
        <v>1785002234.0999999</v>
      </c>
      <c r="C21">
        <v>726.09999990463257</v>
      </c>
      <c r="D21" t="s">
        <v>481</v>
      </c>
      <c r="E21" t="s">
        <v>482</v>
      </c>
      <c r="F21">
        <v>15</v>
      </c>
      <c r="H21">
        <v>1785002226.1129031</v>
      </c>
      <c r="I21">
        <f t="shared" si="0"/>
        <v>2.5110228403026429E-3</v>
      </c>
      <c r="J21">
        <f t="shared" si="1"/>
        <v>2.5110228403026431</v>
      </c>
      <c r="K21">
        <f t="shared" si="2"/>
        <v>32.210662996897028</v>
      </c>
      <c r="L21">
        <f t="shared" si="3"/>
        <v>420.24474193548389</v>
      </c>
      <c r="M21">
        <f t="shared" si="4"/>
        <v>105.2276103395655</v>
      </c>
      <c r="N21">
        <f t="shared" si="5"/>
        <v>10.288162604210768</v>
      </c>
      <c r="O21">
        <f t="shared" si="6"/>
        <v>41.087564610133512</v>
      </c>
      <c r="P21">
        <f t="shared" si="7"/>
        <v>0.17165974552927832</v>
      </c>
      <c r="Q21">
        <f t="shared" si="8"/>
        <v>2.8892393002983274</v>
      </c>
      <c r="R21">
        <f t="shared" si="9"/>
        <v>0.16618839663497925</v>
      </c>
      <c r="S21">
        <f t="shared" si="10"/>
        <v>0.1043447998196998</v>
      </c>
      <c r="T21">
        <f t="shared" si="11"/>
        <v>160.17189233341509</v>
      </c>
      <c r="U21">
        <f t="shared" si="12"/>
        <v>28.690293266263236</v>
      </c>
      <c r="V21">
        <f t="shared" si="13"/>
        <v>28.72865483870968</v>
      </c>
      <c r="W21">
        <f t="shared" si="14"/>
        <v>3.9590554532082338</v>
      </c>
      <c r="X21">
        <f t="shared" si="15"/>
        <v>65.174156009200274</v>
      </c>
      <c r="Y21">
        <f t="shared" si="16"/>
        <v>2.5308209601514298</v>
      </c>
      <c r="Z21">
        <f t="shared" si="17"/>
        <v>3.8831664498949063</v>
      </c>
      <c r="AA21">
        <f t="shared" si="18"/>
        <v>1.4282344930568041</v>
      </c>
      <c r="AB21">
        <f t="shared" si="19"/>
        <v>-110.73610725734655</v>
      </c>
      <c r="AC21">
        <f t="shared" si="20"/>
        <v>-51.930433297146898</v>
      </c>
      <c r="AD21">
        <f t="shared" si="21"/>
        <v>-3.9398477895232689</v>
      </c>
      <c r="AE21">
        <f t="shared" si="22"/>
        <v>-6.4344960106016273</v>
      </c>
      <c r="AF21">
        <f t="shared" si="23"/>
        <v>32.210662996897028</v>
      </c>
      <c r="AG21">
        <f t="shared" si="24"/>
        <v>2.5110228403026431</v>
      </c>
      <c r="AH21">
        <f t="shared" si="25"/>
        <v>32.137527348417173</v>
      </c>
      <c r="AI21">
        <v>470.80032120032138</v>
      </c>
      <c r="AJ21">
        <v>431.35531515151519</v>
      </c>
      <c r="AK21">
        <v>-3.902138961700679E-3</v>
      </c>
      <c r="AL21">
        <v>67.056573868956335</v>
      </c>
      <c r="AM21">
        <f t="shared" si="26"/>
        <v>2.5136334895738033</v>
      </c>
      <c r="AN21">
        <v>22.935869313982689</v>
      </c>
      <c r="AO21">
        <v>25.874755757575759</v>
      </c>
      <c r="AP21">
        <v>-1.607330447328043E-4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51432.061221404059</v>
      </c>
      <c r="AW21" t="s">
        <v>463</v>
      </c>
      <c r="AX21">
        <v>13221.2</v>
      </c>
      <c r="AY21">
        <v>587.47941176470601</v>
      </c>
      <c r="AZ21">
        <v>2389.06</v>
      </c>
      <c r="BA21">
        <f t="shared" si="30"/>
        <v>0.75409599936179661</v>
      </c>
      <c r="BB21">
        <v>-2.8371633977392272</v>
      </c>
      <c r="BC21" t="s">
        <v>483</v>
      </c>
      <c r="BD21">
        <v>13178.1</v>
      </c>
      <c r="BE21">
        <v>876.97605882352946</v>
      </c>
      <c r="BF21">
        <v>1324.29</v>
      </c>
      <c r="BG21">
        <f t="shared" si="31"/>
        <v>0.337776424481398</v>
      </c>
      <c r="BH21">
        <v>0.5</v>
      </c>
      <c r="BI21">
        <f t="shared" si="32"/>
        <v>840.27630974320346</v>
      </c>
      <c r="BJ21">
        <f t="shared" si="33"/>
        <v>32.210662996897028</v>
      </c>
      <c r="BK21">
        <f t="shared" si="34"/>
        <v>141.91276374074147</v>
      </c>
      <c r="BL21">
        <f t="shared" si="35"/>
        <v>4.1709882794800208E-2</v>
      </c>
      <c r="BM21">
        <f t="shared" si="36"/>
        <v>0.80403083916664775</v>
      </c>
      <c r="BN21">
        <f t="shared" si="37"/>
        <v>490.50041626852163</v>
      </c>
      <c r="BO21" t="s">
        <v>402</v>
      </c>
      <c r="BP21">
        <v>0</v>
      </c>
      <c r="BQ21">
        <f t="shared" si="38"/>
        <v>490.50041626852163</v>
      </c>
      <c r="BR21">
        <f t="shared" si="39"/>
        <v>0.62961253481599821</v>
      </c>
      <c r="BS21">
        <f t="shared" si="40"/>
        <v>0.53648300471036803</v>
      </c>
      <c r="BT21">
        <f t="shared" si="41"/>
        <v>0.56083043646556163</v>
      </c>
      <c r="BU21">
        <f t="shared" si="42"/>
        <v>0.60709488750401175</v>
      </c>
      <c r="BV21">
        <f t="shared" si="43"/>
        <v>0.59101991160049994</v>
      </c>
      <c r="BW21">
        <f t="shared" si="44"/>
        <v>0.30005965896541592</v>
      </c>
      <c r="BX21">
        <f t="shared" si="45"/>
        <v>0.69994034103458413</v>
      </c>
      <c r="DG21">
        <f t="shared" si="46"/>
        <v>999.97358064516129</v>
      </c>
      <c r="DH21">
        <f t="shared" si="47"/>
        <v>840.27630974320346</v>
      </c>
      <c r="DI21">
        <f t="shared" si="48"/>
        <v>0.8402985098877066</v>
      </c>
      <c r="DJ21">
        <f t="shared" si="49"/>
        <v>0.16017612408327395</v>
      </c>
      <c r="DK21">
        <v>6</v>
      </c>
      <c r="DL21">
        <v>0.5</v>
      </c>
      <c r="DM21" t="s">
        <v>403</v>
      </c>
      <c r="DN21">
        <v>2</v>
      </c>
      <c r="DO21" t="b">
        <v>0</v>
      </c>
      <c r="DP21">
        <v>1785002226.1129031</v>
      </c>
      <c r="DQ21">
        <v>420.24474193548389</v>
      </c>
      <c r="DR21">
        <v>460.15825806451608</v>
      </c>
      <c r="DS21">
        <v>25.885306451612909</v>
      </c>
      <c r="DT21">
        <v>22.950487096774189</v>
      </c>
      <c r="DU21">
        <v>429.68477419354838</v>
      </c>
      <c r="DV21">
        <v>27.077019354838711</v>
      </c>
      <c r="DW21">
        <v>500.06980645161292</v>
      </c>
      <c r="DX21">
        <v>97.710351612903224</v>
      </c>
      <c r="DY21">
        <v>6.0210419354838722E-2</v>
      </c>
      <c r="DZ21">
        <v>28.395264516129039</v>
      </c>
      <c r="EA21">
        <v>28.72865483870968</v>
      </c>
      <c r="EB21">
        <v>999.90000000000032</v>
      </c>
      <c r="EC21">
        <v>0</v>
      </c>
      <c r="ED21">
        <v>0</v>
      </c>
      <c r="EE21">
        <v>10000.967741935479</v>
      </c>
      <c r="EF21">
        <v>0</v>
      </c>
      <c r="EG21">
        <v>165.1217741935483</v>
      </c>
      <c r="EH21">
        <v>-39.913603225806447</v>
      </c>
      <c r="EI21">
        <v>431.41196774193548</v>
      </c>
      <c r="EJ21">
        <v>470.96722580645172</v>
      </c>
      <c r="EK21">
        <v>2.9348206451612899</v>
      </c>
      <c r="EL21">
        <v>460.15825806451608</v>
      </c>
      <c r="EM21">
        <v>22.950487096774189</v>
      </c>
      <c r="EN21">
        <v>2.529263225806452</v>
      </c>
      <c r="EO21">
        <v>2.242500322580645</v>
      </c>
      <c r="EP21">
        <v>21.21604838709677</v>
      </c>
      <c r="EQ21">
        <v>19.26919354838709</v>
      </c>
      <c r="ER21">
        <v>999.97358064516129</v>
      </c>
      <c r="ES21">
        <v>0.98999474193548387</v>
      </c>
      <c r="ET21">
        <v>1.00048935483871E-2</v>
      </c>
      <c r="EU21">
        <v>0</v>
      </c>
      <c r="EV21">
        <v>877.38774193548375</v>
      </c>
      <c r="EW21">
        <v>5.0010700000000003</v>
      </c>
      <c r="EX21">
        <v>12759.670967741929</v>
      </c>
      <c r="EY21">
        <v>9080.0196774193555</v>
      </c>
      <c r="EZ21">
        <v>46.330290322580623</v>
      </c>
      <c r="FA21">
        <v>49.370935483870973</v>
      </c>
      <c r="FB21">
        <v>47.936999999999969</v>
      </c>
      <c r="FC21">
        <v>48.625</v>
      </c>
      <c r="FD21">
        <v>47.561999999999969</v>
      </c>
      <c r="FE21">
        <v>985.01580645161312</v>
      </c>
      <c r="FF21">
        <v>9.9499999999999975</v>
      </c>
      <c r="FG21">
        <v>0</v>
      </c>
      <c r="FH21">
        <v>180.9000000953674</v>
      </c>
      <c r="FI21">
        <v>0</v>
      </c>
      <c r="FJ21">
        <v>876.97605882352946</v>
      </c>
      <c r="FK21">
        <v>-6.3357843017760906</v>
      </c>
      <c r="FL21">
        <v>-57.058823791973317</v>
      </c>
      <c r="FM21">
        <v>12755.85294117647</v>
      </c>
      <c r="FN21">
        <v>10</v>
      </c>
      <c r="FO21">
        <v>1785002150.5</v>
      </c>
      <c r="FP21" t="s">
        <v>484</v>
      </c>
      <c r="FQ21">
        <v>1785002150.5</v>
      </c>
      <c r="FR21">
        <v>1785002147.5</v>
      </c>
      <c r="FS21">
        <v>19</v>
      </c>
      <c r="FT21">
        <v>4.0000000000000001E-3</v>
      </c>
      <c r="FU21">
        <v>8.9999999999999993E-3</v>
      </c>
      <c r="FV21">
        <v>-9.5939999999999994</v>
      </c>
      <c r="FW21">
        <v>-1.294</v>
      </c>
      <c r="FX21">
        <v>462</v>
      </c>
      <c r="FY21">
        <v>22</v>
      </c>
      <c r="FZ21">
        <v>0.22</v>
      </c>
      <c r="GA21">
        <v>0.08</v>
      </c>
      <c r="GB21">
        <v>420.24012903225798</v>
      </c>
      <c r="GC21">
        <v>0.19167065817720769</v>
      </c>
      <c r="GD21">
        <v>8.0323034070491406E-2</v>
      </c>
      <c r="GE21">
        <v>-1</v>
      </c>
      <c r="GF21">
        <v>877.78455882352944</v>
      </c>
      <c r="GG21">
        <v>-7.7637127587949459</v>
      </c>
      <c r="GH21">
        <v>0.77940819144574225</v>
      </c>
      <c r="GI21">
        <v>1</v>
      </c>
      <c r="GJ21">
        <v>2.9115092682926829</v>
      </c>
      <c r="GK21">
        <v>0.40666408614420407</v>
      </c>
      <c r="GL21">
        <v>4.7579550915474861E-2</v>
      </c>
      <c r="GM21">
        <v>1</v>
      </c>
      <c r="GN21">
        <v>2</v>
      </c>
      <c r="GO21">
        <v>2</v>
      </c>
      <c r="GP21" t="s">
        <v>404</v>
      </c>
      <c r="GQ21">
        <v>3.1308600000000002</v>
      </c>
      <c r="GR21">
        <v>2.7365200000000001</v>
      </c>
      <c r="GS21">
        <v>9.0566900000000006E-2</v>
      </c>
      <c r="GT21">
        <v>9.6009899999999995E-2</v>
      </c>
      <c r="GU21">
        <v>0.119933</v>
      </c>
      <c r="GV21">
        <v>0.107076</v>
      </c>
      <c r="GW21">
        <v>22546.5</v>
      </c>
      <c r="GX21">
        <v>29946.1</v>
      </c>
      <c r="GY21">
        <v>26923.1</v>
      </c>
      <c r="GZ21">
        <v>34109</v>
      </c>
      <c r="HA21">
        <v>34754.699999999997</v>
      </c>
      <c r="HB21">
        <v>38349.300000000003</v>
      </c>
      <c r="HC21">
        <v>39780.199999999997</v>
      </c>
      <c r="HD21">
        <v>43013.5</v>
      </c>
      <c r="HE21">
        <v>1.9066000000000001</v>
      </c>
      <c r="HF21">
        <v>1.6208</v>
      </c>
      <c r="HG21">
        <v>-0.11909</v>
      </c>
      <c r="HH21">
        <v>0</v>
      </c>
      <c r="HI21">
        <v>30.670500000000001</v>
      </c>
      <c r="HJ21">
        <v>999.9</v>
      </c>
      <c r="HK21">
        <v>42.4</v>
      </c>
      <c r="HL21">
        <v>45.7</v>
      </c>
      <c r="HM21">
        <v>43.357900000000001</v>
      </c>
      <c r="HN21">
        <v>61.358199999999997</v>
      </c>
      <c r="HO21">
        <v>4.7195499999999999</v>
      </c>
      <c r="HP21">
        <v>1</v>
      </c>
      <c r="HQ21">
        <v>1.1585399999999999</v>
      </c>
      <c r="HR21">
        <v>9.2810500000000005</v>
      </c>
      <c r="HS21">
        <v>19.995000000000001</v>
      </c>
      <c r="HT21">
        <v>5.2053099999999999</v>
      </c>
      <c r="HU21">
        <v>11.9201</v>
      </c>
      <c r="HV21">
        <v>4.9836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1.8632500000000001</v>
      </c>
      <c r="ID21">
        <v>1.8627899999999999</v>
      </c>
      <c r="IE21">
        <v>1.8623400000000001</v>
      </c>
      <c r="IF21">
        <v>1.8623400000000001</v>
      </c>
      <c r="IG21">
        <v>1.8627899999999999</v>
      </c>
      <c r="IH21">
        <v>1.86371</v>
      </c>
      <c r="II21">
        <v>1.86172</v>
      </c>
      <c r="IJ21">
        <v>0</v>
      </c>
      <c r="IK21">
        <v>0</v>
      </c>
      <c r="IL21">
        <v>0</v>
      </c>
      <c r="IM21">
        <v>4.5</v>
      </c>
      <c r="IN21" t="s">
        <v>405</v>
      </c>
      <c r="IO21" t="s">
        <v>406</v>
      </c>
      <c r="IP21" t="s">
        <v>407</v>
      </c>
      <c r="IQ21" t="s">
        <v>408</v>
      </c>
      <c r="IR21" t="s">
        <v>408</v>
      </c>
      <c r="IS21" t="s">
        <v>407</v>
      </c>
      <c r="IT21">
        <v>0</v>
      </c>
      <c r="IU21">
        <v>100</v>
      </c>
      <c r="IV21">
        <v>100</v>
      </c>
      <c r="IW21">
        <v>-9.44</v>
      </c>
      <c r="IX21">
        <v>-1.1919999999999999</v>
      </c>
      <c r="IY21">
        <v>-7.4384592646190946</v>
      </c>
      <c r="IZ21">
        <v>-5.6215304933332991E-3</v>
      </c>
      <c r="JA21">
        <v>2.3979931213773931E-6</v>
      </c>
      <c r="JB21">
        <v>-3.6297174575716598E-10</v>
      </c>
      <c r="JC21">
        <v>-1.671322214661598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1.4</v>
      </c>
      <c r="JL21">
        <v>1.4</v>
      </c>
      <c r="JM21">
        <v>1.18774</v>
      </c>
      <c r="JN21">
        <v>2.5891099999999998</v>
      </c>
      <c r="JO21">
        <v>1.50024</v>
      </c>
      <c r="JP21">
        <v>2.2680699999999998</v>
      </c>
      <c r="JQ21">
        <v>1.4477500000000001</v>
      </c>
      <c r="JR21">
        <v>2.4279799999999998</v>
      </c>
      <c r="JS21">
        <v>49.7699</v>
      </c>
      <c r="JT21">
        <v>23.9299</v>
      </c>
      <c r="JU21">
        <v>18</v>
      </c>
      <c r="JV21">
        <v>553.28399999999999</v>
      </c>
      <c r="JW21">
        <v>377.9</v>
      </c>
      <c r="JX21">
        <v>23.964400000000001</v>
      </c>
      <c r="JY21">
        <v>40.49</v>
      </c>
      <c r="JZ21">
        <v>30.000399999999999</v>
      </c>
      <c r="KA21">
        <v>40.567799999999998</v>
      </c>
      <c r="KB21">
        <v>40.581000000000003</v>
      </c>
      <c r="KC21">
        <v>23.746099999999998</v>
      </c>
      <c r="KD21">
        <v>48.322200000000002</v>
      </c>
      <c r="KE21">
        <v>0</v>
      </c>
      <c r="KF21">
        <v>23.043199999999999</v>
      </c>
      <c r="KG21">
        <v>459.86099999999999</v>
      </c>
      <c r="KH21">
        <v>22.935400000000001</v>
      </c>
      <c r="KI21">
        <v>99.397999999999996</v>
      </c>
      <c r="KJ21">
        <v>97.036500000000004</v>
      </c>
    </row>
    <row r="22" spans="1:296" x14ac:dyDescent="0.3">
      <c r="A22">
        <v>6</v>
      </c>
      <c r="B22">
        <v>1785002415.5999999</v>
      </c>
      <c r="C22">
        <v>907.59999990463257</v>
      </c>
      <c r="D22" t="s">
        <v>485</v>
      </c>
      <c r="E22" t="s">
        <v>486</v>
      </c>
      <c r="F22">
        <v>15</v>
      </c>
      <c r="H22">
        <v>1785002407.849999</v>
      </c>
      <c r="I22">
        <f t="shared" si="0"/>
        <v>2.5632284656416844E-3</v>
      </c>
      <c r="J22">
        <f t="shared" si="1"/>
        <v>2.5632284656416844</v>
      </c>
      <c r="K22">
        <f t="shared" si="2"/>
        <v>29.818752745364641</v>
      </c>
      <c r="L22">
        <f t="shared" si="3"/>
        <v>419.97820000000002</v>
      </c>
      <c r="M22">
        <f t="shared" si="4"/>
        <v>139.95959182163932</v>
      </c>
      <c r="N22">
        <f t="shared" si="5"/>
        <v>13.683630340082759</v>
      </c>
      <c r="O22">
        <f t="shared" si="6"/>
        <v>41.060611601503844</v>
      </c>
      <c r="P22">
        <f t="shared" si="7"/>
        <v>0.17963004066150837</v>
      </c>
      <c r="Q22">
        <f t="shared" si="8"/>
        <v>2.8894135112714241</v>
      </c>
      <c r="R22">
        <f t="shared" si="9"/>
        <v>0.17364869358355431</v>
      </c>
      <c r="S22">
        <f t="shared" si="10"/>
        <v>0.10905124194248933</v>
      </c>
      <c r="T22">
        <f t="shared" si="11"/>
        <v>128.27450909265923</v>
      </c>
      <c r="U22">
        <f t="shared" si="12"/>
        <v>28.331849409896328</v>
      </c>
      <c r="V22">
        <f t="shared" si="13"/>
        <v>28.57502666666667</v>
      </c>
      <c r="W22">
        <f t="shared" si="14"/>
        <v>3.9239261883632106</v>
      </c>
      <c r="X22">
        <f t="shared" si="15"/>
        <v>65.69860852529969</v>
      </c>
      <c r="Y22">
        <f t="shared" si="16"/>
        <v>2.5283875577690909</v>
      </c>
      <c r="Z22">
        <f t="shared" si="17"/>
        <v>3.8484643960083891</v>
      </c>
      <c r="AA22">
        <f t="shared" si="18"/>
        <v>1.3955386305941198</v>
      </c>
      <c r="AB22">
        <f t="shared" si="19"/>
        <v>-113.03837533479827</v>
      </c>
      <c r="AC22">
        <f t="shared" si="20"/>
        <v>-52.045671594102124</v>
      </c>
      <c r="AD22">
        <f t="shared" si="21"/>
        <v>-3.9423071905170479</v>
      </c>
      <c r="AE22">
        <f t="shared" si="22"/>
        <v>-40.751845026758211</v>
      </c>
      <c r="AF22">
        <f t="shared" si="23"/>
        <v>29.818752745364641</v>
      </c>
      <c r="AG22">
        <f t="shared" si="24"/>
        <v>2.5632284656416844</v>
      </c>
      <c r="AH22">
        <f t="shared" si="25"/>
        <v>29.923011120653836</v>
      </c>
      <c r="AI22">
        <v>467.87664821100532</v>
      </c>
      <c r="AJ22">
        <v>431.13989696969702</v>
      </c>
      <c r="AK22">
        <v>-1.942990697128644E-3</v>
      </c>
      <c r="AL22">
        <v>67.071937554359394</v>
      </c>
      <c r="AM22">
        <f t="shared" si="26"/>
        <v>2.5868437037696785</v>
      </c>
      <c r="AN22">
        <v>22.841761421774901</v>
      </c>
      <c r="AO22">
        <v>25.871395151515149</v>
      </c>
      <c r="AP22">
        <v>-9.4813275613316028E-4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51463.310995805419</v>
      </c>
      <c r="AW22" t="s">
        <v>463</v>
      </c>
      <c r="AX22">
        <v>13221.2</v>
      </c>
      <c r="AY22">
        <v>587.47941176470601</v>
      </c>
      <c r="AZ22">
        <v>2389.06</v>
      </c>
      <c r="BA22">
        <f t="shared" si="30"/>
        <v>0.75409599936179661</v>
      </c>
      <c r="BB22">
        <v>-2.8371633977392272</v>
      </c>
      <c r="BC22" t="s">
        <v>487</v>
      </c>
      <c r="BD22">
        <v>13187.2</v>
      </c>
      <c r="BE22">
        <v>898.35152941176466</v>
      </c>
      <c r="BF22">
        <v>1470.81</v>
      </c>
      <c r="BG22">
        <f t="shared" si="31"/>
        <v>0.38921306666954625</v>
      </c>
      <c r="BH22">
        <v>0.5</v>
      </c>
      <c r="BI22">
        <f t="shared" si="32"/>
        <v>672.29372272158514</v>
      </c>
      <c r="BJ22">
        <f t="shared" si="33"/>
        <v>29.818752745364641</v>
      </c>
      <c r="BK22">
        <f t="shared" si="34"/>
        <v>130.83275076157688</v>
      </c>
      <c r="BL22">
        <f t="shared" si="35"/>
        <v>4.8573882277088518E-2</v>
      </c>
      <c r="BM22">
        <f t="shared" si="36"/>
        <v>0.62431585316934213</v>
      </c>
      <c r="BN22">
        <f t="shared" si="37"/>
        <v>509.2920039334706</v>
      </c>
      <c r="BO22" t="s">
        <v>402</v>
      </c>
      <c r="BP22">
        <v>0</v>
      </c>
      <c r="BQ22">
        <f t="shared" si="38"/>
        <v>509.2920039334706</v>
      </c>
      <c r="BR22">
        <f t="shared" si="39"/>
        <v>0.65373365429017305</v>
      </c>
      <c r="BS22">
        <f t="shared" si="40"/>
        <v>0.59536948130987011</v>
      </c>
      <c r="BT22">
        <f t="shared" si="41"/>
        <v>0.48849113397050359</v>
      </c>
      <c r="BU22">
        <f t="shared" si="42"/>
        <v>0.64806820709320756</v>
      </c>
      <c r="BV22">
        <f t="shared" si="43"/>
        <v>0.5096913266030777</v>
      </c>
      <c r="BW22">
        <f t="shared" si="44"/>
        <v>0.33752590861138665</v>
      </c>
      <c r="BX22">
        <f t="shared" si="45"/>
        <v>0.66247409138861335</v>
      </c>
      <c r="DG22">
        <f t="shared" si="46"/>
        <v>799.9811000000002</v>
      </c>
      <c r="DH22">
        <f t="shared" si="47"/>
        <v>672.29372272158514</v>
      </c>
      <c r="DI22">
        <f t="shared" si="48"/>
        <v>0.84038700754503448</v>
      </c>
      <c r="DJ22">
        <f t="shared" si="49"/>
        <v>0.16034692456191676</v>
      </c>
      <c r="DK22">
        <v>6</v>
      </c>
      <c r="DL22">
        <v>0.5</v>
      </c>
      <c r="DM22" t="s">
        <v>403</v>
      </c>
      <c r="DN22">
        <v>2</v>
      </c>
      <c r="DO22" t="b">
        <v>0</v>
      </c>
      <c r="DP22">
        <v>1785002407.849999</v>
      </c>
      <c r="DQ22">
        <v>419.97820000000002</v>
      </c>
      <c r="DR22">
        <v>457.05156666666659</v>
      </c>
      <c r="DS22">
        <v>25.860980000000001</v>
      </c>
      <c r="DT22">
        <v>22.86472666666667</v>
      </c>
      <c r="DU22">
        <v>429.39363333333341</v>
      </c>
      <c r="DV22">
        <v>27.07826</v>
      </c>
      <c r="DW22">
        <v>500.01263333333321</v>
      </c>
      <c r="DX22">
        <v>97.70841666666665</v>
      </c>
      <c r="DY22">
        <v>6.0018936666666668E-2</v>
      </c>
      <c r="DZ22">
        <v>28.240916666666671</v>
      </c>
      <c r="EA22">
        <v>28.57502666666667</v>
      </c>
      <c r="EB22">
        <v>999.9000000000002</v>
      </c>
      <c r="EC22">
        <v>0</v>
      </c>
      <c r="ED22">
        <v>0</v>
      </c>
      <c r="EE22">
        <v>10002.16666666667</v>
      </c>
      <c r="EF22">
        <v>0</v>
      </c>
      <c r="EG22">
        <v>167.09100000000001</v>
      </c>
      <c r="EH22">
        <v>-37.073493333333332</v>
      </c>
      <c r="EI22">
        <v>431.12759999999997</v>
      </c>
      <c r="EJ22">
        <v>467.74646666666649</v>
      </c>
      <c r="EK22">
        <v>2.9962500000000012</v>
      </c>
      <c r="EL22">
        <v>457.05156666666659</v>
      </c>
      <c r="EM22">
        <v>22.86472666666667</v>
      </c>
      <c r="EN22">
        <v>2.5268353333333331</v>
      </c>
      <c r="EO22">
        <v>2.234075666666667</v>
      </c>
      <c r="EP22">
        <v>21.20037666666666</v>
      </c>
      <c r="EQ22">
        <v>19.208756666666659</v>
      </c>
      <c r="ER22">
        <v>799.9811000000002</v>
      </c>
      <c r="ES22">
        <v>0.98702316666666667</v>
      </c>
      <c r="ET22">
        <v>1.297675E-2</v>
      </c>
      <c r="EU22">
        <v>0</v>
      </c>
      <c r="EV22">
        <v>898.4591999999999</v>
      </c>
      <c r="EW22">
        <v>5.0010700000000003</v>
      </c>
      <c r="EX22">
        <v>11079.74666666667</v>
      </c>
      <c r="EY22">
        <v>7246.5139999999992</v>
      </c>
      <c r="EZ22">
        <v>45.754133333333343</v>
      </c>
      <c r="FA22">
        <v>49.082999999999977</v>
      </c>
      <c r="FB22">
        <v>47.5124</v>
      </c>
      <c r="FC22">
        <v>48.311999999999983</v>
      </c>
      <c r="FD22">
        <v>47.082999999999977</v>
      </c>
      <c r="FE22">
        <v>784.66333333333341</v>
      </c>
      <c r="FF22">
        <v>10.32</v>
      </c>
      <c r="FG22">
        <v>0</v>
      </c>
      <c r="FH22">
        <v>180.70000004768369</v>
      </c>
      <c r="FI22">
        <v>0</v>
      </c>
      <c r="FJ22">
        <v>898.35152941176466</v>
      </c>
      <c r="FK22">
        <v>-2.7529412230620212</v>
      </c>
      <c r="FL22">
        <v>-64.901960164231113</v>
      </c>
      <c r="FM22">
        <v>11075.523529411759</v>
      </c>
      <c r="FN22">
        <v>10</v>
      </c>
      <c r="FO22">
        <v>1785002327.5999999</v>
      </c>
      <c r="FP22" t="s">
        <v>488</v>
      </c>
      <c r="FQ22">
        <v>1785002327.5999999</v>
      </c>
      <c r="FR22">
        <v>1785002324.0999999</v>
      </c>
      <c r="FS22">
        <v>20</v>
      </c>
      <c r="FT22">
        <v>2.3E-2</v>
      </c>
      <c r="FU22">
        <v>-2.5999999999999999E-2</v>
      </c>
      <c r="FV22">
        <v>-9.5559999999999992</v>
      </c>
      <c r="FW22">
        <v>-1.2969999999999999</v>
      </c>
      <c r="FX22">
        <v>458</v>
      </c>
      <c r="FY22">
        <v>23</v>
      </c>
      <c r="FZ22">
        <v>0.23</v>
      </c>
      <c r="GA22">
        <v>0.12</v>
      </c>
      <c r="GB22">
        <v>419.97820000000002</v>
      </c>
      <c r="GC22">
        <v>0.1150077864280669</v>
      </c>
      <c r="GD22">
        <v>5.2462939300039542E-2</v>
      </c>
      <c r="GE22">
        <v>-1</v>
      </c>
      <c r="GF22">
        <v>898.62317647058808</v>
      </c>
      <c r="GG22">
        <v>-3.0556455309133459</v>
      </c>
      <c r="GH22">
        <v>0.38052792048665918</v>
      </c>
      <c r="GI22">
        <v>1</v>
      </c>
      <c r="GJ22">
        <v>2.9053252500000002</v>
      </c>
      <c r="GK22">
        <v>1.5512520450281411</v>
      </c>
      <c r="GL22">
        <v>0.16957308608661201</v>
      </c>
      <c r="GM22">
        <v>0</v>
      </c>
      <c r="GN22">
        <v>1</v>
      </c>
      <c r="GO22">
        <v>2</v>
      </c>
      <c r="GP22" t="s">
        <v>409</v>
      </c>
      <c r="GQ22">
        <v>3.1314700000000002</v>
      </c>
      <c r="GR22">
        <v>2.73631</v>
      </c>
      <c r="GS22">
        <v>9.0513899999999994E-2</v>
      </c>
      <c r="GT22">
        <v>9.5588099999999995E-2</v>
      </c>
      <c r="GU22">
        <v>0.119979</v>
      </c>
      <c r="GV22">
        <v>0.106715</v>
      </c>
      <c r="GW22">
        <v>22547.200000000001</v>
      </c>
      <c r="GX22">
        <v>29959.3</v>
      </c>
      <c r="GY22">
        <v>26922.6</v>
      </c>
      <c r="GZ22">
        <v>34108.5</v>
      </c>
      <c r="HA22">
        <v>34752.800000000003</v>
      </c>
      <c r="HB22">
        <v>38365.4</v>
      </c>
      <c r="HC22">
        <v>39779.699999999997</v>
      </c>
      <c r="HD22">
        <v>43014.2</v>
      </c>
      <c r="HE22">
        <v>1.905</v>
      </c>
      <c r="HF22">
        <v>1.6188</v>
      </c>
      <c r="HG22">
        <v>-0.12442499999999999</v>
      </c>
      <c r="HH22">
        <v>0</v>
      </c>
      <c r="HI22">
        <v>30.635300000000001</v>
      </c>
      <c r="HJ22">
        <v>999.9</v>
      </c>
      <c r="HK22">
        <v>42.2</v>
      </c>
      <c r="HL22">
        <v>45.8</v>
      </c>
      <c r="HM22">
        <v>43.377200000000002</v>
      </c>
      <c r="HN22">
        <v>61.438299999999998</v>
      </c>
      <c r="HO22">
        <v>4.4150600000000004</v>
      </c>
      <c r="HP22">
        <v>1</v>
      </c>
      <c r="HQ22">
        <v>1.1474</v>
      </c>
      <c r="HR22">
        <v>7.3329199999999997</v>
      </c>
      <c r="HS22">
        <v>20.086099999999998</v>
      </c>
      <c r="HT22">
        <v>5.2077099999999996</v>
      </c>
      <c r="HU22">
        <v>11.918900000000001</v>
      </c>
      <c r="HV22">
        <v>4.9820000000000002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1.86331</v>
      </c>
      <c r="ID22">
        <v>1.8627899999999999</v>
      </c>
      <c r="IE22">
        <v>1.8623400000000001</v>
      </c>
      <c r="IF22">
        <v>1.8623400000000001</v>
      </c>
      <c r="IG22">
        <v>1.8627899999999999</v>
      </c>
      <c r="IH22">
        <v>1.86371</v>
      </c>
      <c r="II22">
        <v>1.8616900000000001</v>
      </c>
      <c r="IJ22">
        <v>0</v>
      </c>
      <c r="IK22">
        <v>0</v>
      </c>
      <c r="IL22">
        <v>0</v>
      </c>
      <c r="IM22">
        <v>4.5</v>
      </c>
      <c r="IN22" t="s">
        <v>405</v>
      </c>
      <c r="IO22" t="s">
        <v>406</v>
      </c>
      <c r="IP22" t="s">
        <v>407</v>
      </c>
      <c r="IQ22" t="s">
        <v>408</v>
      </c>
      <c r="IR22" t="s">
        <v>408</v>
      </c>
      <c r="IS22" t="s">
        <v>407</v>
      </c>
      <c r="IT22">
        <v>0</v>
      </c>
      <c r="IU22">
        <v>100</v>
      </c>
      <c r="IV22">
        <v>100</v>
      </c>
      <c r="IW22">
        <v>-9.4160000000000004</v>
      </c>
      <c r="IX22">
        <v>-1.2170000000000001</v>
      </c>
      <c r="IY22">
        <v>-7.4150085819222404</v>
      </c>
      <c r="IZ22">
        <v>-5.6215304933332991E-3</v>
      </c>
      <c r="JA22">
        <v>2.3979931213773931E-6</v>
      </c>
      <c r="JB22">
        <v>-3.6297174575716598E-10</v>
      </c>
      <c r="JC22">
        <v>-1.696925688423401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1.5</v>
      </c>
      <c r="JM22">
        <v>1.18042</v>
      </c>
      <c r="JN22">
        <v>2.5769000000000002</v>
      </c>
      <c r="JO22">
        <v>1.50024</v>
      </c>
      <c r="JP22">
        <v>2.2680699999999998</v>
      </c>
      <c r="JQ22">
        <v>1.4477500000000001</v>
      </c>
      <c r="JR22">
        <v>2.4133300000000002</v>
      </c>
      <c r="JS22">
        <v>49.8018</v>
      </c>
      <c r="JT22">
        <v>23.973700000000001</v>
      </c>
      <c r="JU22">
        <v>18</v>
      </c>
      <c r="JV22">
        <v>552.61199999999997</v>
      </c>
      <c r="JW22">
        <v>377.00299999999999</v>
      </c>
      <c r="JX22">
        <v>24.708500000000001</v>
      </c>
      <c r="JY22">
        <v>40.558500000000002</v>
      </c>
      <c r="JZ22">
        <v>29.999700000000001</v>
      </c>
      <c r="KA22">
        <v>40.627200000000002</v>
      </c>
      <c r="KB22">
        <v>40.631999999999998</v>
      </c>
      <c r="KC22">
        <v>23.618099999999998</v>
      </c>
      <c r="KD22">
        <v>48.722999999999999</v>
      </c>
      <c r="KE22">
        <v>0</v>
      </c>
      <c r="KF22">
        <v>24.681899999999999</v>
      </c>
      <c r="KG22">
        <v>456.99099999999999</v>
      </c>
      <c r="KH22">
        <v>22.692499999999999</v>
      </c>
      <c r="KI22">
        <v>99.396699999999996</v>
      </c>
      <c r="KJ22">
        <v>97.036699999999996</v>
      </c>
    </row>
    <row r="23" spans="1:296" x14ac:dyDescent="0.3">
      <c r="A23">
        <v>7</v>
      </c>
      <c r="B23">
        <v>1785002597.0999999</v>
      </c>
      <c r="C23">
        <v>1089.099999904633</v>
      </c>
      <c r="D23" t="s">
        <v>489</v>
      </c>
      <c r="E23" t="s">
        <v>490</v>
      </c>
      <c r="F23">
        <v>15</v>
      </c>
      <c r="H23">
        <v>1785002589.099999</v>
      </c>
      <c r="I23">
        <f t="shared" si="0"/>
        <v>2.1770189709514934E-3</v>
      </c>
      <c r="J23">
        <f t="shared" si="1"/>
        <v>2.1770189709514933</v>
      </c>
      <c r="K23">
        <f t="shared" si="2"/>
        <v>25.637675526067607</v>
      </c>
      <c r="L23">
        <f t="shared" si="3"/>
        <v>420.04248387096783</v>
      </c>
      <c r="M23">
        <f t="shared" si="4"/>
        <v>131.64817224419795</v>
      </c>
      <c r="N23">
        <f t="shared" si="5"/>
        <v>12.870889512779009</v>
      </c>
      <c r="O23">
        <f t="shared" si="6"/>
        <v>41.066429623862518</v>
      </c>
      <c r="P23">
        <f t="shared" si="7"/>
        <v>0.14913563626985887</v>
      </c>
      <c r="Q23">
        <f t="shared" si="8"/>
        <v>2.8894413317417271</v>
      </c>
      <c r="R23">
        <f t="shared" si="9"/>
        <v>0.14498752240485985</v>
      </c>
      <c r="S23">
        <f t="shared" si="10"/>
        <v>9.0980282829759423E-2</v>
      </c>
      <c r="T23">
        <f t="shared" si="11"/>
        <v>96.344358998098542</v>
      </c>
      <c r="U23">
        <f t="shared" si="12"/>
        <v>28.376057930943247</v>
      </c>
      <c r="V23">
        <f t="shared" si="13"/>
        <v>28.703670967741939</v>
      </c>
      <c r="W23">
        <f t="shared" si="14"/>
        <v>3.9533239295551881</v>
      </c>
      <c r="X23">
        <f t="shared" si="15"/>
        <v>65.337375622159669</v>
      </c>
      <c r="Y23">
        <f t="shared" si="16"/>
        <v>2.5340309559628036</v>
      </c>
      <c r="Z23">
        <f t="shared" si="17"/>
        <v>3.8783788479918186</v>
      </c>
      <c r="AA23">
        <f t="shared" si="18"/>
        <v>1.4192929735923845</v>
      </c>
      <c r="AB23">
        <f t="shared" si="19"/>
        <v>-96.006536618960865</v>
      </c>
      <c r="AC23">
        <f t="shared" si="20"/>
        <v>-51.348147447223063</v>
      </c>
      <c r="AD23">
        <f t="shared" si="21"/>
        <v>-3.8945033955366331</v>
      </c>
      <c r="AE23">
        <f t="shared" si="22"/>
        <v>-54.904828463622017</v>
      </c>
      <c r="AF23">
        <f t="shared" si="23"/>
        <v>25.637675526067607</v>
      </c>
      <c r="AG23">
        <f t="shared" si="24"/>
        <v>2.1770189709514933</v>
      </c>
      <c r="AH23">
        <f t="shared" si="25"/>
        <v>25.655153499693416</v>
      </c>
      <c r="AI23">
        <v>463.05307778740598</v>
      </c>
      <c r="AJ23">
        <v>431.29356969696943</v>
      </c>
      <c r="AK23">
        <v>4.5464335916103937E-2</v>
      </c>
      <c r="AL23">
        <v>67.008852285715207</v>
      </c>
      <c r="AM23">
        <f t="shared" si="26"/>
        <v>1.9953870832632767</v>
      </c>
      <c r="AN23">
        <v>23.373663407034972</v>
      </c>
      <c r="AO23">
        <v>25.81128727272726</v>
      </c>
      <c r="AP23">
        <v>-1.7238350900755019E-2</v>
      </c>
      <c r="AQ23">
        <v>78.168261899167092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51441.34708226825</v>
      </c>
      <c r="AW23" t="s">
        <v>463</v>
      </c>
      <c r="AX23">
        <v>13221.2</v>
      </c>
      <c r="AY23">
        <v>587.47941176470601</v>
      </c>
      <c r="AZ23">
        <v>2389.06</v>
      </c>
      <c r="BA23">
        <f t="shared" si="30"/>
        <v>0.75409599936179661</v>
      </c>
      <c r="BB23">
        <v>-2.8371633977392272</v>
      </c>
      <c r="BC23" t="s">
        <v>491</v>
      </c>
      <c r="BD23">
        <v>13195.5</v>
      </c>
      <c r="BE23">
        <v>928.57276470588226</v>
      </c>
      <c r="BF23">
        <v>1684.15</v>
      </c>
      <c r="BG23">
        <f t="shared" si="31"/>
        <v>0.44864010645970831</v>
      </c>
      <c r="BH23">
        <v>0.5</v>
      </c>
      <c r="BI23">
        <f t="shared" si="32"/>
        <v>504.29798855659448</v>
      </c>
      <c r="BJ23">
        <f t="shared" si="33"/>
        <v>25.637675526067607</v>
      </c>
      <c r="BK23">
        <f t="shared" si="34"/>
        <v>113.12415163672365</v>
      </c>
      <c r="BL23">
        <f t="shared" si="35"/>
        <v>5.6464311914683096E-2</v>
      </c>
      <c r="BM23">
        <f t="shared" si="36"/>
        <v>0.41855535433304625</v>
      </c>
      <c r="BN23">
        <f t="shared" si="37"/>
        <v>532.65608461076874</v>
      </c>
      <c r="BO23" t="s">
        <v>402</v>
      </c>
      <c r="BP23">
        <v>0</v>
      </c>
      <c r="BQ23">
        <f t="shared" si="38"/>
        <v>532.65608461076874</v>
      </c>
      <c r="BR23">
        <f t="shared" si="39"/>
        <v>0.6837240835966103</v>
      </c>
      <c r="BS23">
        <f t="shared" si="40"/>
        <v>0.65617127906291661</v>
      </c>
      <c r="BT23">
        <f t="shared" si="41"/>
        <v>0.37971800972645636</v>
      </c>
      <c r="BU23">
        <f t="shared" si="42"/>
        <v>0.68897373869573175</v>
      </c>
      <c r="BV23">
        <f t="shared" si="43"/>
        <v>0.39127308797797489</v>
      </c>
      <c r="BW23">
        <f t="shared" si="44"/>
        <v>0.37639874614500329</v>
      </c>
      <c r="BX23">
        <f t="shared" si="45"/>
        <v>0.62360125385499665</v>
      </c>
      <c r="DG23">
        <f t="shared" si="46"/>
        <v>599.99367741935475</v>
      </c>
      <c r="DH23">
        <f t="shared" si="47"/>
        <v>504.29798855659448</v>
      </c>
      <c r="DI23">
        <f t="shared" si="48"/>
        <v>0.84050550453404949</v>
      </c>
      <c r="DJ23">
        <f t="shared" si="49"/>
        <v>0.1605756237507156</v>
      </c>
      <c r="DK23">
        <v>6</v>
      </c>
      <c r="DL23">
        <v>0.5</v>
      </c>
      <c r="DM23" t="s">
        <v>403</v>
      </c>
      <c r="DN23">
        <v>2</v>
      </c>
      <c r="DO23" t="b">
        <v>0</v>
      </c>
      <c r="DP23">
        <v>1785002589.099999</v>
      </c>
      <c r="DQ23">
        <v>420.04248387096783</v>
      </c>
      <c r="DR23">
        <v>451.90403225806449</v>
      </c>
      <c r="DS23">
        <v>25.918996774193548</v>
      </c>
      <c r="DT23">
        <v>23.374364516129031</v>
      </c>
      <c r="DU23">
        <v>429.35283870967748</v>
      </c>
      <c r="DV23">
        <v>27.157825806451601</v>
      </c>
      <c r="DW23">
        <v>500.01554838709683</v>
      </c>
      <c r="DX23">
        <v>97.707509677419367</v>
      </c>
      <c r="DY23">
        <v>5.9814345161290319E-2</v>
      </c>
      <c r="DZ23">
        <v>28.37404193548387</v>
      </c>
      <c r="EA23">
        <v>28.703670967741939</v>
      </c>
      <c r="EB23">
        <v>999.90000000000032</v>
      </c>
      <c r="EC23">
        <v>0</v>
      </c>
      <c r="ED23">
        <v>0</v>
      </c>
      <c r="EE23">
        <v>10002.41935483871</v>
      </c>
      <c r="EF23">
        <v>0</v>
      </c>
      <c r="EG23">
        <v>167.46174193548379</v>
      </c>
      <c r="EH23">
        <v>-31.861483870967739</v>
      </c>
      <c r="EI23">
        <v>431.21932258064521</v>
      </c>
      <c r="EJ23">
        <v>462.71980645161278</v>
      </c>
      <c r="EK23">
        <v>2.544634838709678</v>
      </c>
      <c r="EL23">
        <v>451.90403225806449</v>
      </c>
      <c r="EM23">
        <v>23.374364516129031</v>
      </c>
      <c r="EN23">
        <v>2.532480322580644</v>
      </c>
      <c r="EO23">
        <v>2.2838509677419361</v>
      </c>
      <c r="EP23">
        <v>21.236719354838709</v>
      </c>
      <c r="EQ23">
        <v>19.562954838709679</v>
      </c>
      <c r="ER23">
        <v>599.99367741935475</v>
      </c>
      <c r="ES23">
        <v>0.9830089999999998</v>
      </c>
      <c r="ET23">
        <v>1.69909E-2</v>
      </c>
      <c r="EU23">
        <v>0</v>
      </c>
      <c r="EV23">
        <v>929.03864516129033</v>
      </c>
      <c r="EW23">
        <v>5.0010700000000003</v>
      </c>
      <c r="EX23">
        <v>9349.7051612903215</v>
      </c>
      <c r="EY23">
        <v>5415.0741935483866</v>
      </c>
      <c r="EZ23">
        <v>45.133000000000003</v>
      </c>
      <c r="FA23">
        <v>48.824193548387072</v>
      </c>
      <c r="FB23">
        <v>47.061999999999969</v>
      </c>
      <c r="FC23">
        <v>48.186999999999969</v>
      </c>
      <c r="FD23">
        <v>46.628999999999998</v>
      </c>
      <c r="FE23">
        <v>584.88354838709665</v>
      </c>
      <c r="FF23">
        <v>10.11</v>
      </c>
      <c r="FG23">
        <v>0</v>
      </c>
      <c r="FH23">
        <v>180.9000000953674</v>
      </c>
      <c r="FI23">
        <v>0</v>
      </c>
      <c r="FJ23">
        <v>928.57276470588226</v>
      </c>
      <c r="FK23">
        <v>-8.8210784010845913</v>
      </c>
      <c r="FL23">
        <v>-28.600489687156859</v>
      </c>
      <c r="FM23">
        <v>9349.7747058823516</v>
      </c>
      <c r="FN23">
        <v>10</v>
      </c>
      <c r="FO23">
        <v>1785002552.5999999</v>
      </c>
      <c r="FP23" t="s">
        <v>492</v>
      </c>
      <c r="FQ23">
        <v>1785002552.5999999</v>
      </c>
      <c r="FR23">
        <v>1785002551.0999999</v>
      </c>
      <c r="FS23">
        <v>21</v>
      </c>
      <c r="FT23">
        <v>0.105</v>
      </c>
      <c r="FU23">
        <v>-2.4E-2</v>
      </c>
      <c r="FV23">
        <v>-9.4329999999999998</v>
      </c>
      <c r="FW23">
        <v>-1.2969999999999999</v>
      </c>
      <c r="FX23">
        <v>453</v>
      </c>
      <c r="FY23">
        <v>24</v>
      </c>
      <c r="FZ23">
        <v>0.24</v>
      </c>
      <c r="GA23">
        <v>0.15</v>
      </c>
      <c r="GB23">
        <v>420.04248387096783</v>
      </c>
      <c r="GC23">
        <v>-0.51735483871063948</v>
      </c>
      <c r="GD23">
        <v>0.1217540808000532</v>
      </c>
      <c r="GE23">
        <v>-1</v>
      </c>
      <c r="GF23">
        <v>929.46694117647075</v>
      </c>
      <c r="GG23">
        <v>-9.4463559838519355</v>
      </c>
      <c r="GH23">
        <v>0.96672290394423754</v>
      </c>
      <c r="GI23">
        <v>1</v>
      </c>
      <c r="GJ23">
        <v>2.5763621951219511</v>
      </c>
      <c r="GK23">
        <v>-0.80779505226480597</v>
      </c>
      <c r="GL23">
        <v>8.0048892270399519E-2</v>
      </c>
      <c r="GM23">
        <v>0</v>
      </c>
      <c r="GN23">
        <v>1</v>
      </c>
      <c r="GO23">
        <v>2</v>
      </c>
      <c r="GP23" t="s">
        <v>409</v>
      </c>
      <c r="GQ23">
        <v>3.1303200000000002</v>
      </c>
      <c r="GR23">
        <v>2.7357300000000002</v>
      </c>
      <c r="GS23">
        <v>9.0516600000000003E-2</v>
      </c>
      <c r="GT23">
        <v>9.4803999999999999E-2</v>
      </c>
      <c r="GU23">
        <v>0.119839</v>
      </c>
      <c r="GV23">
        <v>0.108477</v>
      </c>
      <c r="GW23">
        <v>22546.7</v>
      </c>
      <c r="GX23">
        <v>29987.4</v>
      </c>
      <c r="GY23">
        <v>26921.8</v>
      </c>
      <c r="GZ23">
        <v>34110.5</v>
      </c>
      <c r="HA23">
        <v>34757.199999999997</v>
      </c>
      <c r="HB23">
        <v>38293.199999999997</v>
      </c>
      <c r="HC23">
        <v>39778.800000000003</v>
      </c>
      <c r="HD23">
        <v>43017.8</v>
      </c>
      <c r="HE23">
        <v>1.9041999999999999</v>
      </c>
      <c r="HF23">
        <v>1.6202000000000001</v>
      </c>
      <c r="HG23">
        <v>-0.124335</v>
      </c>
      <c r="HH23">
        <v>0</v>
      </c>
      <c r="HI23">
        <v>30.7288</v>
      </c>
      <c r="HJ23">
        <v>999.9</v>
      </c>
      <c r="HK23">
        <v>42</v>
      </c>
      <c r="HL23">
        <v>45.9</v>
      </c>
      <c r="HM23">
        <v>43.395400000000002</v>
      </c>
      <c r="HN23">
        <v>61.208399999999997</v>
      </c>
      <c r="HO23">
        <v>4.6113799999999996</v>
      </c>
      <c r="HP23">
        <v>1</v>
      </c>
      <c r="HQ23">
        <v>1.1563600000000001</v>
      </c>
      <c r="HR23">
        <v>8.8856199999999994</v>
      </c>
      <c r="HS23">
        <v>20.016300000000001</v>
      </c>
      <c r="HT23">
        <v>5.2112999999999996</v>
      </c>
      <c r="HU23">
        <v>11.9201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1.8675200000000001</v>
      </c>
      <c r="IC23">
        <v>1.8632500000000001</v>
      </c>
      <c r="ID23">
        <v>1.8627899999999999</v>
      </c>
      <c r="IE23">
        <v>1.8623400000000001</v>
      </c>
      <c r="IF23">
        <v>1.8623099999999999</v>
      </c>
      <c r="IG23">
        <v>1.86276</v>
      </c>
      <c r="IH23">
        <v>1.86374</v>
      </c>
      <c r="II23">
        <v>1.86172</v>
      </c>
      <c r="IJ23">
        <v>0</v>
      </c>
      <c r="IK23">
        <v>0</v>
      </c>
      <c r="IL23">
        <v>0</v>
      </c>
      <c r="IM23">
        <v>4.5</v>
      </c>
      <c r="IN23" t="s">
        <v>405</v>
      </c>
      <c r="IO23" t="s">
        <v>406</v>
      </c>
      <c r="IP23" t="s">
        <v>407</v>
      </c>
      <c r="IQ23" t="s">
        <v>408</v>
      </c>
      <c r="IR23" t="s">
        <v>408</v>
      </c>
      <c r="IS23" t="s">
        <v>407</v>
      </c>
      <c r="IT23">
        <v>0</v>
      </c>
      <c r="IU23">
        <v>100</v>
      </c>
      <c r="IV23">
        <v>100</v>
      </c>
      <c r="IW23">
        <v>-9.3109999999999999</v>
      </c>
      <c r="IX23">
        <v>-1.2422</v>
      </c>
      <c r="IY23">
        <v>-7.3101108816412363</v>
      </c>
      <c r="IZ23">
        <v>-5.6215304933332991E-3</v>
      </c>
      <c r="JA23">
        <v>2.3979931213773931E-6</v>
      </c>
      <c r="JB23">
        <v>-3.6297174575716598E-10</v>
      </c>
      <c r="JC23">
        <v>-1.720780408234158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0.7</v>
      </c>
      <c r="JL23">
        <v>0.8</v>
      </c>
      <c r="JM23">
        <v>1.17065</v>
      </c>
      <c r="JN23">
        <v>2.5854499999999998</v>
      </c>
      <c r="JO23">
        <v>1.50024</v>
      </c>
      <c r="JP23">
        <v>2.2680699999999998</v>
      </c>
      <c r="JQ23">
        <v>1.4477500000000001</v>
      </c>
      <c r="JR23">
        <v>2.4597199999999999</v>
      </c>
      <c r="JS23">
        <v>49.8337</v>
      </c>
      <c r="JT23">
        <v>23.947399999999998</v>
      </c>
      <c r="JU23">
        <v>18</v>
      </c>
      <c r="JV23">
        <v>551.99099999999999</v>
      </c>
      <c r="JW23">
        <v>377.84</v>
      </c>
      <c r="JX23">
        <v>24.3734</v>
      </c>
      <c r="JY23">
        <v>40.502000000000002</v>
      </c>
      <c r="JZ23">
        <v>30.001799999999999</v>
      </c>
      <c r="KA23">
        <v>40.619300000000003</v>
      </c>
      <c r="KB23">
        <v>40.636000000000003</v>
      </c>
      <c r="KC23">
        <v>23.417300000000001</v>
      </c>
      <c r="KD23">
        <v>47.694899999999997</v>
      </c>
      <c r="KE23">
        <v>0</v>
      </c>
      <c r="KF23">
        <v>24.3507</v>
      </c>
      <c r="KG23">
        <v>451.83100000000002</v>
      </c>
      <c r="KH23">
        <v>23.353000000000002</v>
      </c>
      <c r="KI23">
        <v>99.394099999999995</v>
      </c>
      <c r="KJ23">
        <v>97.043800000000005</v>
      </c>
    </row>
    <row r="24" spans="1:296" x14ac:dyDescent="0.3">
      <c r="A24">
        <v>8</v>
      </c>
      <c r="B24">
        <v>1785002778.5999999</v>
      </c>
      <c r="C24">
        <v>1270.599999904633</v>
      </c>
      <c r="D24" t="s">
        <v>493</v>
      </c>
      <c r="E24" t="s">
        <v>494</v>
      </c>
      <c r="F24">
        <v>15</v>
      </c>
      <c r="H24">
        <v>1785002770.599999</v>
      </c>
      <c r="I24">
        <f t="shared" si="0"/>
        <v>1.3934461886846161E-3</v>
      </c>
      <c r="J24">
        <f t="shared" si="1"/>
        <v>1.3934461886846161</v>
      </c>
      <c r="K24">
        <f t="shared" si="2"/>
        <v>19.752627638583867</v>
      </c>
      <c r="L24">
        <f t="shared" si="3"/>
        <v>420.18496774193562</v>
      </c>
      <c r="M24">
        <f t="shared" si="4"/>
        <v>71.330281734282863</v>
      </c>
      <c r="N24">
        <f t="shared" si="5"/>
        <v>6.9737419722834479</v>
      </c>
      <c r="O24">
        <f t="shared" si="6"/>
        <v>41.080190270104552</v>
      </c>
      <c r="P24">
        <f t="shared" si="7"/>
        <v>9.358370337420778E-2</v>
      </c>
      <c r="Q24">
        <f t="shared" si="8"/>
        <v>2.8881046423829546</v>
      </c>
      <c r="R24">
        <f t="shared" si="9"/>
        <v>9.1931131340917682E-2</v>
      </c>
      <c r="S24">
        <f t="shared" si="10"/>
        <v>5.760300339974378E-2</v>
      </c>
      <c r="T24">
        <f t="shared" si="11"/>
        <v>64.413561071339018</v>
      </c>
      <c r="U24">
        <f t="shared" si="12"/>
        <v>28.388067872210751</v>
      </c>
      <c r="V24">
        <f t="shared" si="13"/>
        <v>28.697667741935479</v>
      </c>
      <c r="W24">
        <f t="shared" si="14"/>
        <v>3.9519478146031979</v>
      </c>
      <c r="X24">
        <f t="shared" si="15"/>
        <v>64.96591389496065</v>
      </c>
      <c r="Y24">
        <f t="shared" si="16"/>
        <v>2.5190880150804644</v>
      </c>
      <c r="Z24">
        <f t="shared" si="17"/>
        <v>3.8775534184794527</v>
      </c>
      <c r="AA24">
        <f t="shared" si="18"/>
        <v>1.4328597995227335</v>
      </c>
      <c r="AB24">
        <f t="shared" si="19"/>
        <v>-61.450976920991572</v>
      </c>
      <c r="AC24">
        <f t="shared" si="20"/>
        <v>-50.959745647865461</v>
      </c>
      <c r="AD24">
        <f t="shared" si="21"/>
        <v>-3.8666479646597116</v>
      </c>
      <c r="AE24">
        <f t="shared" si="22"/>
        <v>-51.863809462177727</v>
      </c>
      <c r="AF24">
        <f t="shared" si="23"/>
        <v>19.752627638583867</v>
      </c>
      <c r="AG24">
        <f t="shared" si="24"/>
        <v>1.3934461886846161</v>
      </c>
      <c r="AH24">
        <f t="shared" si="25"/>
        <v>19.867331512162622</v>
      </c>
      <c r="AI24">
        <v>455.76959436966348</v>
      </c>
      <c r="AJ24">
        <v>431.30533333333341</v>
      </c>
      <c r="AK24">
        <v>6.7545957360207447E-3</v>
      </c>
      <c r="AL24">
        <v>67.069343559874454</v>
      </c>
      <c r="AM24">
        <f t="shared" si="26"/>
        <v>1.4044224732197625</v>
      </c>
      <c r="AN24">
        <v>24.137990129177499</v>
      </c>
      <c r="AO24">
        <v>25.780075151515149</v>
      </c>
      <c r="AP24">
        <v>-5.3662337661503069E-5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51404.076115952412</v>
      </c>
      <c r="AW24" t="s">
        <v>463</v>
      </c>
      <c r="AX24">
        <v>13221.2</v>
      </c>
      <c r="AY24">
        <v>587.47941176470601</v>
      </c>
      <c r="AZ24">
        <v>2389.06</v>
      </c>
      <c r="BA24">
        <f t="shared" si="30"/>
        <v>0.75409599936179661</v>
      </c>
      <c r="BB24">
        <v>-2.8371633977392272</v>
      </c>
      <c r="BC24" t="s">
        <v>495</v>
      </c>
      <c r="BD24">
        <v>13205</v>
      </c>
      <c r="BE24">
        <v>954.0801764705883</v>
      </c>
      <c r="BF24">
        <v>1971.66</v>
      </c>
      <c r="BG24">
        <f t="shared" si="31"/>
        <v>0.51610309258665876</v>
      </c>
      <c r="BH24">
        <v>0.5</v>
      </c>
      <c r="BI24">
        <f t="shared" si="32"/>
        <v>336.30710016398979</v>
      </c>
      <c r="BJ24">
        <f t="shared" si="33"/>
        <v>19.752627638583867</v>
      </c>
      <c r="BK24">
        <f t="shared" si="34"/>
        <v>86.784567226743178</v>
      </c>
      <c r="BL24">
        <f t="shared" si="35"/>
        <v>6.717012821111383E-2</v>
      </c>
      <c r="BM24">
        <f t="shared" si="36"/>
        <v>0.2116997859671545</v>
      </c>
      <c r="BN24">
        <f t="shared" si="37"/>
        <v>558.40981188804597</v>
      </c>
      <c r="BO24" t="s">
        <v>402</v>
      </c>
      <c r="BP24">
        <v>0</v>
      </c>
      <c r="BQ24">
        <f t="shared" si="38"/>
        <v>558.40981188804597</v>
      </c>
      <c r="BR24">
        <f t="shared" si="39"/>
        <v>0.71678189348668331</v>
      </c>
      <c r="BS24">
        <f t="shared" si="40"/>
        <v>0.72002808284699948</v>
      </c>
      <c r="BT24">
        <f t="shared" si="41"/>
        <v>0.22800642236870305</v>
      </c>
      <c r="BU24">
        <f t="shared" si="42"/>
        <v>0.73514961283103575</v>
      </c>
      <c r="BV24">
        <f t="shared" si="43"/>
        <v>0.23168544483977627</v>
      </c>
      <c r="BW24">
        <f t="shared" si="44"/>
        <v>0.421422387984285</v>
      </c>
      <c r="BX24">
        <f t="shared" si="45"/>
        <v>0.578577612015715</v>
      </c>
      <c r="DG24">
        <f t="shared" si="46"/>
        <v>400.01309677419363</v>
      </c>
      <c r="DH24">
        <f t="shared" si="47"/>
        <v>336.30710016398979</v>
      </c>
      <c r="DI24">
        <f t="shared" si="48"/>
        <v>0.8407402229478359</v>
      </c>
      <c r="DJ24">
        <f t="shared" si="49"/>
        <v>0.16102863028932352</v>
      </c>
      <c r="DK24">
        <v>6</v>
      </c>
      <c r="DL24">
        <v>0.5</v>
      </c>
      <c r="DM24" t="s">
        <v>403</v>
      </c>
      <c r="DN24">
        <v>2</v>
      </c>
      <c r="DO24" t="b">
        <v>0</v>
      </c>
      <c r="DP24">
        <v>1785002770.599999</v>
      </c>
      <c r="DQ24">
        <v>420.18496774193562</v>
      </c>
      <c r="DR24">
        <v>444.58919354838702</v>
      </c>
      <c r="DS24">
        <v>25.766261290322589</v>
      </c>
      <c r="DT24">
        <v>24.137312903225808</v>
      </c>
      <c r="DU24">
        <v>429.49574193548392</v>
      </c>
      <c r="DV24">
        <v>26.99935806451613</v>
      </c>
      <c r="DW24">
        <v>500.03141935483859</v>
      </c>
      <c r="DX24">
        <v>97.70655806451613</v>
      </c>
      <c r="DY24">
        <v>6.0362277419354841E-2</v>
      </c>
      <c r="DZ24">
        <v>28.370380645161291</v>
      </c>
      <c r="EA24">
        <v>28.697667741935479</v>
      </c>
      <c r="EB24">
        <v>999.90000000000032</v>
      </c>
      <c r="EC24">
        <v>0</v>
      </c>
      <c r="ED24">
        <v>0</v>
      </c>
      <c r="EE24">
        <v>9994.8387096774186</v>
      </c>
      <c r="EF24">
        <v>0</v>
      </c>
      <c r="EG24">
        <v>167.9757741935484</v>
      </c>
      <c r="EH24">
        <v>-24.404241935483871</v>
      </c>
      <c r="EI24">
        <v>431.29790322580641</v>
      </c>
      <c r="EJ24">
        <v>455.58587096774198</v>
      </c>
      <c r="EK24">
        <v>1.6289629032258071</v>
      </c>
      <c r="EL24">
        <v>444.58919354838702</v>
      </c>
      <c r="EM24">
        <v>24.137312903225808</v>
      </c>
      <c r="EN24">
        <v>2.517534193548387</v>
      </c>
      <c r="EO24">
        <v>2.358373548387096</v>
      </c>
      <c r="EP24">
        <v>21.140293548387099</v>
      </c>
      <c r="EQ24">
        <v>20.08075483870968</v>
      </c>
      <c r="ER24">
        <v>400.01309677419363</v>
      </c>
      <c r="ES24">
        <v>0.97501716129032245</v>
      </c>
      <c r="ET24">
        <v>2.4982725806451611E-2</v>
      </c>
      <c r="EU24">
        <v>0</v>
      </c>
      <c r="EV24">
        <v>954.45958064516128</v>
      </c>
      <c r="EW24">
        <v>5.0010700000000003</v>
      </c>
      <c r="EX24">
        <v>7445.4393548387097</v>
      </c>
      <c r="EY24">
        <v>3583.8158064516128</v>
      </c>
      <c r="EZ24">
        <v>44.625</v>
      </c>
      <c r="FA24">
        <v>48.670999999999992</v>
      </c>
      <c r="FB24">
        <v>46.705290322580623</v>
      </c>
      <c r="FC24">
        <v>48.008000000000003</v>
      </c>
      <c r="FD24">
        <v>46.25</v>
      </c>
      <c r="FE24">
        <v>385.14354838709681</v>
      </c>
      <c r="FF24">
        <v>9.870000000000001</v>
      </c>
      <c r="FG24">
        <v>0</v>
      </c>
      <c r="FH24">
        <v>180.70000004768369</v>
      </c>
      <c r="FI24">
        <v>0</v>
      </c>
      <c r="FJ24">
        <v>954.0801764705883</v>
      </c>
      <c r="FK24">
        <v>-7.0661764774239479</v>
      </c>
      <c r="FL24">
        <v>-480.01715889855711</v>
      </c>
      <c r="FM24">
        <v>7441.3288235294121</v>
      </c>
      <c r="FN24">
        <v>10</v>
      </c>
      <c r="FO24">
        <v>1785002734.0999999</v>
      </c>
      <c r="FP24" t="s">
        <v>496</v>
      </c>
      <c r="FQ24">
        <v>1785002734.0999999</v>
      </c>
      <c r="FR24">
        <v>1785002730.0999999</v>
      </c>
      <c r="FS24">
        <v>22</v>
      </c>
      <c r="FT24">
        <v>0</v>
      </c>
      <c r="FU24">
        <v>0.01</v>
      </c>
      <c r="FV24">
        <v>-9.4060000000000006</v>
      </c>
      <c r="FW24">
        <v>-1.2929999999999999</v>
      </c>
      <c r="FX24">
        <v>446</v>
      </c>
      <c r="FY24">
        <v>24</v>
      </c>
      <c r="FZ24">
        <v>0.39</v>
      </c>
      <c r="GA24">
        <v>0.1</v>
      </c>
      <c r="GB24">
        <v>420.19022580645162</v>
      </c>
      <c r="GC24">
        <v>-0.95429032258300428</v>
      </c>
      <c r="GD24">
        <v>0.1074825446225699</v>
      </c>
      <c r="GE24">
        <v>-1</v>
      </c>
      <c r="GF24">
        <v>954.72932352941166</v>
      </c>
      <c r="GG24">
        <v>-6.5106951891703462</v>
      </c>
      <c r="GH24">
        <v>0.66615307905952414</v>
      </c>
      <c r="GI24">
        <v>1</v>
      </c>
      <c r="GJ24">
        <v>1.622213902439025</v>
      </c>
      <c r="GK24">
        <v>0.13638083623693401</v>
      </c>
      <c r="GL24">
        <v>1.5615327972790031E-2</v>
      </c>
      <c r="GM24">
        <v>1</v>
      </c>
      <c r="GN24">
        <v>2</v>
      </c>
      <c r="GO24">
        <v>2</v>
      </c>
      <c r="GP24" t="s">
        <v>404</v>
      </c>
      <c r="GQ24">
        <v>3.1305499999999999</v>
      </c>
      <c r="GR24">
        <v>2.7368199999999998</v>
      </c>
      <c r="GS24">
        <v>9.0519100000000005E-2</v>
      </c>
      <c r="GT24">
        <v>9.3604999999999994E-2</v>
      </c>
      <c r="GU24">
        <v>0.119722</v>
      </c>
      <c r="GV24">
        <v>0.11107300000000001</v>
      </c>
      <c r="GW24">
        <v>22545.3</v>
      </c>
      <c r="GX24">
        <v>30023.9</v>
      </c>
      <c r="GY24">
        <v>26920.400000000001</v>
      </c>
      <c r="GZ24">
        <v>34107</v>
      </c>
      <c r="HA24">
        <v>34760.400000000001</v>
      </c>
      <c r="HB24">
        <v>38180.699999999997</v>
      </c>
      <c r="HC24">
        <v>39777.1</v>
      </c>
      <c r="HD24">
        <v>43015.9</v>
      </c>
      <c r="HE24">
        <v>1.9056</v>
      </c>
      <c r="HF24">
        <v>1.62</v>
      </c>
      <c r="HG24">
        <v>-0.13172600000000001</v>
      </c>
      <c r="HH24">
        <v>0</v>
      </c>
      <c r="HI24">
        <v>30.82</v>
      </c>
      <c r="HJ24">
        <v>999.9</v>
      </c>
      <c r="HK24">
        <v>41.7</v>
      </c>
      <c r="HL24">
        <v>46.1</v>
      </c>
      <c r="HM24">
        <v>43.528799999999997</v>
      </c>
      <c r="HN24">
        <v>61.468400000000003</v>
      </c>
      <c r="HO24">
        <v>4.4230799999999997</v>
      </c>
      <c r="HP24">
        <v>1</v>
      </c>
      <c r="HQ24">
        <v>1.1613</v>
      </c>
      <c r="HR24">
        <v>9.2810500000000005</v>
      </c>
      <c r="HS24">
        <v>20.0334</v>
      </c>
      <c r="HT24">
        <v>5.2112999999999996</v>
      </c>
      <c r="HU24">
        <v>11.9201</v>
      </c>
      <c r="HV24">
        <v>4.9832000000000001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1.8626400000000001</v>
      </c>
      <c r="IE24">
        <v>1.8621799999999999</v>
      </c>
      <c r="IF24">
        <v>1.8621799999999999</v>
      </c>
      <c r="IG24">
        <v>1.8626400000000001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405</v>
      </c>
      <c r="IO24" t="s">
        <v>406</v>
      </c>
      <c r="IP24" t="s">
        <v>407</v>
      </c>
      <c r="IQ24" t="s">
        <v>408</v>
      </c>
      <c r="IR24" t="s">
        <v>408</v>
      </c>
      <c r="IS24" t="s">
        <v>407</v>
      </c>
      <c r="IT24">
        <v>0</v>
      </c>
      <c r="IU24">
        <v>100</v>
      </c>
      <c r="IV24">
        <v>100</v>
      </c>
      <c r="IW24">
        <v>-9.3109999999999999</v>
      </c>
      <c r="IX24">
        <v>-1.2327999999999999</v>
      </c>
      <c r="IY24">
        <v>-7.3097733144014203</v>
      </c>
      <c r="IZ24">
        <v>-5.6215304933332991E-3</v>
      </c>
      <c r="JA24">
        <v>2.3979931213773931E-6</v>
      </c>
      <c r="JB24">
        <v>-3.6297174575716598E-10</v>
      </c>
      <c r="JC24">
        <v>-1.7104303812694579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0.7</v>
      </c>
      <c r="JL24">
        <v>0.8</v>
      </c>
      <c r="JM24">
        <v>1.15601</v>
      </c>
      <c r="JN24">
        <v>2.5744600000000002</v>
      </c>
      <c r="JO24">
        <v>1.50024</v>
      </c>
      <c r="JP24">
        <v>2.2680699999999998</v>
      </c>
      <c r="JQ24">
        <v>1.4477500000000001</v>
      </c>
      <c r="JR24">
        <v>2.52319</v>
      </c>
      <c r="JS24">
        <v>49.897599999999997</v>
      </c>
      <c r="JT24">
        <v>14.7187</v>
      </c>
      <c r="JU24">
        <v>18</v>
      </c>
      <c r="JV24">
        <v>553.24400000000003</v>
      </c>
      <c r="JW24">
        <v>377.92899999999997</v>
      </c>
      <c r="JX24">
        <v>24.170200000000001</v>
      </c>
      <c r="JY24">
        <v>40.546399999999998</v>
      </c>
      <c r="JZ24">
        <v>30.000299999999999</v>
      </c>
      <c r="KA24">
        <v>40.655000000000001</v>
      </c>
      <c r="KB24">
        <v>40.675400000000003</v>
      </c>
      <c r="KC24">
        <v>23.121099999999998</v>
      </c>
      <c r="KD24">
        <v>46.226799999999997</v>
      </c>
      <c r="KE24">
        <v>0</v>
      </c>
      <c r="KF24">
        <v>23.729600000000001</v>
      </c>
      <c r="KG24">
        <v>444.45600000000002</v>
      </c>
      <c r="KH24">
        <v>24.251000000000001</v>
      </c>
      <c r="KI24">
        <v>99.389499999999998</v>
      </c>
      <c r="KJ24">
        <v>97.037099999999995</v>
      </c>
    </row>
    <row r="25" spans="1:296" x14ac:dyDescent="0.3">
      <c r="A25">
        <v>9</v>
      </c>
      <c r="B25">
        <v>1785002960.0999999</v>
      </c>
      <c r="C25">
        <v>1452.099999904633</v>
      </c>
      <c r="D25" t="s">
        <v>497</v>
      </c>
      <c r="E25" t="s">
        <v>498</v>
      </c>
      <c r="F25">
        <v>15</v>
      </c>
      <c r="H25">
        <v>1785002952.349999</v>
      </c>
      <c r="I25">
        <f t="shared" si="0"/>
        <v>1.148453946454625E-3</v>
      </c>
      <c r="J25">
        <f t="shared" si="1"/>
        <v>1.1484539464546251</v>
      </c>
      <c r="K25">
        <f t="shared" si="2"/>
        <v>14.753376527390147</v>
      </c>
      <c r="L25">
        <f t="shared" si="3"/>
        <v>420.20256666666671</v>
      </c>
      <c r="M25">
        <f t="shared" si="4"/>
        <v>101.5398795321119</v>
      </c>
      <c r="N25">
        <f t="shared" si="5"/>
        <v>9.9273915255545688</v>
      </c>
      <c r="O25">
        <f t="shared" si="6"/>
        <v>41.082532484428519</v>
      </c>
      <c r="P25">
        <f t="shared" si="7"/>
        <v>7.653238274495644E-2</v>
      </c>
      <c r="Q25">
        <f t="shared" si="8"/>
        <v>2.8885145585182732</v>
      </c>
      <c r="R25">
        <f t="shared" si="9"/>
        <v>7.5423466107147494E-2</v>
      </c>
      <c r="S25">
        <f t="shared" si="10"/>
        <v>4.7237959512715061E-2</v>
      </c>
      <c r="T25">
        <f t="shared" si="11"/>
        <v>48.445649711894433</v>
      </c>
      <c r="U25">
        <f t="shared" si="12"/>
        <v>28.256602713950766</v>
      </c>
      <c r="V25">
        <f t="shared" si="13"/>
        <v>28.647623333333328</v>
      </c>
      <c r="W25">
        <f t="shared" si="14"/>
        <v>3.9404924197188094</v>
      </c>
      <c r="X25">
        <f t="shared" si="15"/>
        <v>64.873847851790771</v>
      </c>
      <c r="Y25">
        <f t="shared" si="16"/>
        <v>2.5008381008839877</v>
      </c>
      <c r="Z25">
        <f t="shared" si="17"/>
        <v>3.854924879124392</v>
      </c>
      <c r="AA25">
        <f t="shared" si="18"/>
        <v>1.4396543188348216</v>
      </c>
      <c r="AB25">
        <f t="shared" si="19"/>
        <v>-50.646819038648964</v>
      </c>
      <c r="AC25">
        <f t="shared" si="20"/>
        <v>-58.845588548572948</v>
      </c>
      <c r="AD25">
        <f t="shared" si="21"/>
        <v>-4.4610195075061316</v>
      </c>
      <c r="AE25">
        <f t="shared" si="22"/>
        <v>-65.507777382833609</v>
      </c>
      <c r="AF25">
        <f t="shared" si="23"/>
        <v>14.753376527390147</v>
      </c>
      <c r="AG25">
        <f t="shared" si="24"/>
        <v>1.1484539464546251</v>
      </c>
      <c r="AH25">
        <f t="shared" si="25"/>
        <v>14.812850242425704</v>
      </c>
      <c r="AI25">
        <v>449.22924379793028</v>
      </c>
      <c r="AJ25">
        <v>431.17055151515137</v>
      </c>
      <c r="AK25">
        <v>-2.9931764615296549E-2</v>
      </c>
      <c r="AL25">
        <v>67.069343559874454</v>
      </c>
      <c r="AM25">
        <f t="shared" si="26"/>
        <v>1.1867425770224052</v>
      </c>
      <c r="AN25">
        <v>24.238311313809529</v>
      </c>
      <c r="AO25">
        <v>25.626353333333331</v>
      </c>
      <c r="AP25">
        <v>-9.3981620718733107E-5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51432.905652942733</v>
      </c>
      <c r="AW25" t="s">
        <v>463</v>
      </c>
      <c r="AX25">
        <v>13221.2</v>
      </c>
      <c r="AY25">
        <v>587.47941176470601</v>
      </c>
      <c r="AZ25">
        <v>2389.06</v>
      </c>
      <c r="BA25">
        <f t="shared" si="30"/>
        <v>0.75409599936179661</v>
      </c>
      <c r="BB25">
        <v>-2.8371633977392272</v>
      </c>
      <c r="BC25" t="s">
        <v>499</v>
      </c>
      <c r="BD25">
        <v>13206.2</v>
      </c>
      <c r="BE25">
        <v>934.9962352941177</v>
      </c>
      <c r="BF25">
        <v>2058.37</v>
      </c>
      <c r="BG25">
        <f t="shared" si="31"/>
        <v>0.54575890860529563</v>
      </c>
      <c r="BH25">
        <v>0.5</v>
      </c>
      <c r="BI25">
        <f t="shared" si="32"/>
        <v>252.30391222377946</v>
      </c>
      <c r="BJ25">
        <f t="shared" si="33"/>
        <v>14.753376527390147</v>
      </c>
      <c r="BK25">
        <f t="shared" si="34"/>
        <v>68.848553886048094</v>
      </c>
      <c r="BL25">
        <f t="shared" si="35"/>
        <v>6.9719647904339863E-2</v>
      </c>
      <c r="BM25">
        <f t="shared" si="36"/>
        <v>0.16065624741907436</v>
      </c>
      <c r="BN25">
        <f t="shared" si="37"/>
        <v>565.15248961596058</v>
      </c>
      <c r="BO25" t="s">
        <v>402</v>
      </c>
      <c r="BP25">
        <v>0</v>
      </c>
      <c r="BQ25">
        <f t="shared" si="38"/>
        <v>565.15248961596058</v>
      </c>
      <c r="BR25">
        <f t="shared" si="39"/>
        <v>0.72543687985349536</v>
      </c>
      <c r="BS25">
        <f t="shared" si="40"/>
        <v>0.75231756719552711</v>
      </c>
      <c r="BT25">
        <f t="shared" si="41"/>
        <v>0.18130853572195141</v>
      </c>
      <c r="BU25">
        <f t="shared" si="42"/>
        <v>0.76373713564491152</v>
      </c>
      <c r="BV25">
        <f t="shared" si="43"/>
        <v>0.18355548575482908</v>
      </c>
      <c r="BW25">
        <f t="shared" si="44"/>
        <v>0.45473353798973287</v>
      </c>
      <c r="BX25">
        <f t="shared" si="45"/>
        <v>0.54526646201026718</v>
      </c>
      <c r="DG25">
        <f t="shared" si="46"/>
        <v>300.01429999999999</v>
      </c>
      <c r="DH25">
        <f t="shared" si="47"/>
        <v>252.30391222377946</v>
      </c>
      <c r="DI25">
        <f t="shared" si="48"/>
        <v>0.84097295436844</v>
      </c>
      <c r="DJ25">
        <f t="shared" si="49"/>
        <v>0.1614778019310894</v>
      </c>
      <c r="DK25">
        <v>6</v>
      </c>
      <c r="DL25">
        <v>0.5</v>
      </c>
      <c r="DM25" t="s">
        <v>403</v>
      </c>
      <c r="DN25">
        <v>2</v>
      </c>
      <c r="DO25" t="b">
        <v>0</v>
      </c>
      <c r="DP25">
        <v>1785002952.349999</v>
      </c>
      <c r="DQ25">
        <v>420.20256666666671</v>
      </c>
      <c r="DR25">
        <v>438.48399999999998</v>
      </c>
      <c r="DS25">
        <v>25.579206666666671</v>
      </c>
      <c r="DT25">
        <v>24.236440000000002</v>
      </c>
      <c r="DU25">
        <v>429.51330000000002</v>
      </c>
      <c r="DV25">
        <v>26.872206666666671</v>
      </c>
      <c r="DW25">
        <v>500.04699999999991</v>
      </c>
      <c r="DX25">
        <v>97.708443333333349</v>
      </c>
      <c r="DY25">
        <v>5.9956346666666667E-2</v>
      </c>
      <c r="DZ25">
        <v>28.269743333333341</v>
      </c>
      <c r="EA25">
        <v>28.647623333333328</v>
      </c>
      <c r="EB25">
        <v>999.9000000000002</v>
      </c>
      <c r="EC25">
        <v>0</v>
      </c>
      <c r="ED25">
        <v>0</v>
      </c>
      <c r="EE25">
        <v>9997</v>
      </c>
      <c r="EF25">
        <v>0</v>
      </c>
      <c r="EG25">
        <v>164.76079999999999</v>
      </c>
      <c r="EH25">
        <v>-18.28125</v>
      </c>
      <c r="EI25">
        <v>431.25823333333329</v>
      </c>
      <c r="EJ25">
        <v>449.37523333333343</v>
      </c>
      <c r="EK25">
        <v>1.3989926666666661</v>
      </c>
      <c r="EL25">
        <v>438.48399999999998</v>
      </c>
      <c r="EM25">
        <v>24.236440000000002</v>
      </c>
      <c r="EN25">
        <v>2.5047986666666668</v>
      </c>
      <c r="EO25">
        <v>2.3681053333333328</v>
      </c>
      <c r="EP25">
        <v>21.057723333333328</v>
      </c>
      <c r="EQ25">
        <v>20.147310000000001</v>
      </c>
      <c r="ER25">
        <v>300.01429999999999</v>
      </c>
      <c r="ES25">
        <v>0.96701399999999993</v>
      </c>
      <c r="ET25">
        <v>3.2986199999999993E-2</v>
      </c>
      <c r="EU25">
        <v>0</v>
      </c>
      <c r="EV25">
        <v>935.0327666666667</v>
      </c>
      <c r="EW25">
        <v>5.0010700000000003</v>
      </c>
      <c r="EX25">
        <v>6396.2363333333324</v>
      </c>
      <c r="EY25">
        <v>2668.1693333333328</v>
      </c>
      <c r="EZ25">
        <v>44.164266666666663</v>
      </c>
      <c r="FA25">
        <v>48.432866666666648</v>
      </c>
      <c r="FB25">
        <v>46.366599999999977</v>
      </c>
      <c r="FC25">
        <v>47.793399999999977</v>
      </c>
      <c r="FD25">
        <v>45.879133333333343</v>
      </c>
      <c r="FE25">
        <v>285.28300000000002</v>
      </c>
      <c r="FF25">
        <v>9.73</v>
      </c>
      <c r="FG25">
        <v>0</v>
      </c>
      <c r="FH25">
        <v>180.9000000953674</v>
      </c>
      <c r="FI25">
        <v>0</v>
      </c>
      <c r="FJ25">
        <v>934.9962352941177</v>
      </c>
      <c r="FK25">
        <v>2.0649509433792028</v>
      </c>
      <c r="FL25">
        <v>-115.0759909860043</v>
      </c>
      <c r="FM25">
        <v>6396.7541176470604</v>
      </c>
      <c r="FN25">
        <v>10</v>
      </c>
      <c r="FO25">
        <v>1785002984.0999999</v>
      </c>
      <c r="FP25" t="s">
        <v>500</v>
      </c>
      <c r="FQ25">
        <v>1785002734.0999999</v>
      </c>
      <c r="FR25">
        <v>1785002984.0999999</v>
      </c>
      <c r="FS25">
        <v>23</v>
      </c>
      <c r="FT25">
        <v>0</v>
      </c>
      <c r="FU25">
        <v>-1.7999999999999999E-2</v>
      </c>
      <c r="FV25">
        <v>-9.4060000000000006</v>
      </c>
      <c r="FW25">
        <v>-1.2929999999999999</v>
      </c>
      <c r="FX25">
        <v>446</v>
      </c>
      <c r="FY25">
        <v>24</v>
      </c>
      <c r="FZ25">
        <v>0.39</v>
      </c>
      <c r="GA25">
        <v>0.25</v>
      </c>
      <c r="GB25">
        <v>420.20723333333342</v>
      </c>
      <c r="GC25">
        <v>-0.2550834260294455</v>
      </c>
      <c r="GD25">
        <v>5.9233258300457822E-2</v>
      </c>
      <c r="GE25">
        <v>-1</v>
      </c>
      <c r="GF25">
        <v>935.14226470588233</v>
      </c>
      <c r="GG25">
        <v>-2.2932161987309958</v>
      </c>
      <c r="GH25">
        <v>0.48877110658944573</v>
      </c>
      <c r="GI25">
        <v>1</v>
      </c>
      <c r="GJ25">
        <v>1.4031640000000001</v>
      </c>
      <c r="GK25">
        <v>-8.7433395872423991E-2</v>
      </c>
      <c r="GL25">
        <v>9.3036736830136059E-3</v>
      </c>
      <c r="GM25">
        <v>1</v>
      </c>
      <c r="GN25">
        <v>2</v>
      </c>
      <c r="GO25">
        <v>2</v>
      </c>
      <c r="GP25" t="s">
        <v>404</v>
      </c>
      <c r="GQ25">
        <v>3.1308099999999999</v>
      </c>
      <c r="GR25">
        <v>2.7365599999999999</v>
      </c>
      <c r="GS25">
        <v>9.0490799999999996E-2</v>
      </c>
      <c r="GT25">
        <v>9.2588799999999999E-2</v>
      </c>
      <c r="GU25">
        <v>0.119256</v>
      </c>
      <c r="GV25">
        <v>0.111245</v>
      </c>
      <c r="GW25">
        <v>22543.1</v>
      </c>
      <c r="GX25">
        <v>30053.8</v>
      </c>
      <c r="GY25">
        <v>26917.4</v>
      </c>
      <c r="GZ25">
        <v>34103.199999999997</v>
      </c>
      <c r="HA25">
        <v>34775.5</v>
      </c>
      <c r="HB25">
        <v>38170.300000000003</v>
      </c>
      <c r="HC25">
        <v>39773.1</v>
      </c>
      <c r="HD25">
        <v>43012.4</v>
      </c>
      <c r="HE25">
        <v>1.9046000000000001</v>
      </c>
      <c r="HF25">
        <v>1.619</v>
      </c>
      <c r="HG25">
        <v>-0.13053400000000001</v>
      </c>
      <c r="HH25">
        <v>0</v>
      </c>
      <c r="HI25">
        <v>30.766300000000001</v>
      </c>
      <c r="HJ25">
        <v>999.9</v>
      </c>
      <c r="HK25">
        <v>41.6</v>
      </c>
      <c r="HL25">
        <v>46.2</v>
      </c>
      <c r="HM25">
        <v>43.643900000000002</v>
      </c>
      <c r="HN25">
        <v>61.268500000000003</v>
      </c>
      <c r="HO25">
        <v>4.3830099999999996</v>
      </c>
      <c r="HP25">
        <v>1</v>
      </c>
      <c r="HQ25">
        <v>1.16228</v>
      </c>
      <c r="HR25">
        <v>8.3058399999999999</v>
      </c>
      <c r="HS25">
        <v>20.081499999999998</v>
      </c>
      <c r="HT25">
        <v>5.2100999999999997</v>
      </c>
      <c r="HU25">
        <v>11.9201</v>
      </c>
      <c r="HV25">
        <v>4.9832000000000001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1.8672800000000001</v>
      </c>
      <c r="IC25">
        <v>1.8631</v>
      </c>
      <c r="ID25">
        <v>1.86249</v>
      </c>
      <c r="IE25">
        <v>1.86212</v>
      </c>
      <c r="IF25">
        <v>1.86206</v>
      </c>
      <c r="IG25">
        <v>1.8626100000000001</v>
      </c>
      <c r="IH25">
        <v>1.8635600000000001</v>
      </c>
      <c r="II25">
        <v>1.86148</v>
      </c>
      <c r="IJ25">
        <v>0</v>
      </c>
      <c r="IK25">
        <v>0</v>
      </c>
      <c r="IL25">
        <v>0</v>
      </c>
      <c r="IM25">
        <v>4.5</v>
      </c>
      <c r="IN25" t="s">
        <v>405</v>
      </c>
      <c r="IO25" t="s">
        <v>406</v>
      </c>
      <c r="IP25" t="s">
        <v>407</v>
      </c>
      <c r="IQ25" t="s">
        <v>408</v>
      </c>
      <c r="IR25" t="s">
        <v>408</v>
      </c>
      <c r="IS25" t="s">
        <v>407</v>
      </c>
      <c r="IT25">
        <v>0</v>
      </c>
      <c r="IU25">
        <v>100</v>
      </c>
      <c r="IV25">
        <v>100</v>
      </c>
      <c r="IW25">
        <v>-9.3109999999999999</v>
      </c>
      <c r="IX25">
        <v>-1.2929999999999999</v>
      </c>
      <c r="IY25">
        <v>-7.3097733144014203</v>
      </c>
      <c r="IZ25">
        <v>-5.6215304933332991E-3</v>
      </c>
      <c r="JA25">
        <v>2.3979931213773931E-6</v>
      </c>
      <c r="JB25">
        <v>-3.6297174575716598E-10</v>
      </c>
      <c r="JC25">
        <v>-1.7104303812694579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3.8</v>
      </c>
      <c r="JL25">
        <v>3.8</v>
      </c>
      <c r="JM25">
        <v>1.1437999999999999</v>
      </c>
      <c r="JN25">
        <v>2.5793499999999998</v>
      </c>
      <c r="JO25">
        <v>1.50024</v>
      </c>
      <c r="JP25">
        <v>2.2680699999999998</v>
      </c>
      <c r="JQ25">
        <v>1.4477500000000001</v>
      </c>
      <c r="JR25">
        <v>2.52075</v>
      </c>
      <c r="JS25">
        <v>49.642600000000002</v>
      </c>
      <c r="JT25">
        <v>14.674899999999999</v>
      </c>
      <c r="JU25">
        <v>18</v>
      </c>
      <c r="JV25">
        <v>553.05499999999995</v>
      </c>
      <c r="JW25">
        <v>377.67599999999999</v>
      </c>
      <c r="JX25">
        <v>24.557600000000001</v>
      </c>
      <c r="JY25">
        <v>40.631300000000003</v>
      </c>
      <c r="JZ25">
        <v>30</v>
      </c>
      <c r="KA25">
        <v>40.7226</v>
      </c>
      <c r="KB25">
        <v>40.738599999999998</v>
      </c>
      <c r="KC25">
        <v>22.8794</v>
      </c>
      <c r="KD25">
        <v>46.5486</v>
      </c>
      <c r="KE25">
        <v>0</v>
      </c>
      <c r="KF25">
        <v>24.556100000000001</v>
      </c>
      <c r="KG25">
        <v>438.38400000000001</v>
      </c>
      <c r="KH25">
        <v>24.215599999999998</v>
      </c>
      <c r="KI25">
        <v>99.379099999999994</v>
      </c>
      <c r="KJ25">
        <v>97.027799999999999</v>
      </c>
    </row>
    <row r="26" spans="1:296" x14ac:dyDescent="0.3">
      <c r="A26">
        <v>10</v>
      </c>
      <c r="B26">
        <v>1785003165.0999999</v>
      </c>
      <c r="C26">
        <v>1657.099999904633</v>
      </c>
      <c r="D26" t="s">
        <v>501</v>
      </c>
      <c r="E26" t="s">
        <v>502</v>
      </c>
      <c r="F26">
        <v>15</v>
      </c>
      <c r="H26">
        <v>1785003157.349999</v>
      </c>
      <c r="I26">
        <f t="shared" si="0"/>
        <v>7.2204151812972194E-4</v>
      </c>
      <c r="J26">
        <f t="shared" si="1"/>
        <v>0.72204151812972195</v>
      </c>
      <c r="K26">
        <f t="shared" si="2"/>
        <v>9.344467374500832</v>
      </c>
      <c r="L26">
        <f t="shared" si="3"/>
        <v>420.27983333333327</v>
      </c>
      <c r="M26">
        <f t="shared" si="4"/>
        <v>96.790248963073466</v>
      </c>
      <c r="N26">
        <f t="shared" si="5"/>
        <v>9.462841606162252</v>
      </c>
      <c r="O26">
        <f t="shared" si="6"/>
        <v>41.089278472823096</v>
      </c>
      <c r="P26">
        <f t="shared" si="7"/>
        <v>4.7510153825071268E-2</v>
      </c>
      <c r="Q26">
        <f t="shared" si="8"/>
        <v>2.8891982357346979</v>
      </c>
      <c r="R26">
        <f t="shared" si="9"/>
        <v>4.7080359039418818E-2</v>
      </c>
      <c r="S26">
        <f t="shared" si="10"/>
        <v>2.9463515577033403E-2</v>
      </c>
      <c r="T26">
        <f t="shared" si="11"/>
        <v>32.484721375857426</v>
      </c>
      <c r="U26">
        <f t="shared" si="12"/>
        <v>28.294809188545976</v>
      </c>
      <c r="V26">
        <f t="shared" si="13"/>
        <v>28.71655333333333</v>
      </c>
      <c r="W26">
        <f t="shared" si="14"/>
        <v>3.9562783552234095</v>
      </c>
      <c r="X26">
        <f t="shared" si="15"/>
        <v>64.93926256267936</v>
      </c>
      <c r="Y26">
        <f t="shared" si="16"/>
        <v>2.5064534985664917</v>
      </c>
      <c r="Z26">
        <f t="shared" si="17"/>
        <v>3.8596888841280936</v>
      </c>
      <c r="AA26">
        <f t="shared" si="18"/>
        <v>1.4498248566569178</v>
      </c>
      <c r="AB26">
        <f t="shared" si="19"/>
        <v>-31.842030949520737</v>
      </c>
      <c r="AC26">
        <f t="shared" si="20"/>
        <v>-66.289385720160112</v>
      </c>
      <c r="AD26">
        <f t="shared" si="21"/>
        <v>-5.026391238509949</v>
      </c>
      <c r="AE26">
        <f t="shared" si="22"/>
        <v>-70.673086532333372</v>
      </c>
      <c r="AF26">
        <f t="shared" si="23"/>
        <v>9.344467374500832</v>
      </c>
      <c r="AG26">
        <f t="shared" si="24"/>
        <v>0.72204151812972195</v>
      </c>
      <c r="AH26">
        <f t="shared" si="25"/>
        <v>9.2662802175632919</v>
      </c>
      <c r="AI26">
        <v>442.64185248030577</v>
      </c>
      <c r="AJ26">
        <v>431.29884242424242</v>
      </c>
      <c r="AK26">
        <v>-1.1153469329766449E-2</v>
      </c>
      <c r="AL26">
        <v>67.069491127891666</v>
      </c>
      <c r="AM26">
        <f t="shared" si="26"/>
        <v>0.72918125467345341</v>
      </c>
      <c r="AN26">
        <v>24.79006761034632</v>
      </c>
      <c r="AO26">
        <v>25.642520000000001</v>
      </c>
      <c r="AP26">
        <v>9.8435374152856065E-6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51448.608828483528</v>
      </c>
      <c r="AW26" t="s">
        <v>463</v>
      </c>
      <c r="AX26">
        <v>13221.2</v>
      </c>
      <c r="AY26">
        <v>587.47941176470601</v>
      </c>
      <c r="AZ26">
        <v>2389.06</v>
      </c>
      <c r="BA26">
        <f t="shared" si="30"/>
        <v>0.75409599936179661</v>
      </c>
      <c r="BB26">
        <v>-2.8371633977392272</v>
      </c>
      <c r="BC26" t="s">
        <v>503</v>
      </c>
      <c r="BD26">
        <v>13223.8</v>
      </c>
      <c r="BE26">
        <v>915.54170588235297</v>
      </c>
      <c r="BF26">
        <v>2151.2199999999998</v>
      </c>
      <c r="BG26">
        <f t="shared" si="31"/>
        <v>0.57440814705964383</v>
      </c>
      <c r="BH26">
        <v>0.5</v>
      </c>
      <c r="BI26">
        <f t="shared" si="32"/>
        <v>168.2942425781645</v>
      </c>
      <c r="BJ26">
        <f t="shared" si="33"/>
        <v>9.344467374500832</v>
      </c>
      <c r="BK26">
        <f t="shared" si="34"/>
        <v>48.334792020064846</v>
      </c>
      <c r="BL26">
        <f t="shared" si="35"/>
        <v>7.2382932331046812E-2</v>
      </c>
      <c r="BM26">
        <f t="shared" si="36"/>
        <v>0.11056051914727465</v>
      </c>
      <c r="BN26">
        <f t="shared" si="37"/>
        <v>571.93018902346705</v>
      </c>
      <c r="BO26" t="s">
        <v>402</v>
      </c>
      <c r="BP26">
        <v>0</v>
      </c>
      <c r="BQ26">
        <f t="shared" si="38"/>
        <v>571.93018902346705</v>
      </c>
      <c r="BR26">
        <f t="shared" si="39"/>
        <v>0.73413682049094597</v>
      </c>
      <c r="BS26">
        <f t="shared" si="40"/>
        <v>0.78242656004573452</v>
      </c>
      <c r="BT26">
        <f t="shared" si="41"/>
        <v>0.13088773216052405</v>
      </c>
      <c r="BU26">
        <f t="shared" si="42"/>
        <v>0.79020670270644422</v>
      </c>
      <c r="BV26">
        <f t="shared" si="43"/>
        <v>0.13201740824315392</v>
      </c>
      <c r="BW26">
        <f t="shared" si="44"/>
        <v>0.48877442448420905</v>
      </c>
      <c r="BX26">
        <f t="shared" si="45"/>
        <v>0.51122557551579095</v>
      </c>
      <c r="DG26">
        <f t="shared" si="46"/>
        <v>200.00216666666671</v>
      </c>
      <c r="DH26">
        <f t="shared" si="47"/>
        <v>168.2942425781645</v>
      </c>
      <c r="DI26">
        <f t="shared" si="48"/>
        <v>0.8414620970514376</v>
      </c>
      <c r="DJ26">
        <f t="shared" si="49"/>
        <v>0.16242184730927459</v>
      </c>
      <c r="DK26">
        <v>6</v>
      </c>
      <c r="DL26">
        <v>0.5</v>
      </c>
      <c r="DM26" t="s">
        <v>403</v>
      </c>
      <c r="DN26">
        <v>2</v>
      </c>
      <c r="DO26" t="b">
        <v>0</v>
      </c>
      <c r="DP26">
        <v>1785003157.349999</v>
      </c>
      <c r="DQ26">
        <v>420.27983333333327</v>
      </c>
      <c r="DR26">
        <v>431.85643333333343</v>
      </c>
      <c r="DS26">
        <v>25.63714666666667</v>
      </c>
      <c r="DT26">
        <v>24.792976666666661</v>
      </c>
      <c r="DU26">
        <v>429.44386666666668</v>
      </c>
      <c r="DV26">
        <v>26.897600000000001</v>
      </c>
      <c r="DW26">
        <v>500.0394</v>
      </c>
      <c r="DX26">
        <v>97.706103333333331</v>
      </c>
      <c r="DY26">
        <v>6.0373223333333323E-2</v>
      </c>
      <c r="DZ26">
        <v>28.29097333333333</v>
      </c>
      <c r="EA26">
        <v>28.71655333333333</v>
      </c>
      <c r="EB26">
        <v>999.9000000000002</v>
      </c>
      <c r="EC26">
        <v>0</v>
      </c>
      <c r="ED26">
        <v>0</v>
      </c>
      <c r="EE26">
        <v>10001.16666666667</v>
      </c>
      <c r="EF26">
        <v>0</v>
      </c>
      <c r="EG26">
        <v>163.32536666666661</v>
      </c>
      <c r="EH26">
        <v>-11.576560000000001</v>
      </c>
      <c r="EI26">
        <v>431.3381</v>
      </c>
      <c r="EJ26">
        <v>442.83566666666661</v>
      </c>
      <c r="EK26">
        <v>0.84416723333333343</v>
      </c>
      <c r="EL26">
        <v>431.85643333333343</v>
      </c>
      <c r="EM26">
        <v>24.792976666666661</v>
      </c>
      <c r="EN26">
        <v>2.5049056666666671</v>
      </c>
      <c r="EO26">
        <v>2.4224250000000001</v>
      </c>
      <c r="EP26">
        <v>21.058413333333341</v>
      </c>
      <c r="EQ26">
        <v>20.51446</v>
      </c>
      <c r="ER26">
        <v>200.00216666666671</v>
      </c>
      <c r="ES26">
        <v>0.95000859999999998</v>
      </c>
      <c r="ET26">
        <v>4.9991163333333331E-2</v>
      </c>
      <c r="EU26">
        <v>0</v>
      </c>
      <c r="EV26">
        <v>915.35656666666671</v>
      </c>
      <c r="EW26">
        <v>5.0010700000000003</v>
      </c>
      <c r="EX26">
        <v>5153.0106666666679</v>
      </c>
      <c r="EY26">
        <v>1751.8530000000001</v>
      </c>
      <c r="EZ26">
        <v>43.697499999999977</v>
      </c>
      <c r="FA26">
        <v>48.089299999999987</v>
      </c>
      <c r="FB26">
        <v>45.960099999999983</v>
      </c>
      <c r="FC26">
        <v>47.516533333333342</v>
      </c>
      <c r="FD26">
        <v>45.5</v>
      </c>
      <c r="FE26">
        <v>185.25200000000001</v>
      </c>
      <c r="FF26">
        <v>9.7473333333333336</v>
      </c>
      <c r="FG26">
        <v>0</v>
      </c>
      <c r="FH26">
        <v>204.10000014305109</v>
      </c>
      <c r="FI26">
        <v>0</v>
      </c>
      <c r="FJ26">
        <v>915.54170588235297</v>
      </c>
      <c r="FK26">
        <v>4.5879902024289159</v>
      </c>
      <c r="FL26">
        <v>-429.78430538424072</v>
      </c>
      <c r="FM26">
        <v>5179.0235294117656</v>
      </c>
      <c r="FN26">
        <v>10</v>
      </c>
      <c r="FO26">
        <v>1785003098.0999999</v>
      </c>
      <c r="FP26" t="s">
        <v>504</v>
      </c>
      <c r="FQ26">
        <v>1785003092.5999999</v>
      </c>
      <c r="FR26">
        <v>1785003098.0999999</v>
      </c>
      <c r="FS26">
        <v>24</v>
      </c>
      <c r="FT26">
        <v>0.14599999999999999</v>
      </c>
      <c r="FU26">
        <v>-7.0000000000000001E-3</v>
      </c>
      <c r="FV26">
        <v>-9.2159999999999993</v>
      </c>
      <c r="FW26">
        <v>-1.292</v>
      </c>
      <c r="FX26">
        <v>434</v>
      </c>
      <c r="FY26">
        <v>25</v>
      </c>
      <c r="FZ26">
        <v>0.48</v>
      </c>
      <c r="GA26">
        <v>0.19</v>
      </c>
      <c r="GB26">
        <v>420.28149999999988</v>
      </c>
      <c r="GC26">
        <v>-2.3305895439322759E-2</v>
      </c>
      <c r="GD26">
        <v>3.3555675128555382E-2</v>
      </c>
      <c r="GE26">
        <v>-1</v>
      </c>
      <c r="GF26">
        <v>915.18600000000004</v>
      </c>
      <c r="GG26">
        <v>3.6297020714357182</v>
      </c>
      <c r="GH26">
        <v>0.40806314390271009</v>
      </c>
      <c r="GI26">
        <v>1</v>
      </c>
      <c r="GJ26">
        <v>0.84738022499999988</v>
      </c>
      <c r="GK26">
        <v>-3.4867666041280061E-2</v>
      </c>
      <c r="GL26">
        <v>8.7150616965329039E-3</v>
      </c>
      <c r="GM26">
        <v>1</v>
      </c>
      <c r="GN26">
        <v>2</v>
      </c>
      <c r="GO26">
        <v>2</v>
      </c>
      <c r="GP26" t="s">
        <v>404</v>
      </c>
      <c r="GQ26">
        <v>3.13117</v>
      </c>
      <c r="GR26">
        <v>2.7353100000000001</v>
      </c>
      <c r="GS26">
        <v>9.0480900000000003E-2</v>
      </c>
      <c r="GT26">
        <v>9.1582300000000005E-2</v>
      </c>
      <c r="GU26">
        <v>0.119377</v>
      </c>
      <c r="GV26">
        <v>0.113302</v>
      </c>
      <c r="GW26">
        <v>22543.5</v>
      </c>
      <c r="GX26">
        <v>30087</v>
      </c>
      <c r="GY26">
        <v>26917.5</v>
      </c>
      <c r="GZ26">
        <v>34102.800000000003</v>
      </c>
      <c r="HA26">
        <v>34770.800000000003</v>
      </c>
      <c r="HB26">
        <v>38084.5</v>
      </c>
      <c r="HC26">
        <v>39773.199999999997</v>
      </c>
      <c r="HD26">
        <v>43014.7</v>
      </c>
      <c r="HE26">
        <v>1.9041999999999999</v>
      </c>
      <c r="HF26">
        <v>1.6195999999999999</v>
      </c>
      <c r="HG26">
        <v>-0.13056400000000001</v>
      </c>
      <c r="HH26">
        <v>0</v>
      </c>
      <c r="HI26">
        <v>30.825399999999998</v>
      </c>
      <c r="HJ26">
        <v>999.9</v>
      </c>
      <c r="HK26">
        <v>41.7</v>
      </c>
      <c r="HL26">
        <v>46.1</v>
      </c>
      <c r="HM26">
        <v>43.5276</v>
      </c>
      <c r="HN26">
        <v>61.288499999999999</v>
      </c>
      <c r="HO26">
        <v>4.3429500000000001</v>
      </c>
      <c r="HP26">
        <v>1</v>
      </c>
      <c r="HQ26">
        <v>1.16787</v>
      </c>
      <c r="HR26">
        <v>9.2810500000000005</v>
      </c>
      <c r="HS26">
        <v>20.035399999999999</v>
      </c>
      <c r="HT26">
        <v>5.1993200000000002</v>
      </c>
      <c r="HU26">
        <v>11.9201</v>
      </c>
      <c r="HV26">
        <v>4.9791999999999996</v>
      </c>
      <c r="HW26">
        <v>3.2686000000000002</v>
      </c>
      <c r="HX26">
        <v>9999</v>
      </c>
      <c r="HY26">
        <v>9999</v>
      </c>
      <c r="HZ26">
        <v>9999</v>
      </c>
      <c r="IA26">
        <v>999.9</v>
      </c>
      <c r="IB26">
        <v>1.8672200000000001</v>
      </c>
      <c r="IC26">
        <v>1.8630100000000001</v>
      </c>
      <c r="ID26">
        <v>1.86249</v>
      </c>
      <c r="IE26">
        <v>1.86206</v>
      </c>
      <c r="IF26">
        <v>1.8620300000000001</v>
      </c>
      <c r="IG26">
        <v>1.86249</v>
      </c>
      <c r="IH26">
        <v>1.8635299999999999</v>
      </c>
      <c r="II26">
        <v>1.86145</v>
      </c>
      <c r="IJ26">
        <v>0</v>
      </c>
      <c r="IK26">
        <v>0</v>
      </c>
      <c r="IL26">
        <v>0</v>
      </c>
      <c r="IM26">
        <v>4.5</v>
      </c>
      <c r="IN26" t="s">
        <v>405</v>
      </c>
      <c r="IO26" t="s">
        <v>406</v>
      </c>
      <c r="IP26" t="s">
        <v>407</v>
      </c>
      <c r="IQ26" t="s">
        <v>408</v>
      </c>
      <c r="IR26" t="s">
        <v>408</v>
      </c>
      <c r="IS26" t="s">
        <v>407</v>
      </c>
      <c r="IT26">
        <v>0</v>
      </c>
      <c r="IU26">
        <v>100</v>
      </c>
      <c r="IV26">
        <v>100</v>
      </c>
      <c r="IW26">
        <v>-9.1639999999999997</v>
      </c>
      <c r="IX26">
        <v>-1.2602</v>
      </c>
      <c r="IY26">
        <v>-7.1633583041225091</v>
      </c>
      <c r="IZ26">
        <v>-5.6215304933332991E-3</v>
      </c>
      <c r="JA26">
        <v>2.3979931213773931E-6</v>
      </c>
      <c r="JB26">
        <v>-3.6297174575716598E-10</v>
      </c>
      <c r="JC26">
        <v>-1.7348520900362701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1.1000000000000001</v>
      </c>
      <c r="JM26">
        <v>1.1303700000000001</v>
      </c>
      <c r="JN26">
        <v>2.5781200000000002</v>
      </c>
      <c r="JO26">
        <v>1.50024</v>
      </c>
      <c r="JP26">
        <v>2.2680699999999998</v>
      </c>
      <c r="JQ26">
        <v>1.4477500000000001</v>
      </c>
      <c r="JR26">
        <v>2.5134300000000001</v>
      </c>
      <c r="JS26">
        <v>49.3264</v>
      </c>
      <c r="JT26">
        <v>14.569800000000001</v>
      </c>
      <c r="JU26">
        <v>18</v>
      </c>
      <c r="JV26">
        <v>552.86300000000006</v>
      </c>
      <c r="JW26">
        <v>378.089</v>
      </c>
      <c r="JX26">
        <v>24.189299999999999</v>
      </c>
      <c r="JY26">
        <v>40.6111</v>
      </c>
      <c r="JZ26">
        <v>30.0001</v>
      </c>
      <c r="KA26">
        <v>40.7346</v>
      </c>
      <c r="KB26">
        <v>40.750500000000002</v>
      </c>
      <c r="KC26">
        <v>22.606200000000001</v>
      </c>
      <c r="KD26">
        <v>45.566899999999997</v>
      </c>
      <c r="KE26">
        <v>0</v>
      </c>
      <c r="KF26">
        <v>23.910299999999999</v>
      </c>
      <c r="KG26">
        <v>431.68400000000003</v>
      </c>
      <c r="KH26">
        <v>24.898099999999999</v>
      </c>
      <c r="KI26">
        <v>99.379400000000004</v>
      </c>
      <c r="KJ26">
        <v>97.030299999999997</v>
      </c>
    </row>
    <row r="27" spans="1:296" x14ac:dyDescent="0.3">
      <c r="A27">
        <v>11</v>
      </c>
      <c r="B27">
        <v>1785003346.5999999</v>
      </c>
      <c r="C27">
        <v>1838.599999904633</v>
      </c>
      <c r="D27" t="s">
        <v>505</v>
      </c>
      <c r="E27" t="s">
        <v>506</v>
      </c>
      <c r="F27">
        <v>15</v>
      </c>
      <c r="H27">
        <v>1785003338.849999</v>
      </c>
      <c r="I27">
        <f t="shared" si="0"/>
        <v>3.3384671472117846E-4</v>
      </c>
      <c r="J27">
        <f t="shared" si="1"/>
        <v>0.33384671472117844</v>
      </c>
      <c r="K27">
        <f t="shared" si="2"/>
        <v>2.8001584601929999</v>
      </c>
      <c r="L27">
        <f t="shared" si="3"/>
        <v>420.25699999999989</v>
      </c>
      <c r="M27">
        <f t="shared" si="4"/>
        <v>205.03764496180688</v>
      </c>
      <c r="N27">
        <f t="shared" si="5"/>
        <v>20.044895894176367</v>
      </c>
      <c r="O27">
        <f t="shared" si="6"/>
        <v>41.085176409278631</v>
      </c>
      <c r="P27">
        <f t="shared" si="7"/>
        <v>2.1670163276943297E-2</v>
      </c>
      <c r="Q27">
        <f t="shared" si="8"/>
        <v>2.8880229272332882</v>
      </c>
      <c r="R27">
        <f t="shared" si="9"/>
        <v>2.158023405865106E-2</v>
      </c>
      <c r="S27">
        <f t="shared" si="10"/>
        <v>1.3495694851209737E-2</v>
      </c>
      <c r="T27">
        <f t="shared" si="11"/>
        <v>16.508575968915991</v>
      </c>
      <c r="U27">
        <f t="shared" si="12"/>
        <v>28.227650491724894</v>
      </c>
      <c r="V27">
        <f t="shared" si="13"/>
        <v>28.67040333333334</v>
      </c>
      <c r="W27">
        <f t="shared" si="14"/>
        <v>3.9457032703392452</v>
      </c>
      <c r="X27">
        <f t="shared" si="15"/>
        <v>64.610430220701559</v>
      </c>
      <c r="Y27">
        <f t="shared" si="16"/>
        <v>2.4830489389906449</v>
      </c>
      <c r="Z27">
        <f t="shared" si="17"/>
        <v>3.8431085050956084</v>
      </c>
      <c r="AA27">
        <f t="shared" si="18"/>
        <v>1.4626543313486002</v>
      </c>
      <c r="AB27">
        <f t="shared" si="19"/>
        <v>-14.72264011920397</v>
      </c>
      <c r="AC27">
        <f t="shared" si="20"/>
        <v>-70.596563321700287</v>
      </c>
      <c r="AD27">
        <f t="shared" si="21"/>
        <v>-5.3519616210113252</v>
      </c>
      <c r="AE27">
        <f t="shared" si="22"/>
        <v>-74.162589092999596</v>
      </c>
      <c r="AF27">
        <f t="shared" si="23"/>
        <v>2.8001584601929999</v>
      </c>
      <c r="AG27">
        <f t="shared" si="24"/>
        <v>0.33384671472117844</v>
      </c>
      <c r="AH27">
        <f t="shared" si="25"/>
        <v>2.78656107094245</v>
      </c>
      <c r="AI27">
        <v>434.56445942620758</v>
      </c>
      <c r="AJ27">
        <v>431.14376969696968</v>
      </c>
      <c r="AK27">
        <v>-1.6712978365631421E-3</v>
      </c>
      <c r="AL27">
        <v>67.069491127891666</v>
      </c>
      <c r="AM27">
        <f t="shared" si="26"/>
        <v>0.33615306868841821</v>
      </c>
      <c r="AN27">
        <v>25.01133314826841</v>
      </c>
      <c r="AO27">
        <v>25.406983030303021</v>
      </c>
      <c r="AP27">
        <v>-4.14541809068608E-4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51427.840006098762</v>
      </c>
      <c r="AW27" t="s">
        <v>463</v>
      </c>
      <c r="AX27">
        <v>13221.2</v>
      </c>
      <c r="AY27">
        <v>587.47941176470601</v>
      </c>
      <c r="AZ27">
        <v>2389.06</v>
      </c>
      <c r="BA27">
        <f t="shared" si="30"/>
        <v>0.75409599936179661</v>
      </c>
      <c r="BB27">
        <v>-2.8371633977392272</v>
      </c>
      <c r="BC27" t="s">
        <v>507</v>
      </c>
      <c r="BD27">
        <v>13228.5</v>
      </c>
      <c r="BE27">
        <v>882.74794117647059</v>
      </c>
      <c r="BF27">
        <v>2223.12</v>
      </c>
      <c r="BG27">
        <f t="shared" si="31"/>
        <v>0.6029238452371124</v>
      </c>
      <c r="BH27">
        <v>0.5</v>
      </c>
      <c r="BI27">
        <f t="shared" si="32"/>
        <v>84.275032464723296</v>
      </c>
      <c r="BJ27">
        <f t="shared" si="33"/>
        <v>2.8001584601929999</v>
      </c>
      <c r="BK27">
        <f t="shared" si="34"/>
        <v>25.405713315556724</v>
      </c>
      <c r="BL27">
        <f t="shared" si="35"/>
        <v>6.6891957120182116E-2</v>
      </c>
      <c r="BM27">
        <f t="shared" si="36"/>
        <v>7.4642844290906507E-2</v>
      </c>
      <c r="BN27">
        <f t="shared" si="37"/>
        <v>576.89059978737214</v>
      </c>
      <c r="BO27" t="s">
        <v>402</v>
      </c>
      <c r="BP27">
        <v>0</v>
      </c>
      <c r="BQ27">
        <f t="shared" si="38"/>
        <v>576.89059978737214</v>
      </c>
      <c r="BR27">
        <f t="shared" si="39"/>
        <v>0.74050406645283551</v>
      </c>
      <c r="BS27">
        <f t="shared" si="40"/>
        <v>0.81420733869192596</v>
      </c>
      <c r="BT27">
        <f t="shared" si="41"/>
        <v>9.1569805770106136E-2</v>
      </c>
      <c r="BU27">
        <f t="shared" si="42"/>
        <v>0.81947835512547884</v>
      </c>
      <c r="BV27">
        <f t="shared" si="43"/>
        <v>9.210800842528151E-2</v>
      </c>
      <c r="BW27">
        <f t="shared" si="44"/>
        <v>0.53209816535314414</v>
      </c>
      <c r="BX27">
        <f t="shared" si="45"/>
        <v>0.46790183464685586</v>
      </c>
      <c r="DG27">
        <f t="shared" si="46"/>
        <v>99.987846666666655</v>
      </c>
      <c r="DH27">
        <f t="shared" si="47"/>
        <v>84.275032464723296</v>
      </c>
      <c r="DI27">
        <f t="shared" si="48"/>
        <v>0.84285275935258641</v>
      </c>
      <c r="DJ27">
        <f t="shared" si="49"/>
        <v>0.16510582555049183</v>
      </c>
      <c r="DK27">
        <v>6</v>
      </c>
      <c r="DL27">
        <v>0.5</v>
      </c>
      <c r="DM27" t="s">
        <v>403</v>
      </c>
      <c r="DN27">
        <v>2</v>
      </c>
      <c r="DO27" t="b">
        <v>0</v>
      </c>
      <c r="DP27">
        <v>1785003338.849999</v>
      </c>
      <c r="DQ27">
        <v>420.25699999999989</v>
      </c>
      <c r="DR27">
        <v>423.78533333333331</v>
      </c>
      <c r="DS27">
        <v>25.398910000000001</v>
      </c>
      <c r="DT27">
        <v>25.008493333333341</v>
      </c>
      <c r="DU27">
        <v>429.36299999999989</v>
      </c>
      <c r="DV27">
        <v>26.686910000000001</v>
      </c>
      <c r="DW27">
        <v>500.03096666666681</v>
      </c>
      <c r="DX27">
        <v>97.702023333333344</v>
      </c>
      <c r="DY27">
        <v>6.0004210000000002E-2</v>
      </c>
      <c r="DZ27">
        <v>28.21698666666666</v>
      </c>
      <c r="EA27">
        <v>28.67040333333334</v>
      </c>
      <c r="EB27">
        <v>999.9000000000002</v>
      </c>
      <c r="EC27">
        <v>0</v>
      </c>
      <c r="ED27">
        <v>0</v>
      </c>
      <c r="EE27">
        <v>9994.8333333333339</v>
      </c>
      <c r="EF27">
        <v>0</v>
      </c>
      <c r="EG27">
        <v>159.00213333333329</v>
      </c>
      <c r="EH27">
        <v>-3.586005333333333</v>
      </c>
      <c r="EI27">
        <v>431.15969999999987</v>
      </c>
      <c r="EJ27">
        <v>434.65550000000002</v>
      </c>
      <c r="EK27">
        <v>0.41185480000000008</v>
      </c>
      <c r="EL27">
        <v>423.78533333333331</v>
      </c>
      <c r="EM27">
        <v>25.008493333333341</v>
      </c>
      <c r="EN27">
        <v>2.483619</v>
      </c>
      <c r="EO27">
        <v>2.443379333333334</v>
      </c>
      <c r="EP27">
        <v>20.919550000000001</v>
      </c>
      <c r="EQ27">
        <v>20.65418</v>
      </c>
      <c r="ER27">
        <v>99.987846666666655</v>
      </c>
      <c r="ES27">
        <v>0.89989616666666639</v>
      </c>
      <c r="ET27">
        <v>0.1001038933333333</v>
      </c>
      <c r="EU27">
        <v>0</v>
      </c>
      <c r="EV27">
        <v>882.65286666666668</v>
      </c>
      <c r="EW27">
        <v>5.0010700000000003</v>
      </c>
      <c r="EX27">
        <v>4083.643333333333</v>
      </c>
      <c r="EY27">
        <v>836.42886666666675</v>
      </c>
      <c r="EZ27">
        <v>43.212199999999982</v>
      </c>
      <c r="FA27">
        <v>47.75</v>
      </c>
      <c r="FB27">
        <v>45.561999999999983</v>
      </c>
      <c r="FC27">
        <v>47.125</v>
      </c>
      <c r="FD27">
        <v>45.061999999999983</v>
      </c>
      <c r="FE27">
        <v>85.47833333333331</v>
      </c>
      <c r="FF27">
        <v>9.5079999999999991</v>
      </c>
      <c r="FG27">
        <v>0</v>
      </c>
      <c r="FH27">
        <v>180.70000004768369</v>
      </c>
      <c r="FI27">
        <v>0</v>
      </c>
      <c r="FJ27">
        <v>882.74794117647059</v>
      </c>
      <c r="FK27">
        <v>0.7318627186516885</v>
      </c>
      <c r="FL27">
        <v>-141.21813830088479</v>
      </c>
      <c r="FM27">
        <v>4047.3311764705891</v>
      </c>
      <c r="FN27">
        <v>10</v>
      </c>
      <c r="FO27">
        <v>1785003365.5999999</v>
      </c>
      <c r="FP27" t="s">
        <v>508</v>
      </c>
      <c r="FQ27">
        <v>1785003360.5999999</v>
      </c>
      <c r="FR27">
        <v>1785003365.5999999</v>
      </c>
      <c r="FS27">
        <v>25</v>
      </c>
      <c r="FT27">
        <v>7.0999999999999994E-2</v>
      </c>
      <c r="FU27">
        <v>-0.01</v>
      </c>
      <c r="FV27">
        <v>-9.1059999999999999</v>
      </c>
      <c r="FW27">
        <v>-1.288</v>
      </c>
      <c r="FX27">
        <v>424</v>
      </c>
      <c r="FY27">
        <v>25</v>
      </c>
      <c r="FZ27">
        <v>1.67</v>
      </c>
      <c r="GA27">
        <v>0.56999999999999995</v>
      </c>
      <c r="GB27">
        <v>420.19958064516129</v>
      </c>
      <c r="GC27">
        <v>-0.1393064516137697</v>
      </c>
      <c r="GD27">
        <v>4.267489569014081E-2</v>
      </c>
      <c r="GE27">
        <v>-1</v>
      </c>
      <c r="GF27">
        <v>882.58199999999999</v>
      </c>
      <c r="GG27">
        <v>1.3949579874143649</v>
      </c>
      <c r="GH27">
        <v>0.2601982276016932</v>
      </c>
      <c r="GI27">
        <v>1</v>
      </c>
      <c r="GJ27">
        <v>0.40915343902439028</v>
      </c>
      <c r="GK27">
        <v>2.9408320557491551E-2</v>
      </c>
      <c r="GL27">
        <v>9.4883821311008663E-3</v>
      </c>
      <c r="GM27">
        <v>1</v>
      </c>
      <c r="GN27">
        <v>2</v>
      </c>
      <c r="GO27">
        <v>2</v>
      </c>
      <c r="GP27" t="s">
        <v>404</v>
      </c>
      <c r="GQ27">
        <v>3.1316899999999999</v>
      </c>
      <c r="GR27">
        <v>2.7360099999999998</v>
      </c>
      <c r="GS27">
        <v>9.0484300000000004E-2</v>
      </c>
      <c r="GT27">
        <v>9.0259199999999998E-2</v>
      </c>
      <c r="GU27">
        <v>0.118663</v>
      </c>
      <c r="GV27">
        <v>0.11372400000000001</v>
      </c>
      <c r="GW27">
        <v>22546.3</v>
      </c>
      <c r="GX27">
        <v>30137.1</v>
      </c>
      <c r="GY27">
        <v>26920.6</v>
      </c>
      <c r="GZ27">
        <v>34109.199999999997</v>
      </c>
      <c r="HA27">
        <v>34802.300000000003</v>
      </c>
      <c r="HB27">
        <v>38073</v>
      </c>
      <c r="HC27">
        <v>39777.9</v>
      </c>
      <c r="HD27">
        <v>43022.5</v>
      </c>
      <c r="HE27">
        <v>1.9046000000000001</v>
      </c>
      <c r="HF27">
        <v>1.6204000000000001</v>
      </c>
      <c r="HG27">
        <v>-0.12785199999999999</v>
      </c>
      <c r="HH27">
        <v>0</v>
      </c>
      <c r="HI27">
        <v>30.755600000000001</v>
      </c>
      <c r="HJ27">
        <v>999.9</v>
      </c>
      <c r="HK27">
        <v>41.9</v>
      </c>
      <c r="HL27">
        <v>46.1</v>
      </c>
      <c r="HM27">
        <v>43.737000000000002</v>
      </c>
      <c r="HN27">
        <v>61.278599999999997</v>
      </c>
      <c r="HO27">
        <v>4.3469499999999996</v>
      </c>
      <c r="HP27">
        <v>1</v>
      </c>
      <c r="HQ27">
        <v>1.1551400000000001</v>
      </c>
      <c r="HR27">
        <v>8.6504999999999992</v>
      </c>
      <c r="HS27">
        <v>20.067699999999999</v>
      </c>
      <c r="HT27">
        <v>5.2053099999999999</v>
      </c>
      <c r="HU27">
        <v>11.9201</v>
      </c>
      <c r="HV27">
        <v>4.9836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1.8630100000000001</v>
      </c>
      <c r="ID27">
        <v>1.86249</v>
      </c>
      <c r="IE27">
        <v>1.86206</v>
      </c>
      <c r="IF27">
        <v>1.8620300000000001</v>
      </c>
      <c r="IG27">
        <v>1.86249</v>
      </c>
      <c r="IH27">
        <v>1.8634999999999999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405</v>
      </c>
      <c r="IO27" t="s">
        <v>406</v>
      </c>
      <c r="IP27" t="s">
        <v>407</v>
      </c>
      <c r="IQ27" t="s">
        <v>408</v>
      </c>
      <c r="IR27" t="s">
        <v>408</v>
      </c>
      <c r="IS27" t="s">
        <v>407</v>
      </c>
      <c r="IT27">
        <v>0</v>
      </c>
      <c r="IU27">
        <v>100</v>
      </c>
      <c r="IV27">
        <v>100</v>
      </c>
      <c r="IW27">
        <v>-9.1059999999999999</v>
      </c>
      <c r="IX27">
        <v>-1.288</v>
      </c>
      <c r="IY27">
        <v>-7.1633583041225091</v>
      </c>
      <c r="IZ27">
        <v>-5.6215304933332991E-3</v>
      </c>
      <c r="JA27">
        <v>2.3979931213773931E-6</v>
      </c>
      <c r="JB27">
        <v>-3.6297174575716598E-10</v>
      </c>
      <c r="JC27">
        <v>-1.7348520900362701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4.2</v>
      </c>
      <c r="JL27">
        <v>4.0999999999999996</v>
      </c>
      <c r="JM27">
        <v>1.11328</v>
      </c>
      <c r="JN27">
        <v>2.5744600000000002</v>
      </c>
      <c r="JO27">
        <v>1.50024</v>
      </c>
      <c r="JP27">
        <v>2.2668499999999998</v>
      </c>
      <c r="JQ27">
        <v>1.4477500000000001</v>
      </c>
      <c r="JR27">
        <v>2.52197</v>
      </c>
      <c r="JS27">
        <v>49.043999999999997</v>
      </c>
      <c r="JT27">
        <v>14.5436</v>
      </c>
      <c r="JU27">
        <v>18</v>
      </c>
      <c r="JV27">
        <v>552.601</v>
      </c>
      <c r="JW27">
        <v>378.20299999999997</v>
      </c>
      <c r="JX27">
        <v>24.488399999999999</v>
      </c>
      <c r="JY27">
        <v>40.530299999999997</v>
      </c>
      <c r="JZ27">
        <v>30.001000000000001</v>
      </c>
      <c r="KA27">
        <v>40.6629</v>
      </c>
      <c r="KB27">
        <v>40.683300000000003</v>
      </c>
      <c r="KC27">
        <v>22.278199999999998</v>
      </c>
      <c r="KD27">
        <v>45.5732</v>
      </c>
      <c r="KE27">
        <v>0</v>
      </c>
      <c r="KF27">
        <v>24.4772</v>
      </c>
      <c r="KG27">
        <v>423.65199999999999</v>
      </c>
      <c r="KH27">
        <v>24.978400000000001</v>
      </c>
      <c r="KI27">
        <v>99.391000000000005</v>
      </c>
      <c r="KJ27">
        <v>97.048100000000005</v>
      </c>
    </row>
    <row r="28" spans="1:296" x14ac:dyDescent="0.3">
      <c r="A28">
        <v>12</v>
      </c>
      <c r="B28">
        <v>1785003546.5999999</v>
      </c>
      <c r="C28">
        <v>2038.599999904633</v>
      </c>
      <c r="D28" t="s">
        <v>509</v>
      </c>
      <c r="E28" t="s">
        <v>510</v>
      </c>
      <c r="F28">
        <v>15</v>
      </c>
      <c r="H28">
        <v>1785003538.599999</v>
      </c>
      <c r="I28">
        <f t="shared" si="0"/>
        <v>1.6868422648817264E-4</v>
      </c>
      <c r="J28">
        <f t="shared" si="1"/>
        <v>0.16868422648817263</v>
      </c>
      <c r="K28">
        <f t="shared" si="2"/>
        <v>0.94906826496278729</v>
      </c>
      <c r="L28">
        <f t="shared" si="3"/>
        <v>420.05496774193551</v>
      </c>
      <c r="M28">
        <f t="shared" si="4"/>
        <v>272.71927645788554</v>
      </c>
      <c r="N28">
        <f t="shared" si="5"/>
        <v>26.660543150781887</v>
      </c>
      <c r="O28">
        <f t="shared" si="6"/>
        <v>41.063813818505587</v>
      </c>
      <c r="P28">
        <f t="shared" si="7"/>
        <v>1.0960720656006276E-2</v>
      </c>
      <c r="Q28">
        <f t="shared" si="8"/>
        <v>2.8897841404576514</v>
      </c>
      <c r="R28">
        <f t="shared" si="9"/>
        <v>1.0937676903743388E-2</v>
      </c>
      <c r="S28">
        <f t="shared" si="10"/>
        <v>6.8381143763550723E-3</v>
      </c>
      <c r="T28">
        <f t="shared" si="11"/>
        <v>8.2428022623000086</v>
      </c>
      <c r="U28">
        <f t="shared" si="12"/>
        <v>28.243877508531369</v>
      </c>
      <c r="V28">
        <f t="shared" si="13"/>
        <v>28.675583870967749</v>
      </c>
      <c r="W28">
        <f t="shared" si="14"/>
        <v>3.9468891398045614</v>
      </c>
      <c r="X28">
        <f t="shared" si="15"/>
        <v>64.678398707340534</v>
      </c>
      <c r="Y28">
        <f t="shared" si="16"/>
        <v>2.4888592147841644</v>
      </c>
      <c r="Z28">
        <f t="shared" si="17"/>
        <v>3.848053236515419</v>
      </c>
      <c r="AA28">
        <f t="shared" si="18"/>
        <v>1.458029925020397</v>
      </c>
      <c r="AB28">
        <f t="shared" si="19"/>
        <v>-7.4389743881284138</v>
      </c>
      <c r="AC28">
        <f t="shared" si="20"/>
        <v>-68.004602147752735</v>
      </c>
      <c r="AD28">
        <f t="shared" si="21"/>
        <v>-5.1530207467317508</v>
      </c>
      <c r="AE28">
        <f t="shared" si="22"/>
        <v>-72.353795020312887</v>
      </c>
      <c r="AF28">
        <f t="shared" si="23"/>
        <v>0.94906826496278729</v>
      </c>
      <c r="AG28">
        <f t="shared" si="24"/>
        <v>0.16868422648817263</v>
      </c>
      <c r="AH28">
        <f t="shared" si="25"/>
        <v>0.79963447632952822</v>
      </c>
      <c r="AI28">
        <v>432.18698803523108</v>
      </c>
      <c r="AJ28">
        <v>431.08525454545429</v>
      </c>
      <c r="AK28">
        <v>2.2455536986999761E-2</v>
      </c>
      <c r="AL28">
        <v>67.009574349414166</v>
      </c>
      <c r="AM28">
        <f t="shared" si="26"/>
        <v>7.7705731511000894E-2</v>
      </c>
      <c r="AN28">
        <v>25.34122453224607</v>
      </c>
      <c r="AO28">
        <v>25.450273333333332</v>
      </c>
      <c r="AP28">
        <v>-2.9822341866876929E-3</v>
      </c>
      <c r="AQ28">
        <v>78.169550807960476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51473.916529046954</v>
      </c>
      <c r="AW28" t="s">
        <v>463</v>
      </c>
      <c r="AX28">
        <v>13221.2</v>
      </c>
      <c r="AY28">
        <v>587.47941176470601</v>
      </c>
      <c r="AZ28">
        <v>2389.06</v>
      </c>
      <c r="BA28">
        <f t="shared" si="30"/>
        <v>0.75409599936179661</v>
      </c>
      <c r="BB28">
        <v>-2.8371633977392272</v>
      </c>
      <c r="BC28" t="s">
        <v>511</v>
      </c>
      <c r="BD28">
        <v>13226.7</v>
      </c>
      <c r="BE28">
        <v>836.78500000000008</v>
      </c>
      <c r="BF28">
        <v>2295.79</v>
      </c>
      <c r="BG28">
        <f t="shared" si="31"/>
        <v>0.63551326558613808</v>
      </c>
      <c r="BH28">
        <v>0.5</v>
      </c>
      <c r="BI28">
        <f t="shared" si="32"/>
        <v>42.145657725744613</v>
      </c>
      <c r="BJ28">
        <f t="shared" si="33"/>
        <v>0.94906826496278729</v>
      </c>
      <c r="BK28">
        <f t="shared" si="34"/>
        <v>13.392062285781805</v>
      </c>
      <c r="BL28">
        <f t="shared" si="35"/>
        <v>8.9836815155199257E-2</v>
      </c>
      <c r="BM28">
        <f t="shared" si="36"/>
        <v>4.0626538141554751E-2</v>
      </c>
      <c r="BN28">
        <f t="shared" si="37"/>
        <v>581.66841156094722</v>
      </c>
      <c r="BO28" t="s">
        <v>402</v>
      </c>
      <c r="BP28">
        <v>0</v>
      </c>
      <c r="BQ28">
        <f t="shared" si="38"/>
        <v>581.66841156094722</v>
      </c>
      <c r="BR28">
        <f t="shared" si="39"/>
        <v>0.74663692604247456</v>
      </c>
      <c r="BS28">
        <f t="shared" si="40"/>
        <v>0.85116774086523694</v>
      </c>
      <c r="BT28">
        <f t="shared" si="41"/>
        <v>5.1604754938885319E-2</v>
      </c>
      <c r="BU28">
        <f t="shared" si="42"/>
        <v>0.85406307848689877</v>
      </c>
      <c r="BV28">
        <f t="shared" si="43"/>
        <v>5.1771206133698934E-2</v>
      </c>
      <c r="BW28">
        <f t="shared" si="44"/>
        <v>0.59166618402696303</v>
      </c>
      <c r="BX28">
        <f t="shared" si="45"/>
        <v>0.40833381597303697</v>
      </c>
      <c r="DG28">
        <f t="shared" si="46"/>
        <v>50.012532258064518</v>
      </c>
      <c r="DH28">
        <f t="shared" si="47"/>
        <v>42.145657725744613</v>
      </c>
      <c r="DI28">
        <f t="shared" si="48"/>
        <v>0.84270193535238613</v>
      </c>
      <c r="DJ28">
        <f t="shared" si="49"/>
        <v>0.1648147352301054</v>
      </c>
      <c r="DK28">
        <v>6</v>
      </c>
      <c r="DL28">
        <v>0.5</v>
      </c>
      <c r="DM28" t="s">
        <v>403</v>
      </c>
      <c r="DN28">
        <v>2</v>
      </c>
      <c r="DO28" t="b">
        <v>0</v>
      </c>
      <c r="DP28">
        <v>1785003538.599999</v>
      </c>
      <c r="DQ28">
        <v>420.05496774193551</v>
      </c>
      <c r="DR28">
        <v>421.27883870967742</v>
      </c>
      <c r="DS28">
        <v>25.45934193548387</v>
      </c>
      <c r="DT28">
        <v>25.262080645161291</v>
      </c>
      <c r="DU28">
        <v>429.21212903225802</v>
      </c>
      <c r="DV28">
        <v>26.73203225806451</v>
      </c>
      <c r="DW28">
        <v>500.01590322580648</v>
      </c>
      <c r="DX28">
        <v>97.698393548387102</v>
      </c>
      <c r="DY28">
        <v>5.9797574193548378E-2</v>
      </c>
      <c r="DZ28">
        <v>28.239080645161291</v>
      </c>
      <c r="EA28">
        <v>28.675583870967749</v>
      </c>
      <c r="EB28">
        <v>999.90000000000032</v>
      </c>
      <c r="EC28">
        <v>0</v>
      </c>
      <c r="ED28">
        <v>0</v>
      </c>
      <c r="EE28">
        <v>10005.322580645159</v>
      </c>
      <c r="EF28">
        <v>0</v>
      </c>
      <c r="EG28">
        <v>162.57935483870969</v>
      </c>
      <c r="EH28">
        <v>-1.223842838709678</v>
      </c>
      <c r="EI28">
        <v>431.02861290322579</v>
      </c>
      <c r="EJ28">
        <v>432.19693548387102</v>
      </c>
      <c r="EK28">
        <v>0.19725884838709681</v>
      </c>
      <c r="EL28">
        <v>421.27883870967742</v>
      </c>
      <c r="EM28">
        <v>25.262080645161291</v>
      </c>
      <c r="EN28">
        <v>2.4873351612903218</v>
      </c>
      <c r="EO28">
        <v>2.4680641935483871</v>
      </c>
      <c r="EP28">
        <v>20.94387096774194</v>
      </c>
      <c r="EQ28">
        <v>20.817354838709679</v>
      </c>
      <c r="ER28">
        <v>50.012532258064518</v>
      </c>
      <c r="ES28">
        <v>0.89992577419354813</v>
      </c>
      <c r="ET28">
        <v>0.1000745483870968</v>
      </c>
      <c r="EU28">
        <v>0</v>
      </c>
      <c r="EV28">
        <v>836.698451612903</v>
      </c>
      <c r="EW28">
        <v>5.0010700000000003</v>
      </c>
      <c r="EX28">
        <v>3843.175806451613</v>
      </c>
      <c r="EY28">
        <v>396.36396774193548</v>
      </c>
      <c r="EZ28">
        <v>43</v>
      </c>
      <c r="FA28">
        <v>47.75</v>
      </c>
      <c r="FB28">
        <v>45.436999999999969</v>
      </c>
      <c r="FC28">
        <v>47.070129032258038</v>
      </c>
      <c r="FD28">
        <v>44.875</v>
      </c>
      <c r="FE28">
        <v>40.505483870967751</v>
      </c>
      <c r="FF28">
        <v>4.5041935483870974</v>
      </c>
      <c r="FG28">
        <v>0</v>
      </c>
      <c r="FH28">
        <v>199.5</v>
      </c>
      <c r="FI28">
        <v>0</v>
      </c>
      <c r="FJ28">
        <v>836.78500000000008</v>
      </c>
      <c r="FK28">
        <v>3.584803943182</v>
      </c>
      <c r="FL28">
        <v>-40.406863036994707</v>
      </c>
      <c r="FM28">
        <v>3843.836470588235</v>
      </c>
      <c r="FN28">
        <v>10</v>
      </c>
      <c r="FO28">
        <v>1785003455.0999999</v>
      </c>
      <c r="FP28" t="s">
        <v>512</v>
      </c>
      <c r="FQ28">
        <v>1785003451.5999999</v>
      </c>
      <c r="FR28">
        <v>1785003455.0999999</v>
      </c>
      <c r="FS28">
        <v>26</v>
      </c>
      <c r="FT28">
        <v>-6.5000000000000002E-2</v>
      </c>
      <c r="FU28">
        <v>3.0000000000000001E-3</v>
      </c>
      <c r="FV28">
        <v>-9.1649999999999991</v>
      </c>
      <c r="FW28">
        <v>-1.2849999999999999</v>
      </c>
      <c r="FX28">
        <v>422</v>
      </c>
      <c r="FY28">
        <v>25</v>
      </c>
      <c r="FZ28">
        <v>1.53</v>
      </c>
      <c r="GA28">
        <v>0.49</v>
      </c>
      <c r="GB28">
        <v>420.05432258064508</v>
      </c>
      <c r="GC28">
        <v>0.28737096774002369</v>
      </c>
      <c r="GD28">
        <v>5.421009731963837E-2</v>
      </c>
      <c r="GE28">
        <v>-1</v>
      </c>
      <c r="GF28">
        <v>836.54376470588227</v>
      </c>
      <c r="GG28">
        <v>2.6955538558779599</v>
      </c>
      <c r="GH28">
        <v>0.33011014728808702</v>
      </c>
      <c r="GI28">
        <v>1</v>
      </c>
      <c r="GJ28">
        <v>0.22440762439024389</v>
      </c>
      <c r="GK28">
        <v>-0.66495347665505156</v>
      </c>
      <c r="GL28">
        <v>8.0166753156465362E-2</v>
      </c>
      <c r="GM28">
        <v>0</v>
      </c>
      <c r="GN28">
        <v>1</v>
      </c>
      <c r="GO28">
        <v>2</v>
      </c>
      <c r="GP28" t="s">
        <v>409</v>
      </c>
      <c r="GQ28">
        <v>3.1317499999999998</v>
      </c>
      <c r="GR28">
        <v>2.7365699999999999</v>
      </c>
      <c r="GS28">
        <v>9.0461700000000006E-2</v>
      </c>
      <c r="GT28">
        <v>8.9854199999999995E-2</v>
      </c>
      <c r="GU28">
        <v>0.118813</v>
      </c>
      <c r="GV28">
        <v>0.11502800000000001</v>
      </c>
      <c r="GW28">
        <v>22544.6</v>
      </c>
      <c r="GX28">
        <v>30147.3</v>
      </c>
      <c r="GY28">
        <v>26918</v>
      </c>
      <c r="GZ28">
        <v>34105.800000000003</v>
      </c>
      <c r="HA28">
        <v>34793.1</v>
      </c>
      <c r="HB28">
        <v>38015.699999999997</v>
      </c>
      <c r="HC28">
        <v>39773.9</v>
      </c>
      <c r="HD28">
        <v>43020.5</v>
      </c>
      <c r="HE28">
        <v>1.9041999999999999</v>
      </c>
      <c r="HF28">
        <v>1.62</v>
      </c>
      <c r="HG28">
        <v>-0.13530300000000001</v>
      </c>
      <c r="HH28">
        <v>0</v>
      </c>
      <c r="HI28">
        <v>30.849599999999999</v>
      </c>
      <c r="HJ28">
        <v>999.9</v>
      </c>
      <c r="HK28">
        <v>42.1</v>
      </c>
      <c r="HL28">
        <v>46</v>
      </c>
      <c r="HM28">
        <v>43.726599999999998</v>
      </c>
      <c r="HN28">
        <v>61.078600000000002</v>
      </c>
      <c r="HO28">
        <v>4.3028899999999997</v>
      </c>
      <c r="HP28">
        <v>1</v>
      </c>
      <c r="HQ28">
        <v>1.1642699999999999</v>
      </c>
      <c r="HR28">
        <v>8.9818499999999997</v>
      </c>
      <c r="HS28">
        <v>20.0519</v>
      </c>
      <c r="HT28">
        <v>5.2112999999999996</v>
      </c>
      <c r="HU28">
        <v>11.9201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1.8672500000000001</v>
      </c>
      <c r="IC28">
        <v>1.86307</v>
      </c>
      <c r="ID28">
        <v>1.86249</v>
      </c>
      <c r="IE28">
        <v>1.8620300000000001</v>
      </c>
      <c r="IF28">
        <v>1.8620300000000001</v>
      </c>
      <c r="IG28">
        <v>1.86252</v>
      </c>
      <c r="IH28">
        <v>1.8635600000000001</v>
      </c>
      <c r="II28">
        <v>1.86145</v>
      </c>
      <c r="IJ28">
        <v>0</v>
      </c>
      <c r="IK28">
        <v>0</v>
      </c>
      <c r="IL28">
        <v>0</v>
      </c>
      <c r="IM28">
        <v>4.5</v>
      </c>
      <c r="IN28" t="s">
        <v>405</v>
      </c>
      <c r="IO28" t="s">
        <v>406</v>
      </c>
      <c r="IP28" t="s">
        <v>407</v>
      </c>
      <c r="IQ28" t="s">
        <v>408</v>
      </c>
      <c r="IR28" t="s">
        <v>408</v>
      </c>
      <c r="IS28" t="s">
        <v>407</v>
      </c>
      <c r="IT28">
        <v>0</v>
      </c>
      <c r="IU28">
        <v>100</v>
      </c>
      <c r="IV28">
        <v>100</v>
      </c>
      <c r="IW28">
        <v>-9.157</v>
      </c>
      <c r="IX28">
        <v>-1.2728999999999999</v>
      </c>
      <c r="IY28">
        <v>-7.1574461739215494</v>
      </c>
      <c r="IZ28">
        <v>-5.6215304933332991E-3</v>
      </c>
      <c r="JA28">
        <v>2.3979931213773931E-6</v>
      </c>
      <c r="JB28">
        <v>-3.6297174575716598E-10</v>
      </c>
      <c r="JC28">
        <v>-1.742286917421707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1.6</v>
      </c>
      <c r="JL28">
        <v>1.5</v>
      </c>
      <c r="JM28">
        <v>1.1084000000000001</v>
      </c>
      <c r="JN28">
        <v>2.5708000000000002</v>
      </c>
      <c r="JO28">
        <v>1.50024</v>
      </c>
      <c r="JP28">
        <v>2.2668499999999998</v>
      </c>
      <c r="JQ28">
        <v>1.4477500000000001</v>
      </c>
      <c r="JR28">
        <v>2.5134300000000001</v>
      </c>
      <c r="JS28">
        <v>48.9191</v>
      </c>
      <c r="JT28">
        <v>14.4648</v>
      </c>
      <c r="JU28">
        <v>18</v>
      </c>
      <c r="JV28">
        <v>552.53399999999999</v>
      </c>
      <c r="JW28">
        <v>378.09500000000003</v>
      </c>
      <c r="JX28">
        <v>24.313400000000001</v>
      </c>
      <c r="JY28">
        <v>40.570599999999999</v>
      </c>
      <c r="JZ28">
        <v>30.0001</v>
      </c>
      <c r="KA28">
        <v>40.690800000000003</v>
      </c>
      <c r="KB28">
        <v>40.707000000000001</v>
      </c>
      <c r="KC28">
        <v>22.179500000000001</v>
      </c>
      <c r="KD28">
        <v>45.118499999999997</v>
      </c>
      <c r="KE28">
        <v>0</v>
      </c>
      <c r="KF28">
        <v>24.323599999999999</v>
      </c>
      <c r="KG28">
        <v>421.08499999999998</v>
      </c>
      <c r="KH28">
        <v>25.376100000000001</v>
      </c>
      <c r="KI28">
        <v>99.381200000000007</v>
      </c>
      <c r="KJ28">
        <v>97.041399999999996</v>
      </c>
    </row>
    <row r="29" spans="1:296" x14ac:dyDescent="0.3">
      <c r="A29">
        <v>13</v>
      </c>
      <c r="B29">
        <v>1785003728.0999999</v>
      </c>
      <c r="C29">
        <v>2220.099999904633</v>
      </c>
      <c r="D29" t="s">
        <v>513</v>
      </c>
      <c r="E29" t="s">
        <v>514</v>
      </c>
      <c r="F29">
        <v>15</v>
      </c>
      <c r="H29">
        <v>1785003720.349999</v>
      </c>
      <c r="I29">
        <f t="shared" si="0"/>
        <v>1.6536051857686608E-4</v>
      </c>
      <c r="J29">
        <f t="shared" si="1"/>
        <v>0.16536051857686607</v>
      </c>
      <c r="K29">
        <f t="shared" si="2"/>
        <v>-2.566735476432902</v>
      </c>
      <c r="L29">
        <f t="shared" si="3"/>
        <v>420.12673333333339</v>
      </c>
      <c r="M29">
        <f t="shared" si="4"/>
        <v>783.30787573761097</v>
      </c>
      <c r="N29">
        <f t="shared" si="5"/>
        <v>76.57029848846922</v>
      </c>
      <c r="O29">
        <f t="shared" si="6"/>
        <v>41.068436014416839</v>
      </c>
      <c r="P29">
        <f t="shared" si="7"/>
        <v>1.0888925654670045E-2</v>
      </c>
      <c r="Q29">
        <f t="shared" si="8"/>
        <v>2.889243909367786</v>
      </c>
      <c r="R29">
        <f t="shared" si="9"/>
        <v>1.0866178215343452E-2</v>
      </c>
      <c r="S29">
        <f t="shared" si="10"/>
        <v>6.7934011512410077E-3</v>
      </c>
      <c r="T29">
        <f t="shared" si="11"/>
        <v>1.5966703903835998E-4</v>
      </c>
      <c r="U29">
        <f t="shared" si="12"/>
        <v>28.162038123625617</v>
      </c>
      <c r="V29">
        <f t="shared" si="13"/>
        <v>28.630796666666669</v>
      </c>
      <c r="W29">
        <f t="shared" si="14"/>
        <v>3.9366472296131625</v>
      </c>
      <c r="X29">
        <f t="shared" si="15"/>
        <v>65.043210904814984</v>
      </c>
      <c r="Y29">
        <f t="shared" si="16"/>
        <v>2.498019694310659</v>
      </c>
      <c r="Z29">
        <f t="shared" si="17"/>
        <v>3.8405540863692771</v>
      </c>
      <c r="AA29">
        <f t="shared" si="18"/>
        <v>1.4386275353025035</v>
      </c>
      <c r="AB29">
        <f t="shared" si="19"/>
        <v>-7.2923988692397943</v>
      </c>
      <c r="AC29">
        <f t="shared" si="20"/>
        <v>-66.236435145230871</v>
      </c>
      <c r="AD29">
        <f t="shared" si="21"/>
        <v>-5.0180212676427081</v>
      </c>
      <c r="AE29">
        <f t="shared" si="22"/>
        <v>-78.546695615074327</v>
      </c>
      <c r="AF29">
        <f t="shared" si="23"/>
        <v>-2.566735476432902</v>
      </c>
      <c r="AG29">
        <f t="shared" si="24"/>
        <v>0.16536051857686607</v>
      </c>
      <c r="AH29">
        <f t="shared" si="25"/>
        <v>-2.6321765114454121</v>
      </c>
      <c r="AI29">
        <v>427.88398211627231</v>
      </c>
      <c r="AJ29">
        <v>431.12081818181832</v>
      </c>
      <c r="AK29">
        <v>7.2131596305220356E-4</v>
      </c>
      <c r="AL29">
        <v>67.009574349414166</v>
      </c>
      <c r="AM29">
        <f t="shared" si="26"/>
        <v>0.17753398131186232</v>
      </c>
      <c r="AN29">
        <v>25.358716086295349</v>
      </c>
      <c r="AO29">
        <v>25.56433454545455</v>
      </c>
      <c r="AP29">
        <v>3.2211021827050732E-4</v>
      </c>
      <c r="AQ29">
        <v>78.169550807960476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51464.196928594087</v>
      </c>
      <c r="AW29" t="s">
        <v>515</v>
      </c>
      <c r="AX29">
        <v>13198.7</v>
      </c>
      <c r="AY29">
        <v>614.48529411764707</v>
      </c>
      <c r="AZ29">
        <v>2434.17</v>
      </c>
      <c r="BA29">
        <f t="shared" si="30"/>
        <v>0.74755859528395829</v>
      </c>
      <c r="BB29">
        <v>-2.566735476432902</v>
      </c>
      <c r="BC29" t="s">
        <v>402</v>
      </c>
      <c r="BD29" t="s">
        <v>402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-2.566735476432902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402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1.3376877830160623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403</v>
      </c>
      <c r="DN29">
        <v>2</v>
      </c>
      <c r="DO29" t="b">
        <v>0</v>
      </c>
      <c r="DP29">
        <v>1785003720.349999</v>
      </c>
      <c r="DQ29">
        <v>420.12673333333339</v>
      </c>
      <c r="DR29">
        <v>417.13019999999989</v>
      </c>
      <c r="DS29">
        <v>25.554536666666671</v>
      </c>
      <c r="DT29">
        <v>25.361186666666661</v>
      </c>
      <c r="DU29">
        <v>429.24373333333341</v>
      </c>
      <c r="DV29">
        <v>26.833536666666671</v>
      </c>
      <c r="DW29">
        <v>500.03043333333329</v>
      </c>
      <c r="DX29">
        <v>97.692386666666678</v>
      </c>
      <c r="DY29">
        <v>6.0107416666666663E-2</v>
      </c>
      <c r="DZ29">
        <v>28.20556333333333</v>
      </c>
      <c r="EA29">
        <v>28.630796666666669</v>
      </c>
      <c r="EB29">
        <v>999.9000000000002</v>
      </c>
      <c r="EC29">
        <v>0</v>
      </c>
      <c r="ED29">
        <v>0</v>
      </c>
      <c r="EE29">
        <v>10002.83333333333</v>
      </c>
      <c r="EF29">
        <v>0</v>
      </c>
      <c r="EG29">
        <v>161.03546666666671</v>
      </c>
      <c r="EH29">
        <v>2.9562686666666669</v>
      </c>
      <c r="EI29">
        <v>431.10713333333331</v>
      </c>
      <c r="EJ29">
        <v>427.98436666666669</v>
      </c>
      <c r="EK29">
        <v>0.20259450000000001</v>
      </c>
      <c r="EL29">
        <v>417.13019999999989</v>
      </c>
      <c r="EM29">
        <v>25.361186666666661</v>
      </c>
      <c r="EN29">
        <v>2.4973873333333341</v>
      </c>
      <c r="EO29">
        <v>2.4775943333333328</v>
      </c>
      <c r="EP29">
        <v>21.00948666666666</v>
      </c>
      <c r="EQ29">
        <v>20.880056666666661</v>
      </c>
      <c r="ER29">
        <v>1.00021E-2</v>
      </c>
      <c r="ES29">
        <v>0</v>
      </c>
      <c r="ET29">
        <v>0</v>
      </c>
      <c r="EU29">
        <v>0</v>
      </c>
      <c r="EV29">
        <v>614.79000000000008</v>
      </c>
      <c r="EW29">
        <v>1.00021E-2</v>
      </c>
      <c r="EX29">
        <v>3396.105</v>
      </c>
      <c r="EY29">
        <v>3.063333333333333</v>
      </c>
      <c r="EZ29">
        <v>42.686999999999983</v>
      </c>
      <c r="FA29">
        <v>47.561999999999983</v>
      </c>
      <c r="FB29">
        <v>45.178733333333312</v>
      </c>
      <c r="FC29">
        <v>46.686999999999983</v>
      </c>
      <c r="FD29">
        <v>44.432866666666648</v>
      </c>
      <c r="FE29">
        <v>0</v>
      </c>
      <c r="FF29">
        <v>0</v>
      </c>
      <c r="FG29">
        <v>0</v>
      </c>
      <c r="FH29">
        <v>180.70000004768369</v>
      </c>
      <c r="FI29">
        <v>0</v>
      </c>
      <c r="FJ29">
        <v>614.48529411764707</v>
      </c>
      <c r="FK29">
        <v>8.4436283431426187</v>
      </c>
      <c r="FL29">
        <v>507.12009845661782</v>
      </c>
      <c r="FM29">
        <v>3413.3823529411761</v>
      </c>
      <c r="FN29">
        <v>10</v>
      </c>
      <c r="FO29">
        <v>1785003747.0999999</v>
      </c>
      <c r="FP29" t="s">
        <v>516</v>
      </c>
      <c r="FQ29">
        <v>1785003744.5999999</v>
      </c>
      <c r="FR29">
        <v>1785003747.0999999</v>
      </c>
      <c r="FS29">
        <v>27</v>
      </c>
      <c r="FT29">
        <v>2.8000000000000001E-2</v>
      </c>
      <c r="FU29">
        <v>-2E-3</v>
      </c>
      <c r="FV29">
        <v>-9.1170000000000009</v>
      </c>
      <c r="FW29">
        <v>-1.2789999999999999</v>
      </c>
      <c r="FX29">
        <v>417</v>
      </c>
      <c r="FY29">
        <v>25</v>
      </c>
      <c r="FZ29">
        <v>2.06</v>
      </c>
      <c r="GA29">
        <v>0.63</v>
      </c>
      <c r="GB29">
        <v>420.08419354838702</v>
      </c>
      <c r="GC29">
        <v>0.16930645161204411</v>
      </c>
      <c r="GD29">
        <v>5.2345883995589718E-2</v>
      </c>
      <c r="GE29">
        <v>-1</v>
      </c>
      <c r="GF29">
        <v>614.98676470588248</v>
      </c>
      <c r="GG29">
        <v>-3.20931996912255</v>
      </c>
      <c r="GH29">
        <v>4.1704194460990838</v>
      </c>
      <c r="GI29">
        <v>1</v>
      </c>
      <c r="GJ29">
        <v>0.21869021951219511</v>
      </c>
      <c r="GK29">
        <v>-0.20140070383275249</v>
      </c>
      <c r="GL29">
        <v>2.5754049115233581E-2</v>
      </c>
      <c r="GM29">
        <v>1</v>
      </c>
      <c r="GN29">
        <v>2</v>
      </c>
      <c r="GO29">
        <v>2</v>
      </c>
      <c r="GP29" t="s">
        <v>404</v>
      </c>
      <c r="GQ29">
        <v>3.1308699999999998</v>
      </c>
      <c r="GR29">
        <v>2.73563</v>
      </c>
      <c r="GS29">
        <v>9.0472399999999994E-2</v>
      </c>
      <c r="GT29">
        <v>8.9189900000000003E-2</v>
      </c>
      <c r="GU29">
        <v>0.119172</v>
      </c>
      <c r="GV29">
        <v>0.114814</v>
      </c>
      <c r="GW29">
        <v>22545.9</v>
      </c>
      <c r="GX29">
        <v>30171.8</v>
      </c>
      <c r="GY29">
        <v>26919.599999999999</v>
      </c>
      <c r="GZ29">
        <v>34108.1</v>
      </c>
      <c r="HA29">
        <v>34781.4</v>
      </c>
      <c r="HB29">
        <v>38029.5</v>
      </c>
      <c r="HC29">
        <v>39776.9</v>
      </c>
      <c r="HD29">
        <v>43026.1</v>
      </c>
      <c r="HE29">
        <v>1.9041999999999999</v>
      </c>
      <c r="HF29">
        <v>1.6226</v>
      </c>
      <c r="HG29">
        <v>-0.12964000000000001</v>
      </c>
      <c r="HH29">
        <v>0</v>
      </c>
      <c r="HI29">
        <v>30.747599999999998</v>
      </c>
      <c r="HJ29">
        <v>999.9</v>
      </c>
      <c r="HK29">
        <v>42.1</v>
      </c>
      <c r="HL29">
        <v>45.9</v>
      </c>
      <c r="HM29">
        <v>43.503799999999998</v>
      </c>
      <c r="HN29">
        <v>61.118699999999997</v>
      </c>
      <c r="HO29">
        <v>4.4190699999999996</v>
      </c>
      <c r="HP29">
        <v>1</v>
      </c>
      <c r="HQ29">
        <v>1.1476999999999999</v>
      </c>
      <c r="HR29">
        <v>7.7168200000000002</v>
      </c>
      <c r="HS29">
        <v>20.110800000000001</v>
      </c>
      <c r="HT29">
        <v>5.2112999999999996</v>
      </c>
      <c r="HU29">
        <v>11.9201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1.86734</v>
      </c>
      <c r="IC29">
        <v>1.86304</v>
      </c>
      <c r="ID29">
        <v>1.86249</v>
      </c>
      <c r="IE29">
        <v>1.8620300000000001</v>
      </c>
      <c r="IF29">
        <v>1.8620300000000001</v>
      </c>
      <c r="IG29">
        <v>1.8625799999999999</v>
      </c>
      <c r="IH29">
        <v>1.8635600000000001</v>
      </c>
      <c r="II29">
        <v>1.86148</v>
      </c>
      <c r="IJ29">
        <v>0</v>
      </c>
      <c r="IK29">
        <v>0</v>
      </c>
      <c r="IL29">
        <v>0</v>
      </c>
      <c r="IM29">
        <v>4.5</v>
      </c>
      <c r="IN29" t="s">
        <v>405</v>
      </c>
      <c r="IO29" t="s">
        <v>406</v>
      </c>
      <c r="IP29" t="s">
        <v>407</v>
      </c>
      <c r="IQ29" t="s">
        <v>408</v>
      </c>
      <c r="IR29" t="s">
        <v>408</v>
      </c>
      <c r="IS29" t="s">
        <v>407</v>
      </c>
      <c r="IT29">
        <v>0</v>
      </c>
      <c r="IU29">
        <v>100</v>
      </c>
      <c r="IV29">
        <v>100</v>
      </c>
      <c r="IW29">
        <v>-9.1170000000000009</v>
      </c>
      <c r="IX29">
        <v>-1.2789999999999999</v>
      </c>
      <c r="IY29">
        <v>-7.1574461739215494</v>
      </c>
      <c r="IZ29">
        <v>-5.6215304933332991E-3</v>
      </c>
      <c r="JA29">
        <v>2.3979931213773931E-6</v>
      </c>
      <c r="JB29">
        <v>-3.6297174575716598E-10</v>
      </c>
      <c r="JC29">
        <v>-1.742286917421707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4.5999999999999996</v>
      </c>
      <c r="JL29">
        <v>4.5</v>
      </c>
      <c r="JM29">
        <v>1.09985</v>
      </c>
      <c r="JN29">
        <v>2.5720200000000002</v>
      </c>
      <c r="JO29">
        <v>1.50024</v>
      </c>
      <c r="JP29">
        <v>2.2668499999999998</v>
      </c>
      <c r="JQ29">
        <v>1.4477500000000001</v>
      </c>
      <c r="JR29">
        <v>2.5061</v>
      </c>
      <c r="JS29">
        <v>48.670699999999997</v>
      </c>
      <c r="JT29">
        <v>14.4648</v>
      </c>
      <c r="JU29">
        <v>18</v>
      </c>
      <c r="JV29">
        <v>552.20100000000002</v>
      </c>
      <c r="JW29">
        <v>379.40699999999998</v>
      </c>
      <c r="JX29">
        <v>24.698399999999999</v>
      </c>
      <c r="JY29">
        <v>40.494</v>
      </c>
      <c r="JZ29">
        <v>29.999099999999999</v>
      </c>
      <c r="KA29">
        <v>40.647100000000002</v>
      </c>
      <c r="KB29">
        <v>40.667499999999997</v>
      </c>
      <c r="KC29">
        <v>22.007200000000001</v>
      </c>
      <c r="KD29">
        <v>44.870699999999999</v>
      </c>
      <c r="KE29">
        <v>0</v>
      </c>
      <c r="KF29">
        <v>24.704999999999998</v>
      </c>
      <c r="KG29">
        <v>416.98700000000002</v>
      </c>
      <c r="KH29">
        <v>25.439599999999999</v>
      </c>
      <c r="KI29">
        <v>99.388000000000005</v>
      </c>
      <c r="KJ29">
        <v>97.051199999999994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631F-261D-4B64-93BD-90C5C6C568F9}">
  <dimension ref="A2:KJ29"/>
  <sheetViews>
    <sheetView workbookViewId="0">
      <selection activeCell="M30" sqref="M30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517</v>
      </c>
      <c r="G13" t="s">
        <v>518</v>
      </c>
      <c r="H13">
        <v>0</v>
      </c>
    </row>
    <row r="14" spans="1:296" x14ac:dyDescent="0.3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57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61</v>
      </c>
      <c r="BK14" t="s">
        <v>61</v>
      </c>
      <c r="BL14" t="s">
        <v>61</v>
      </c>
      <c r="BM14" t="s">
        <v>61</v>
      </c>
      <c r="BN14" t="s">
        <v>61</v>
      </c>
      <c r="BO14" t="s">
        <v>61</v>
      </c>
      <c r="BP14" t="s">
        <v>61</v>
      </c>
      <c r="BQ14" t="s">
        <v>61</v>
      </c>
      <c r="BR14" t="s">
        <v>61</v>
      </c>
      <c r="BS14" t="s">
        <v>61</v>
      </c>
      <c r="BT14" t="s">
        <v>61</v>
      </c>
      <c r="BU14" t="s">
        <v>61</v>
      </c>
      <c r="BV14" t="s">
        <v>61</v>
      </c>
      <c r="BW14" t="s">
        <v>61</v>
      </c>
      <c r="BX14" t="s">
        <v>61</v>
      </c>
      <c r="BY14" t="s">
        <v>62</v>
      </c>
      <c r="BZ14" t="s">
        <v>62</v>
      </c>
      <c r="CA14" t="s">
        <v>62</v>
      </c>
      <c r="CB14" t="s">
        <v>62</v>
      </c>
      <c r="CC14" t="s">
        <v>62</v>
      </c>
      <c r="CD14" t="s">
        <v>62</v>
      </c>
      <c r="CE14" t="s">
        <v>62</v>
      </c>
      <c r="CF14" t="s">
        <v>62</v>
      </c>
      <c r="CG14" t="s">
        <v>62</v>
      </c>
      <c r="CH14" t="s">
        <v>62</v>
      </c>
      <c r="CI14" t="s">
        <v>62</v>
      </c>
      <c r="CJ14" t="s">
        <v>62</v>
      </c>
      <c r="CK14" t="s">
        <v>62</v>
      </c>
      <c r="CL14" t="s">
        <v>62</v>
      </c>
      <c r="CM14" t="s">
        <v>62</v>
      </c>
      <c r="CN14" t="s">
        <v>62</v>
      </c>
      <c r="CO14" t="s">
        <v>62</v>
      </c>
      <c r="CP14" t="s">
        <v>62</v>
      </c>
      <c r="CQ14" t="s">
        <v>62</v>
      </c>
      <c r="CR14" t="s">
        <v>62</v>
      </c>
      <c r="CS14" t="s">
        <v>62</v>
      </c>
      <c r="CT14" t="s">
        <v>63</v>
      </c>
      <c r="CU14" t="s">
        <v>63</v>
      </c>
      <c r="CV14" t="s">
        <v>63</v>
      </c>
      <c r="CW14" t="s">
        <v>63</v>
      </c>
      <c r="CX14" t="s">
        <v>63</v>
      </c>
      <c r="CY14" t="s">
        <v>63</v>
      </c>
      <c r="CZ14" t="s">
        <v>63</v>
      </c>
      <c r="DA14" t="s">
        <v>63</v>
      </c>
      <c r="DB14" t="s">
        <v>63</v>
      </c>
      <c r="DC14" t="s">
        <v>63</v>
      </c>
      <c r="DD14" t="s">
        <v>63</v>
      </c>
      <c r="DE14" t="s">
        <v>63</v>
      </c>
      <c r="DF14" t="s">
        <v>63</v>
      </c>
      <c r="DG14" t="s">
        <v>64</v>
      </c>
      <c r="DH14" t="s">
        <v>64</v>
      </c>
      <c r="DI14" t="s">
        <v>64</v>
      </c>
      <c r="DJ14" t="s">
        <v>64</v>
      </c>
      <c r="DK14" t="s">
        <v>65</v>
      </c>
      <c r="DL14" t="s">
        <v>65</v>
      </c>
      <c r="DM14" t="s">
        <v>65</v>
      </c>
      <c r="DN14" t="s">
        <v>65</v>
      </c>
      <c r="DO14" t="s">
        <v>65</v>
      </c>
      <c r="DP14" t="s">
        <v>66</v>
      </c>
      <c r="DQ14" t="s">
        <v>66</v>
      </c>
      <c r="DR14" t="s">
        <v>66</v>
      </c>
      <c r="DS14" t="s">
        <v>66</v>
      </c>
      <c r="DT14" t="s">
        <v>66</v>
      </c>
      <c r="DU14" t="s">
        <v>66</v>
      </c>
      <c r="DV14" t="s">
        <v>66</v>
      </c>
      <c r="DW14" t="s">
        <v>66</v>
      </c>
      <c r="DX14" t="s">
        <v>66</v>
      </c>
      <c r="DY14" t="s">
        <v>66</v>
      </c>
      <c r="DZ14" t="s">
        <v>66</v>
      </c>
      <c r="EA14" t="s">
        <v>66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s">
        <v>67</v>
      </c>
      <c r="EI14" t="s">
        <v>67</v>
      </c>
      <c r="EJ14" t="s">
        <v>67</v>
      </c>
      <c r="EK14" t="s">
        <v>67</v>
      </c>
      <c r="EL14" t="s">
        <v>67</v>
      </c>
      <c r="EM14" t="s">
        <v>67</v>
      </c>
      <c r="EN14" t="s">
        <v>67</v>
      </c>
      <c r="EO14" t="s">
        <v>67</v>
      </c>
      <c r="EP14" t="s">
        <v>67</v>
      </c>
      <c r="EQ14" t="s">
        <v>67</v>
      </c>
      <c r="ER14" t="s">
        <v>68</v>
      </c>
      <c r="ES14" t="s">
        <v>68</v>
      </c>
      <c r="ET14" t="s">
        <v>68</v>
      </c>
      <c r="EU14" t="s">
        <v>68</v>
      </c>
      <c r="EV14" t="s">
        <v>68</v>
      </c>
      <c r="EW14" t="s">
        <v>68</v>
      </c>
      <c r="EX14" t="s">
        <v>68</v>
      </c>
      <c r="EY14" t="s">
        <v>68</v>
      </c>
      <c r="EZ14" t="s">
        <v>68</v>
      </c>
      <c r="FA14" t="s">
        <v>68</v>
      </c>
      <c r="FB14" t="s">
        <v>68</v>
      </c>
      <c r="FC14" t="s">
        <v>68</v>
      </c>
      <c r="FD14" t="s">
        <v>68</v>
      </c>
      <c r="FE14" t="s">
        <v>68</v>
      </c>
      <c r="FF14" t="s">
        <v>68</v>
      </c>
      <c r="FG14" t="s">
        <v>68</v>
      </c>
      <c r="FH14" t="s">
        <v>68</v>
      </c>
      <c r="FI14" t="s">
        <v>68</v>
      </c>
      <c r="FJ14" t="s">
        <v>69</v>
      </c>
      <c r="FK14" t="s">
        <v>69</v>
      </c>
      <c r="FL14" t="s">
        <v>69</v>
      </c>
      <c r="FM14" t="s">
        <v>69</v>
      </c>
      <c r="FN14" t="s">
        <v>69</v>
      </c>
      <c r="FO14" t="s">
        <v>70</v>
      </c>
      <c r="FP14" t="s">
        <v>70</v>
      </c>
      <c r="FQ14" t="s">
        <v>70</v>
      </c>
      <c r="FR14" t="s">
        <v>70</v>
      </c>
      <c r="FS14" t="s">
        <v>70</v>
      </c>
      <c r="FT14" t="s">
        <v>70</v>
      </c>
      <c r="FU14" t="s">
        <v>70</v>
      </c>
      <c r="FV14" t="s">
        <v>70</v>
      </c>
      <c r="FW14" t="s">
        <v>70</v>
      </c>
      <c r="FX14" t="s">
        <v>70</v>
      </c>
      <c r="FY14" t="s">
        <v>70</v>
      </c>
      <c r="FZ14" t="s">
        <v>70</v>
      </c>
      <c r="GA14" t="s">
        <v>70</v>
      </c>
      <c r="GB14" t="s">
        <v>71</v>
      </c>
      <c r="GC14" t="s">
        <v>71</v>
      </c>
      <c r="GD14" t="s">
        <v>71</v>
      </c>
      <c r="GE14" t="s">
        <v>71</v>
      </c>
      <c r="GF14" t="s">
        <v>71</v>
      </c>
      <c r="GG14" t="s">
        <v>71</v>
      </c>
      <c r="GH14" t="s">
        <v>71</v>
      </c>
      <c r="GI14" t="s">
        <v>71</v>
      </c>
      <c r="GJ14" t="s">
        <v>71</v>
      </c>
      <c r="GK14" t="s">
        <v>71</v>
      </c>
      <c r="GL14" t="s">
        <v>71</v>
      </c>
      <c r="GM14" t="s">
        <v>71</v>
      </c>
      <c r="GN14" t="s">
        <v>71</v>
      </c>
      <c r="GO14" t="s">
        <v>71</v>
      </c>
      <c r="GP14" t="s">
        <v>71</v>
      </c>
      <c r="GQ14" t="s">
        <v>72</v>
      </c>
      <c r="GR14" t="s">
        <v>72</v>
      </c>
      <c r="GS14" t="s">
        <v>72</v>
      </c>
      <c r="GT14" t="s">
        <v>72</v>
      </c>
      <c r="GU14" t="s">
        <v>72</v>
      </c>
      <c r="GV14" t="s">
        <v>72</v>
      </c>
      <c r="GW14" t="s">
        <v>72</v>
      </c>
      <c r="GX14" t="s">
        <v>72</v>
      </c>
      <c r="GY14" t="s">
        <v>72</v>
      </c>
      <c r="GZ14" t="s">
        <v>72</v>
      </c>
      <c r="HA14" t="s">
        <v>72</v>
      </c>
      <c r="HB14" t="s">
        <v>72</v>
      </c>
      <c r="HC14" t="s">
        <v>72</v>
      </c>
      <c r="HD14" t="s">
        <v>72</v>
      </c>
      <c r="HE14" t="s">
        <v>72</v>
      </c>
      <c r="HF14" t="s">
        <v>72</v>
      </c>
      <c r="HG14" t="s">
        <v>72</v>
      </c>
      <c r="HH14" t="s">
        <v>72</v>
      </c>
      <c r="HI14" t="s">
        <v>73</v>
      </c>
      <c r="HJ14" t="s">
        <v>73</v>
      </c>
      <c r="HK14" t="s">
        <v>73</v>
      </c>
      <c r="HL14" t="s">
        <v>73</v>
      </c>
      <c r="HM14" t="s">
        <v>73</v>
      </c>
      <c r="HN14" t="s">
        <v>73</v>
      </c>
      <c r="HO14" t="s">
        <v>73</v>
      </c>
      <c r="HP14" t="s">
        <v>73</v>
      </c>
      <c r="HQ14" t="s">
        <v>73</v>
      </c>
      <c r="HR14" t="s">
        <v>73</v>
      </c>
      <c r="HS14" t="s">
        <v>73</v>
      </c>
      <c r="HT14" t="s">
        <v>73</v>
      </c>
      <c r="HU14" t="s">
        <v>73</v>
      </c>
      <c r="HV14" t="s">
        <v>73</v>
      </c>
      <c r="HW14" t="s">
        <v>73</v>
      </c>
      <c r="HX14" t="s">
        <v>73</v>
      </c>
      <c r="HY14" t="s">
        <v>73</v>
      </c>
      <c r="HZ14" t="s">
        <v>73</v>
      </c>
      <c r="IA14" t="s">
        <v>73</v>
      </c>
      <c r="IB14" t="s">
        <v>74</v>
      </c>
      <c r="IC14" t="s">
        <v>74</v>
      </c>
      <c r="ID14" t="s">
        <v>74</v>
      </c>
      <c r="IE14" t="s">
        <v>74</v>
      </c>
      <c r="IF14" t="s">
        <v>74</v>
      </c>
      <c r="IG14" t="s">
        <v>74</v>
      </c>
      <c r="IH14" t="s">
        <v>74</v>
      </c>
      <c r="II14" t="s">
        <v>74</v>
      </c>
      <c r="IJ14" t="s">
        <v>74</v>
      </c>
      <c r="IK14" t="s">
        <v>74</v>
      </c>
      <c r="IL14" t="s">
        <v>74</v>
      </c>
      <c r="IM14" t="s">
        <v>74</v>
      </c>
      <c r="IN14" t="s">
        <v>74</v>
      </c>
      <c r="IO14" t="s">
        <v>74</v>
      </c>
      <c r="IP14" t="s">
        <v>74</v>
      </c>
      <c r="IQ14" t="s">
        <v>74</v>
      </c>
      <c r="IR14" t="s">
        <v>74</v>
      </c>
      <c r="IS14" t="s">
        <v>74</v>
      </c>
      <c r="IT14" t="s">
        <v>74</v>
      </c>
      <c r="IU14" t="s">
        <v>75</v>
      </c>
      <c r="IV14" t="s">
        <v>75</v>
      </c>
      <c r="IW14" t="s">
        <v>75</v>
      </c>
      <c r="IX14" t="s">
        <v>75</v>
      </c>
      <c r="IY14" t="s">
        <v>75</v>
      </c>
      <c r="IZ14" t="s">
        <v>75</v>
      </c>
      <c r="JA14" t="s">
        <v>75</v>
      </c>
      <c r="JB14" t="s">
        <v>75</v>
      </c>
      <c r="JC14" t="s">
        <v>75</v>
      </c>
      <c r="JD14" t="s">
        <v>75</v>
      </c>
      <c r="JE14" t="s">
        <v>75</v>
      </c>
      <c r="JF14" t="s">
        <v>75</v>
      </c>
      <c r="JG14" t="s">
        <v>75</v>
      </c>
      <c r="JH14" t="s">
        <v>75</v>
      </c>
      <c r="JI14" t="s">
        <v>75</v>
      </c>
      <c r="JJ14" t="s">
        <v>75</v>
      </c>
      <c r="JK14" t="s">
        <v>75</v>
      </c>
      <c r="JL14" t="s">
        <v>75</v>
      </c>
      <c r="JM14" t="s">
        <v>76</v>
      </c>
      <c r="JN14" t="s">
        <v>76</v>
      </c>
      <c r="JO14" t="s">
        <v>76</v>
      </c>
      <c r="JP14" t="s">
        <v>76</v>
      </c>
      <c r="JQ14" t="s">
        <v>76</v>
      </c>
      <c r="JR14" t="s">
        <v>76</v>
      </c>
      <c r="JS14" t="s">
        <v>76</v>
      </c>
      <c r="JT14" t="s">
        <v>76</v>
      </c>
      <c r="JU14" t="s">
        <v>77</v>
      </c>
      <c r="JV14" t="s">
        <v>77</v>
      </c>
      <c r="JW14" t="s">
        <v>77</v>
      </c>
      <c r="JX14" t="s">
        <v>77</v>
      </c>
      <c r="JY14" t="s">
        <v>77</v>
      </c>
      <c r="JZ14" t="s">
        <v>77</v>
      </c>
      <c r="KA14" t="s">
        <v>77</v>
      </c>
      <c r="KB14" t="s">
        <v>77</v>
      </c>
      <c r="KC14" t="s">
        <v>77</v>
      </c>
      <c r="KD14" t="s">
        <v>77</v>
      </c>
      <c r="KE14" t="s">
        <v>77</v>
      </c>
      <c r="KF14" t="s">
        <v>77</v>
      </c>
      <c r="KG14" t="s">
        <v>77</v>
      </c>
      <c r="KH14" t="s">
        <v>77</v>
      </c>
      <c r="KI14" t="s">
        <v>77</v>
      </c>
      <c r="KJ14" t="s">
        <v>77</v>
      </c>
    </row>
    <row r="15" spans="1:296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t="s">
        <v>97</v>
      </c>
      <c r="U15" t="s">
        <v>98</v>
      </c>
      <c r="V15" t="s">
        <v>99</v>
      </c>
      <c r="W15" t="s">
        <v>100</v>
      </c>
      <c r="X15" t="s">
        <v>101</v>
      </c>
      <c r="Y15" t="s">
        <v>102</v>
      </c>
      <c r="Z15" t="s">
        <v>103</v>
      </c>
      <c r="AA15" t="s">
        <v>104</v>
      </c>
      <c r="AB15" t="s">
        <v>105</v>
      </c>
      <c r="AC15" t="s">
        <v>106</v>
      </c>
      <c r="AD15" t="s">
        <v>107</v>
      </c>
      <c r="AE15" t="s">
        <v>108</v>
      </c>
      <c r="AF15" t="s">
        <v>109</v>
      </c>
      <c r="AG15" t="s">
        <v>110</v>
      </c>
      <c r="AH15" t="s">
        <v>111</v>
      </c>
      <c r="AI15" t="s">
        <v>112</v>
      </c>
      <c r="AJ15" t="s">
        <v>113</v>
      </c>
      <c r="AK15" t="s">
        <v>114</v>
      </c>
      <c r="AL15" t="s">
        <v>115</v>
      </c>
      <c r="AM15" t="s">
        <v>116</v>
      </c>
      <c r="AN15" t="s">
        <v>117</v>
      </c>
      <c r="AO15" t="s">
        <v>118</v>
      </c>
      <c r="AP15" t="s">
        <v>119</v>
      </c>
      <c r="AQ15" t="s">
        <v>120</v>
      </c>
      <c r="AR15" t="s">
        <v>60</v>
      </c>
      <c r="AS15" t="s">
        <v>121</v>
      </c>
      <c r="AT15" t="s">
        <v>122</v>
      </c>
      <c r="AU15" t="s">
        <v>123</v>
      </c>
      <c r="AV15" t="s">
        <v>124</v>
      </c>
      <c r="AW15" t="s">
        <v>125</v>
      </c>
      <c r="AX15" t="s">
        <v>126</v>
      </c>
      <c r="AY15" t="s">
        <v>127</v>
      </c>
      <c r="AZ15" t="s">
        <v>128</v>
      </c>
      <c r="BA15" t="s">
        <v>129</v>
      </c>
      <c r="BB15" t="s">
        <v>130</v>
      </c>
      <c r="BC15" t="s">
        <v>131</v>
      </c>
      <c r="BD15" t="s">
        <v>132</v>
      </c>
      <c r="BE15" t="s">
        <v>133</v>
      </c>
      <c r="BF15" t="s">
        <v>134</v>
      </c>
      <c r="BG15" t="s">
        <v>135</v>
      </c>
      <c r="BH15" t="s">
        <v>136</v>
      </c>
      <c r="BI15" t="s">
        <v>137</v>
      </c>
      <c r="BJ15" t="s">
        <v>138</v>
      </c>
      <c r="BK15" t="s">
        <v>139</v>
      </c>
      <c r="BL15" t="s">
        <v>140</v>
      </c>
      <c r="BM15" t="s">
        <v>141</v>
      </c>
      <c r="BN15" t="s">
        <v>142</v>
      </c>
      <c r="BO15" t="s">
        <v>143</v>
      </c>
      <c r="BP15" t="s">
        <v>144</v>
      </c>
      <c r="BQ15" t="s">
        <v>145</v>
      </c>
      <c r="BR15" t="s">
        <v>146</v>
      </c>
      <c r="BS15" t="s">
        <v>147</v>
      </c>
      <c r="BT15" t="s">
        <v>148</v>
      </c>
      <c r="BU15" t="s">
        <v>149</v>
      </c>
      <c r="BV15" t="s">
        <v>150</v>
      </c>
      <c r="BW15" t="s">
        <v>151</v>
      </c>
      <c r="BX15" t="s">
        <v>152</v>
      </c>
      <c r="BY15" t="s">
        <v>153</v>
      </c>
      <c r="BZ15" t="s">
        <v>154</v>
      </c>
      <c r="CA15" t="s">
        <v>155</v>
      </c>
      <c r="CB15" t="s">
        <v>156</v>
      </c>
      <c r="CC15" t="s">
        <v>157</v>
      </c>
      <c r="CD15" t="s">
        <v>158</v>
      </c>
      <c r="CE15" t="s">
        <v>159</v>
      </c>
      <c r="CF15" t="s">
        <v>160</v>
      </c>
      <c r="CG15" t="s">
        <v>161</v>
      </c>
      <c r="CH15" t="s">
        <v>162</v>
      </c>
      <c r="CI15" t="s">
        <v>163</v>
      </c>
      <c r="CJ15" t="s">
        <v>164</v>
      </c>
      <c r="CK15" t="s">
        <v>165</v>
      </c>
      <c r="CL15" t="s">
        <v>166</v>
      </c>
      <c r="CM15" t="s">
        <v>167</v>
      </c>
      <c r="CN15" t="s">
        <v>168</v>
      </c>
      <c r="CO15" t="s">
        <v>169</v>
      </c>
      <c r="CP15" t="s">
        <v>170</v>
      </c>
      <c r="CQ15" t="s">
        <v>171</v>
      </c>
      <c r="CR15" t="s">
        <v>172</v>
      </c>
      <c r="CS15" t="s">
        <v>173</v>
      </c>
      <c r="CT15" t="s">
        <v>153</v>
      </c>
      <c r="CU15" t="s">
        <v>174</v>
      </c>
      <c r="CV15" t="s">
        <v>175</v>
      </c>
      <c r="CW15" t="s">
        <v>176</v>
      </c>
      <c r="CX15" t="s">
        <v>127</v>
      </c>
      <c r="CY15" t="s">
        <v>177</v>
      </c>
      <c r="CZ15" t="s">
        <v>178</v>
      </c>
      <c r="DA15" t="s">
        <v>179</v>
      </c>
      <c r="DB15" t="s">
        <v>180</v>
      </c>
      <c r="DC15" t="s">
        <v>181</v>
      </c>
      <c r="DD15" t="s">
        <v>182</v>
      </c>
      <c r="DE15" t="s">
        <v>183</v>
      </c>
      <c r="DF15" t="s">
        <v>184</v>
      </c>
      <c r="DG15" t="s">
        <v>185</v>
      </c>
      <c r="DH15" t="s">
        <v>186</v>
      </c>
      <c r="DI15" t="s">
        <v>187</v>
      </c>
      <c r="DJ15" t="s">
        <v>188</v>
      </c>
      <c r="DK15" t="s">
        <v>189</v>
      </c>
      <c r="DL15" t="s">
        <v>190</v>
      </c>
      <c r="DM15" t="s">
        <v>191</v>
      </c>
      <c r="DN15" t="s">
        <v>192</v>
      </c>
      <c r="DO15" t="s">
        <v>193</v>
      </c>
      <c r="DP15" t="s">
        <v>85</v>
      </c>
      <c r="DQ15" t="s">
        <v>194</v>
      </c>
      <c r="DR15" t="s">
        <v>195</v>
      </c>
      <c r="DS15" t="s">
        <v>196</v>
      </c>
      <c r="DT15" t="s">
        <v>197</v>
      </c>
      <c r="DU15" t="s">
        <v>198</v>
      </c>
      <c r="DV15" t="s">
        <v>199</v>
      </c>
      <c r="DW15" t="s">
        <v>200</v>
      </c>
      <c r="DX15" t="s">
        <v>201</v>
      </c>
      <c r="DY15" t="s">
        <v>202</v>
      </c>
      <c r="DZ15" t="s">
        <v>203</v>
      </c>
      <c r="EA15" t="s">
        <v>204</v>
      </c>
      <c r="EB15" t="s">
        <v>205</v>
      </c>
      <c r="EC15" t="s">
        <v>206</v>
      </c>
      <c r="ED15" t="s">
        <v>207</v>
      </c>
      <c r="EE15" t="s">
        <v>208</v>
      </c>
      <c r="EF15" t="s">
        <v>209</v>
      </c>
      <c r="EG15" t="s">
        <v>210</v>
      </c>
      <c r="EH15" t="s">
        <v>211</v>
      </c>
      <c r="EI15" t="s">
        <v>212</v>
      </c>
      <c r="EJ15" t="s">
        <v>213</v>
      </c>
      <c r="EK15" t="s">
        <v>214</v>
      </c>
      <c r="EL15" t="s">
        <v>215</v>
      </c>
      <c r="EM15" t="s">
        <v>216</v>
      </c>
      <c r="EN15" t="s">
        <v>217</v>
      </c>
      <c r="EO15" t="s">
        <v>218</v>
      </c>
      <c r="EP15" t="s">
        <v>219</v>
      </c>
      <c r="EQ15" t="s">
        <v>220</v>
      </c>
      <c r="ER15" t="s">
        <v>221</v>
      </c>
      <c r="ES15" t="s">
        <v>222</v>
      </c>
      <c r="ET15" t="s">
        <v>223</v>
      </c>
      <c r="EU15" t="s">
        <v>224</v>
      </c>
      <c r="EV15" t="s">
        <v>225</v>
      </c>
      <c r="EW15" t="s">
        <v>226</v>
      </c>
      <c r="EX15" t="s">
        <v>227</v>
      </c>
      <c r="EY15" t="s">
        <v>228</v>
      </c>
      <c r="EZ15" t="s">
        <v>229</v>
      </c>
      <c r="FA15" t="s">
        <v>230</v>
      </c>
      <c r="FB15" t="s">
        <v>231</v>
      </c>
      <c r="FC15" t="s">
        <v>232</v>
      </c>
      <c r="FD15" t="s">
        <v>233</v>
      </c>
      <c r="FE15" t="s">
        <v>234</v>
      </c>
      <c r="FF15" t="s">
        <v>235</v>
      </c>
      <c r="FG15" t="s">
        <v>236</v>
      </c>
      <c r="FH15" t="s">
        <v>237</v>
      </c>
      <c r="FI15" t="s">
        <v>238</v>
      </c>
      <c r="FJ15" t="s">
        <v>239</v>
      </c>
      <c r="FK15" t="s">
        <v>240</v>
      </c>
      <c r="FL15" t="s">
        <v>241</v>
      </c>
      <c r="FM15" t="s">
        <v>242</v>
      </c>
      <c r="FN15" t="s">
        <v>243</v>
      </c>
      <c r="FO15" t="s">
        <v>79</v>
      </c>
      <c r="FP15" t="s">
        <v>82</v>
      </c>
      <c r="FQ15" t="s">
        <v>244</v>
      </c>
      <c r="FR15" t="s">
        <v>245</v>
      </c>
      <c r="FS15" t="s">
        <v>246</v>
      </c>
      <c r="FT15" t="s">
        <v>247</v>
      </c>
      <c r="FU15" t="s">
        <v>248</v>
      </c>
      <c r="FV15" t="s">
        <v>249</v>
      </c>
      <c r="FW15" t="s">
        <v>250</v>
      </c>
      <c r="FX15" t="s">
        <v>251</v>
      </c>
      <c r="FY15" t="s">
        <v>252</v>
      </c>
      <c r="FZ15" t="s">
        <v>253</v>
      </c>
      <c r="GA15" t="s">
        <v>254</v>
      </c>
      <c r="GB15" t="s">
        <v>255</v>
      </c>
      <c r="GC15" t="s">
        <v>256</v>
      </c>
      <c r="GD15" t="s">
        <v>257</v>
      </c>
      <c r="GE15" t="s">
        <v>258</v>
      </c>
      <c r="GF15" t="s">
        <v>259</v>
      </c>
      <c r="GG15" t="s">
        <v>260</v>
      </c>
      <c r="GH15" t="s">
        <v>261</v>
      </c>
      <c r="GI15" t="s">
        <v>262</v>
      </c>
      <c r="GJ15" t="s">
        <v>263</v>
      </c>
      <c r="GK15" t="s">
        <v>264</v>
      </c>
      <c r="GL15" t="s">
        <v>265</v>
      </c>
      <c r="GM15" t="s">
        <v>266</v>
      </c>
      <c r="GN15" t="s">
        <v>267</v>
      </c>
      <c r="GO15" t="s">
        <v>268</v>
      </c>
      <c r="GP15" t="s">
        <v>269</v>
      </c>
      <c r="GQ15" t="s">
        <v>270</v>
      </c>
      <c r="GR15" t="s">
        <v>271</v>
      </c>
      <c r="GS15" t="s">
        <v>272</v>
      </c>
      <c r="GT15" t="s">
        <v>273</v>
      </c>
      <c r="GU15" t="s">
        <v>274</v>
      </c>
      <c r="GV15" t="s">
        <v>275</v>
      </c>
      <c r="GW15" t="s">
        <v>276</v>
      </c>
      <c r="GX15" t="s">
        <v>277</v>
      </c>
      <c r="GY15" t="s">
        <v>278</v>
      </c>
      <c r="GZ15" t="s">
        <v>279</v>
      </c>
      <c r="HA15" t="s">
        <v>280</v>
      </c>
      <c r="HB15" t="s">
        <v>281</v>
      </c>
      <c r="HC15" t="s">
        <v>282</v>
      </c>
      <c r="HD15" t="s">
        <v>283</v>
      </c>
      <c r="HE15" t="s">
        <v>284</v>
      </c>
      <c r="HF15" t="s">
        <v>285</v>
      </c>
      <c r="HG15" t="s">
        <v>286</v>
      </c>
      <c r="HH15" t="s">
        <v>287</v>
      </c>
      <c r="HI15" t="s">
        <v>288</v>
      </c>
      <c r="HJ15" t="s">
        <v>289</v>
      </c>
      <c r="HK15" t="s">
        <v>290</v>
      </c>
      <c r="HL15" t="s">
        <v>291</v>
      </c>
      <c r="HM15" t="s">
        <v>292</v>
      </c>
      <c r="HN15" t="s">
        <v>293</v>
      </c>
      <c r="HO15" t="s">
        <v>294</v>
      </c>
      <c r="HP15" t="s">
        <v>295</v>
      </c>
      <c r="HQ15" t="s">
        <v>296</v>
      </c>
      <c r="HR15" t="s">
        <v>297</v>
      </c>
      <c r="HS15" t="s">
        <v>298</v>
      </c>
      <c r="HT15" t="s">
        <v>299</v>
      </c>
      <c r="HU15" t="s">
        <v>300</v>
      </c>
      <c r="HV15" t="s">
        <v>301</v>
      </c>
      <c r="HW15" t="s">
        <v>302</v>
      </c>
      <c r="HX15" t="s">
        <v>303</v>
      </c>
      <c r="HY15" t="s">
        <v>304</v>
      </c>
      <c r="HZ15" t="s">
        <v>305</v>
      </c>
      <c r="IA15" t="s">
        <v>306</v>
      </c>
      <c r="IB15" t="s">
        <v>307</v>
      </c>
      <c r="IC15" t="s">
        <v>308</v>
      </c>
      <c r="ID15" t="s">
        <v>309</v>
      </c>
      <c r="IE15" t="s">
        <v>310</v>
      </c>
      <c r="IF15" t="s">
        <v>311</v>
      </c>
      <c r="IG15" t="s">
        <v>312</v>
      </c>
      <c r="IH15" t="s">
        <v>313</v>
      </c>
      <c r="II15" t="s">
        <v>314</v>
      </c>
      <c r="IJ15" t="s">
        <v>315</v>
      </c>
      <c r="IK15" t="s">
        <v>316</v>
      </c>
      <c r="IL15" t="s">
        <v>317</v>
      </c>
      <c r="IM15" t="s">
        <v>318</v>
      </c>
      <c r="IN15" t="s">
        <v>319</v>
      </c>
      <c r="IO15" t="s">
        <v>320</v>
      </c>
      <c r="IP15" t="s">
        <v>321</v>
      </c>
      <c r="IQ15" t="s">
        <v>322</v>
      </c>
      <c r="IR15" t="s">
        <v>323</v>
      </c>
      <c r="IS15" t="s">
        <v>324</v>
      </c>
      <c r="IT15" t="s">
        <v>325</v>
      </c>
      <c r="IU15" t="s">
        <v>326</v>
      </c>
      <c r="IV15" t="s">
        <v>327</v>
      </c>
      <c r="IW15" t="s">
        <v>328</v>
      </c>
      <c r="IX15" t="s">
        <v>329</v>
      </c>
      <c r="IY15" t="s">
        <v>330</v>
      </c>
      <c r="IZ15" t="s">
        <v>331</v>
      </c>
      <c r="JA15" t="s">
        <v>332</v>
      </c>
      <c r="JB15" t="s">
        <v>333</v>
      </c>
      <c r="JC15" t="s">
        <v>334</v>
      </c>
      <c r="JD15" t="s">
        <v>335</v>
      </c>
      <c r="JE15" t="s">
        <v>336</v>
      </c>
      <c r="JF15" t="s">
        <v>337</v>
      </c>
      <c r="JG15" t="s">
        <v>338</v>
      </c>
      <c r="JH15" t="s">
        <v>339</v>
      </c>
      <c r="JI15" t="s">
        <v>340</v>
      </c>
      <c r="JJ15" t="s">
        <v>341</v>
      </c>
      <c r="JK15" t="s">
        <v>342</v>
      </c>
      <c r="JL15" t="s">
        <v>343</v>
      </c>
      <c r="JM15" t="s">
        <v>344</v>
      </c>
      <c r="JN15" t="s">
        <v>345</v>
      </c>
      <c r="JO15" t="s">
        <v>346</v>
      </c>
      <c r="JP15" t="s">
        <v>347</v>
      </c>
      <c r="JQ15" t="s">
        <v>348</v>
      </c>
      <c r="JR15" t="s">
        <v>349</v>
      </c>
      <c r="JS15" t="s">
        <v>350</v>
      </c>
      <c r="JT15" t="s">
        <v>351</v>
      </c>
      <c r="JU15" t="s">
        <v>352</v>
      </c>
      <c r="JV15" t="s">
        <v>353</v>
      </c>
      <c r="JW15" t="s">
        <v>354</v>
      </c>
      <c r="JX15" t="s">
        <v>355</v>
      </c>
      <c r="JY15" t="s">
        <v>356</v>
      </c>
      <c r="JZ15" t="s">
        <v>357</v>
      </c>
      <c r="KA15" t="s">
        <v>358</v>
      </c>
      <c r="KB15" t="s">
        <v>359</v>
      </c>
      <c r="KC15" t="s">
        <v>360</v>
      </c>
      <c r="KD15" t="s">
        <v>361</v>
      </c>
      <c r="KE15" t="s">
        <v>362</v>
      </c>
      <c r="KF15" t="s">
        <v>363</v>
      </c>
      <c r="KG15" t="s">
        <v>364</v>
      </c>
      <c r="KH15" t="s">
        <v>365</v>
      </c>
      <c r="KI15" t="s">
        <v>366</v>
      </c>
      <c r="KJ15" t="s">
        <v>367</v>
      </c>
    </row>
    <row r="16" spans="1:296" x14ac:dyDescent="0.3">
      <c r="B16" t="s">
        <v>368</v>
      </c>
      <c r="C16" t="s">
        <v>368</v>
      </c>
      <c r="F16" t="s">
        <v>368</v>
      </c>
      <c r="H16" t="s">
        <v>368</v>
      </c>
      <c r="I16" t="s">
        <v>369</v>
      </c>
      <c r="J16" t="s">
        <v>370</v>
      </c>
      <c r="K16" t="s">
        <v>371</v>
      </c>
      <c r="L16" t="s">
        <v>372</v>
      </c>
      <c r="M16" t="s">
        <v>372</v>
      </c>
      <c r="N16" t="s">
        <v>201</v>
      </c>
      <c r="O16" t="s">
        <v>201</v>
      </c>
      <c r="P16" t="s">
        <v>369</v>
      </c>
      <c r="Q16" t="s">
        <v>369</v>
      </c>
      <c r="R16" t="s">
        <v>369</v>
      </c>
      <c r="S16" t="s">
        <v>369</v>
      </c>
      <c r="T16" t="s">
        <v>373</v>
      </c>
      <c r="U16" t="s">
        <v>374</v>
      </c>
      <c r="V16" t="s">
        <v>374</v>
      </c>
      <c r="W16" t="s">
        <v>375</v>
      </c>
      <c r="X16" t="s">
        <v>376</v>
      </c>
      <c r="Y16" t="s">
        <v>375</v>
      </c>
      <c r="Z16" t="s">
        <v>375</v>
      </c>
      <c r="AA16" t="s">
        <v>375</v>
      </c>
      <c r="AB16" t="s">
        <v>373</v>
      </c>
      <c r="AC16" t="s">
        <v>373</v>
      </c>
      <c r="AD16" t="s">
        <v>373</v>
      </c>
      <c r="AE16" t="s">
        <v>373</v>
      </c>
      <c r="AF16" t="s">
        <v>371</v>
      </c>
      <c r="AG16" t="s">
        <v>370</v>
      </c>
      <c r="AH16" t="s">
        <v>371</v>
      </c>
      <c r="AI16" t="s">
        <v>372</v>
      </c>
      <c r="AJ16" t="s">
        <v>372</v>
      </c>
      <c r="AK16" t="s">
        <v>377</v>
      </c>
      <c r="AL16" t="s">
        <v>378</v>
      </c>
      <c r="AM16" t="s">
        <v>370</v>
      </c>
      <c r="AN16" t="s">
        <v>379</v>
      </c>
      <c r="AO16" t="s">
        <v>379</v>
      </c>
      <c r="AP16" t="s">
        <v>380</v>
      </c>
      <c r="AQ16" t="s">
        <v>378</v>
      </c>
      <c r="AR16" t="s">
        <v>381</v>
      </c>
      <c r="AS16" t="s">
        <v>376</v>
      </c>
      <c r="AU16" t="s">
        <v>376</v>
      </c>
      <c r="AV16" t="s">
        <v>381</v>
      </c>
      <c r="BB16" t="s">
        <v>371</v>
      </c>
      <c r="BI16" t="s">
        <v>371</v>
      </c>
      <c r="BJ16" t="s">
        <v>371</v>
      </c>
      <c r="BK16" t="s">
        <v>371</v>
      </c>
      <c r="BL16" t="s">
        <v>382</v>
      </c>
      <c r="BZ16" t="s">
        <v>383</v>
      </c>
      <c r="CB16" t="s">
        <v>383</v>
      </c>
      <c r="CC16" t="s">
        <v>371</v>
      </c>
      <c r="CF16" t="s">
        <v>383</v>
      </c>
      <c r="CG16" t="s">
        <v>376</v>
      </c>
      <c r="CJ16" t="s">
        <v>384</v>
      </c>
      <c r="CK16" t="s">
        <v>384</v>
      </c>
      <c r="CM16" t="s">
        <v>385</v>
      </c>
      <c r="CN16" t="s">
        <v>383</v>
      </c>
      <c r="CP16" t="s">
        <v>383</v>
      </c>
      <c r="CQ16" t="s">
        <v>371</v>
      </c>
      <c r="CU16" t="s">
        <v>383</v>
      </c>
      <c r="CW16" t="s">
        <v>386</v>
      </c>
      <c r="CZ16" t="s">
        <v>383</v>
      </c>
      <c r="DA16" t="s">
        <v>383</v>
      </c>
      <c r="DC16" t="s">
        <v>383</v>
      </c>
      <c r="DE16" t="s">
        <v>383</v>
      </c>
      <c r="DG16" t="s">
        <v>371</v>
      </c>
      <c r="DH16" t="s">
        <v>371</v>
      </c>
      <c r="DJ16" t="s">
        <v>387</v>
      </c>
      <c r="DK16" t="s">
        <v>388</v>
      </c>
      <c r="DN16" t="s">
        <v>369</v>
      </c>
      <c r="DP16" t="s">
        <v>368</v>
      </c>
      <c r="DQ16" t="s">
        <v>372</v>
      </c>
      <c r="DR16" t="s">
        <v>372</v>
      </c>
      <c r="DS16" t="s">
        <v>379</v>
      </c>
      <c r="DT16" t="s">
        <v>379</v>
      </c>
      <c r="DU16" t="s">
        <v>372</v>
      </c>
      <c r="DV16" t="s">
        <v>379</v>
      </c>
      <c r="DW16" t="s">
        <v>381</v>
      </c>
      <c r="DX16" t="s">
        <v>375</v>
      </c>
      <c r="DY16" t="s">
        <v>375</v>
      </c>
      <c r="DZ16" t="s">
        <v>374</v>
      </c>
      <c r="EA16" t="s">
        <v>374</v>
      </c>
      <c r="EB16" t="s">
        <v>374</v>
      </c>
      <c r="EC16" t="s">
        <v>374</v>
      </c>
      <c r="ED16" t="s">
        <v>374</v>
      </c>
      <c r="EE16" t="s">
        <v>389</v>
      </c>
      <c r="EF16" t="s">
        <v>371</v>
      </c>
      <c r="EG16" t="s">
        <v>371</v>
      </c>
      <c r="EH16" t="s">
        <v>372</v>
      </c>
      <c r="EI16" t="s">
        <v>372</v>
      </c>
      <c r="EJ16" t="s">
        <v>372</v>
      </c>
      <c r="EK16" t="s">
        <v>379</v>
      </c>
      <c r="EL16" t="s">
        <v>372</v>
      </c>
      <c r="EM16" t="s">
        <v>379</v>
      </c>
      <c r="EN16" t="s">
        <v>375</v>
      </c>
      <c r="EO16" t="s">
        <v>375</v>
      </c>
      <c r="EP16" t="s">
        <v>374</v>
      </c>
      <c r="EQ16" t="s">
        <v>374</v>
      </c>
      <c r="ER16" t="s">
        <v>371</v>
      </c>
      <c r="EW16" t="s">
        <v>371</v>
      </c>
      <c r="EZ16" t="s">
        <v>374</v>
      </c>
      <c r="FA16" t="s">
        <v>374</v>
      </c>
      <c r="FB16" t="s">
        <v>374</v>
      </c>
      <c r="FC16" t="s">
        <v>374</v>
      </c>
      <c r="FD16" t="s">
        <v>374</v>
      </c>
      <c r="FE16" t="s">
        <v>371</v>
      </c>
      <c r="FF16" t="s">
        <v>371</v>
      </c>
      <c r="FG16" t="s">
        <v>371</v>
      </c>
      <c r="FH16" t="s">
        <v>368</v>
      </c>
      <c r="FK16" t="s">
        <v>390</v>
      </c>
      <c r="FL16" t="s">
        <v>390</v>
      </c>
      <c r="FN16" t="s">
        <v>368</v>
      </c>
      <c r="FO16" t="s">
        <v>391</v>
      </c>
      <c r="FQ16" t="s">
        <v>368</v>
      </c>
      <c r="FR16" t="s">
        <v>368</v>
      </c>
      <c r="FT16" t="s">
        <v>392</v>
      </c>
      <c r="FU16" t="s">
        <v>393</v>
      </c>
      <c r="FV16" t="s">
        <v>392</v>
      </c>
      <c r="FW16" t="s">
        <v>393</v>
      </c>
      <c r="FX16" t="s">
        <v>392</v>
      </c>
      <c r="FY16" t="s">
        <v>393</v>
      </c>
      <c r="FZ16" t="s">
        <v>376</v>
      </c>
      <c r="GA16" t="s">
        <v>376</v>
      </c>
      <c r="GB16" t="s">
        <v>372</v>
      </c>
      <c r="GC16" t="s">
        <v>394</v>
      </c>
      <c r="GD16" t="s">
        <v>372</v>
      </c>
      <c r="GG16" t="s">
        <v>395</v>
      </c>
      <c r="GJ16" t="s">
        <v>379</v>
      </c>
      <c r="GK16" t="s">
        <v>396</v>
      </c>
      <c r="GL16" t="s">
        <v>379</v>
      </c>
      <c r="GQ16" t="s">
        <v>397</v>
      </c>
      <c r="GR16" t="s">
        <v>397</v>
      </c>
      <c r="HE16" t="s">
        <v>397</v>
      </c>
      <c r="HF16" t="s">
        <v>397</v>
      </c>
      <c r="HG16" t="s">
        <v>398</v>
      </c>
      <c r="HH16" t="s">
        <v>398</v>
      </c>
      <c r="HI16" t="s">
        <v>374</v>
      </c>
      <c r="HJ16" t="s">
        <v>374</v>
      </c>
      <c r="HK16" t="s">
        <v>376</v>
      </c>
      <c r="HL16" t="s">
        <v>374</v>
      </c>
      <c r="HM16" t="s">
        <v>379</v>
      </c>
      <c r="HN16" t="s">
        <v>376</v>
      </c>
      <c r="HO16" t="s">
        <v>376</v>
      </c>
      <c r="HQ16" t="s">
        <v>397</v>
      </c>
      <c r="HR16" t="s">
        <v>397</v>
      </c>
      <c r="HS16" t="s">
        <v>397</v>
      </c>
      <c r="HT16" t="s">
        <v>397</v>
      </c>
      <c r="HU16" t="s">
        <v>397</v>
      </c>
      <c r="HV16" t="s">
        <v>397</v>
      </c>
      <c r="HW16" t="s">
        <v>397</v>
      </c>
      <c r="HX16" t="s">
        <v>399</v>
      </c>
      <c r="HY16" t="s">
        <v>399</v>
      </c>
      <c r="HZ16" t="s">
        <v>399</v>
      </c>
      <c r="IA16" t="s">
        <v>400</v>
      </c>
      <c r="IB16" t="s">
        <v>397</v>
      </c>
      <c r="IC16" t="s">
        <v>397</v>
      </c>
      <c r="ID16" t="s">
        <v>397</v>
      </c>
      <c r="IE16" t="s">
        <v>397</v>
      </c>
      <c r="IF16" t="s">
        <v>397</v>
      </c>
      <c r="IG16" t="s">
        <v>397</v>
      </c>
      <c r="IH16" t="s">
        <v>397</v>
      </c>
      <c r="II16" t="s">
        <v>397</v>
      </c>
      <c r="IJ16" t="s">
        <v>397</v>
      </c>
      <c r="IK16" t="s">
        <v>397</v>
      </c>
      <c r="IL16" t="s">
        <v>397</v>
      </c>
      <c r="IM16" t="s">
        <v>397</v>
      </c>
      <c r="IT16" t="s">
        <v>397</v>
      </c>
      <c r="IU16" t="s">
        <v>376</v>
      </c>
      <c r="IV16" t="s">
        <v>376</v>
      </c>
      <c r="IW16" t="s">
        <v>392</v>
      </c>
      <c r="IX16" t="s">
        <v>393</v>
      </c>
      <c r="IY16" t="s">
        <v>392</v>
      </c>
      <c r="JC16" t="s">
        <v>393</v>
      </c>
      <c r="JG16" t="s">
        <v>372</v>
      </c>
      <c r="JH16" t="s">
        <v>372</v>
      </c>
      <c r="JI16" t="s">
        <v>379</v>
      </c>
      <c r="JJ16" t="s">
        <v>379</v>
      </c>
      <c r="JK16" t="s">
        <v>401</v>
      </c>
      <c r="JL16" t="s">
        <v>401</v>
      </c>
      <c r="JM16" t="s">
        <v>397</v>
      </c>
      <c r="JN16" t="s">
        <v>397</v>
      </c>
      <c r="JO16" t="s">
        <v>397</v>
      </c>
      <c r="JP16" t="s">
        <v>397</v>
      </c>
      <c r="JQ16" t="s">
        <v>397</v>
      </c>
      <c r="JR16" t="s">
        <v>397</v>
      </c>
      <c r="JS16" t="s">
        <v>374</v>
      </c>
      <c r="JT16" t="s">
        <v>397</v>
      </c>
      <c r="JV16" t="s">
        <v>381</v>
      </c>
      <c r="JW16" t="s">
        <v>381</v>
      </c>
      <c r="JX16" t="s">
        <v>374</v>
      </c>
      <c r="JY16" t="s">
        <v>374</v>
      </c>
      <c r="JZ16" t="s">
        <v>374</v>
      </c>
      <c r="KA16" t="s">
        <v>374</v>
      </c>
      <c r="KB16" t="s">
        <v>374</v>
      </c>
      <c r="KC16" t="s">
        <v>376</v>
      </c>
      <c r="KD16" t="s">
        <v>376</v>
      </c>
      <c r="KE16" t="s">
        <v>376</v>
      </c>
      <c r="KF16" t="s">
        <v>374</v>
      </c>
      <c r="KG16" t="s">
        <v>372</v>
      </c>
      <c r="KH16" t="s">
        <v>379</v>
      </c>
      <c r="KI16" t="s">
        <v>376</v>
      </c>
      <c r="KJ16" t="s">
        <v>376</v>
      </c>
    </row>
    <row r="17" spans="1:296" x14ac:dyDescent="0.3">
      <c r="A17">
        <v>1</v>
      </c>
      <c r="B17">
        <v>1785165750.5</v>
      </c>
      <c r="C17">
        <v>0</v>
      </c>
      <c r="D17" t="s">
        <v>571</v>
      </c>
      <c r="E17" t="s">
        <v>572</v>
      </c>
      <c r="F17">
        <v>15</v>
      </c>
      <c r="H17">
        <v>1785165742.75</v>
      </c>
      <c r="I17">
        <f t="shared" ref="I17:I29" si="0">(J17)/1000</f>
        <v>3.5898162287472763E-3</v>
      </c>
      <c r="J17">
        <f t="shared" ref="J17:J29" si="1">IF(DO17, AM17, AG17)</f>
        <v>3.5898162287472761</v>
      </c>
      <c r="K17">
        <f t="shared" ref="K17:K29" si="2">IF(DO17, AH17, AF17)</f>
        <v>35.894129197572909</v>
      </c>
      <c r="L17">
        <f t="shared" ref="L17:L29" si="3">DQ17 - IF(AT17&gt;1, K17*DK17*100/(AV17), 0)</f>
        <v>382.80509999999992</v>
      </c>
      <c r="M17">
        <f t="shared" ref="M17:M29" si="4">((S17-I17/2)*L17-K17)/(S17+I17/2)</f>
        <v>125.70756730614877</v>
      </c>
      <c r="N17">
        <f t="shared" ref="N17:N29" si="5">M17*(DX17+DY17)/1000</f>
        <v>12.225172108028199</v>
      </c>
      <c r="O17">
        <f t="shared" ref="O17:O29" si="6">(DQ17 - IF(AT17&gt;1, K17*DK17*100/(AV17), 0))*(DX17+DY17)/1000</f>
        <v>37.228134563558903</v>
      </c>
      <c r="P17">
        <f t="shared" ref="P17:P29" si="7">2/((1/R17-1/Q17)+SIGN(R17)*SQRT((1/R17-1/Q17)*(1/R17-1/Q17) + 4*DL17/((DL17+1)*(DL17+1))*(2*1/R17*1/Q17-1/Q17*1/Q17)))</f>
        <v>0.23803844465708646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2.880315098445708</v>
      </c>
      <c r="R17">
        <f t="shared" ref="R17:R29" si="9">I17*(1000-(1000*0.61365*EXP(17.502*V17/(240.97+V17))/(DX17+DY17)+DS17)/2)/(1000*0.61365*EXP(17.502*V17/(240.97+V17))/(DX17+DY17)-DS17)</f>
        <v>0.22762457008163575</v>
      </c>
      <c r="S17">
        <f t="shared" ref="S17:S29" si="10">1/((DL17+1)/(P17/1.6)+1/(Q17/1.37)) + DL17/((DL17+1)/(P17/1.6) + DL17/(Q17/1.37))</f>
        <v>0.14316303359554872</v>
      </c>
      <c r="T17">
        <f t="shared" ref="T17:T29" si="11">(DG17*DJ17)</f>
        <v>319.77514089147269</v>
      </c>
      <c r="U17">
        <f t="shared" ref="U17:U29" si="12">(DZ17+(T17+2*0.95*0.0000000567*(((DZ17+$B$7)+273)^4-(DZ17+273)^4)-44100*I17)/(1.84*29.3*Q17+8*0.95*0.0000000567*(DZ17+273)^3))</f>
        <v>28.66786095881919</v>
      </c>
      <c r="V17">
        <f t="shared" ref="V17:V29" si="13">($C$7*EA17+$D$7*EB17+$E$7*U17)</f>
        <v>28.003383333333328</v>
      </c>
      <c r="W17">
        <f t="shared" ref="W17:W29" si="14">0.61365*EXP(17.502*V17/(240.97+V17))</f>
        <v>3.7955882256430176</v>
      </c>
      <c r="X17">
        <f t="shared" ref="X17:X29" si="15">(Y17/Z17*100)</f>
        <v>61.943948307521921</v>
      </c>
      <c r="Y17">
        <f t="shared" ref="Y17:Y29" si="16">DS17*(DX17+DY17)/1000</f>
        <v>2.3100112811370552</v>
      </c>
      <c r="Z17">
        <f t="shared" ref="Z17:Z29" si="17">0.61365*EXP(17.502*DZ17/(240.97+DZ17))</f>
        <v>3.7291960623319644</v>
      </c>
      <c r="AA17">
        <f t="shared" ref="AA17:AA29" si="18">(W17-DS17*(DX17+DY17)/1000)</f>
        <v>1.4855769445059623</v>
      </c>
      <c r="AB17">
        <f t="shared" ref="AB17:AB29" si="19">(-I17*44100)</f>
        <v>-158.31089568775488</v>
      </c>
      <c r="AC17">
        <f t="shared" ref="AC17:AC29" si="20">2*29.3*Q17*0.92*(DZ17-V17)</f>
        <v>-46.953603895828167</v>
      </c>
      <c r="AD17">
        <f t="shared" ref="AD17:AD29" si="21">2*0.95*0.0000000567*(((DZ17+$B$7)+273)^4-(V17+273)^4)</f>
        <v>-3.5481323311689326</v>
      </c>
      <c r="AE17">
        <f t="shared" ref="AE17:AE29" si="22">T17+AD17+AB17+AC17</f>
        <v>110.96250897672073</v>
      </c>
      <c r="AF17">
        <f t="shared" ref="AF17:AF29" si="23">DW17*AT17*(DR17-DQ17*(1000-AT17*DT17)/(1000-AT17*DS17))/(100*DK17)</f>
        <v>35.894129197572909</v>
      </c>
      <c r="AG17">
        <f t="shared" ref="AG17:AG29" si="24">1000*DW17*AT17*(DS17-DT17)/(100*DK17*(1000-AT17*DS17))</f>
        <v>3.5898162287472761</v>
      </c>
      <c r="AH17">
        <f t="shared" ref="AH17:AH29" si="25">(AI17 - AJ17 - DX17*1000/(8.314*(DZ17+273.15)) * AL17/DW17 * AK17) * DW17/(100*DK17) * (1000 - DT17)/1000</f>
        <v>36.152483327462924</v>
      </c>
      <c r="AI17">
        <v>428.7148682022754</v>
      </c>
      <c r="AJ17">
        <v>391.96432121212092</v>
      </c>
      <c r="AK17">
        <v>-3.4492371864589318E-2</v>
      </c>
      <c r="AL17">
        <v>67.044447069360118</v>
      </c>
      <c r="AM17">
        <f t="shared" ref="AM17:AM29" si="26">(AO17 - AN17 + DX17*1000/(8.314*(DZ17+273.15)) * AQ17/DW17 * AP17) * DW17/(100*DK17) * 1000/(1000 - AO17)</f>
        <v>3.5487828865642408</v>
      </c>
      <c r="AN17">
        <v>20.077310072165329</v>
      </c>
      <c r="AO17">
        <v>23.65270545454544</v>
      </c>
      <c r="AP17">
        <v>-2.1780614945291699E-2</v>
      </c>
      <c r="AQ17">
        <v>78.329911617312504</v>
      </c>
      <c r="AR17">
        <v>32</v>
      </c>
      <c r="AS17">
        <v>5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51286.555576116531</v>
      </c>
      <c r="AW17" t="s">
        <v>569</v>
      </c>
      <c r="AX17">
        <v>13243.6</v>
      </c>
      <c r="AY17">
        <v>558.82352941176475</v>
      </c>
      <c r="AZ17">
        <v>2344.84</v>
      </c>
      <c r="BA17">
        <f t="shared" ref="BA17:BA29" si="30">1-AY17/AZ17</f>
        <v>0.7616794623890053</v>
      </c>
      <c r="BB17">
        <v>-4.0588593423444159</v>
      </c>
      <c r="BC17" t="s">
        <v>573</v>
      </c>
      <c r="BD17">
        <v>13189.4</v>
      </c>
      <c r="BE17">
        <v>781.155705882353</v>
      </c>
      <c r="BF17">
        <v>971.83</v>
      </c>
      <c r="BG17">
        <f t="shared" ref="BG17:BG29" si="31">1-BE17/BF17</f>
        <v>0.19620128429627304</v>
      </c>
      <c r="BH17">
        <v>0.5</v>
      </c>
      <c r="BI17">
        <f t="shared" ref="BI17:BI29" si="32">DH17</f>
        <v>1680.2906798401409</v>
      </c>
      <c r="BJ17">
        <f t="shared" ref="BJ17:BJ29" si="33">K17</f>
        <v>35.894129197572909</v>
      </c>
      <c r="BK17">
        <f t="shared" ref="BK17:BK29" si="34">BG17*BH17*BI17</f>
        <v>164.83759468784669</v>
      </c>
      <c r="BL17">
        <f t="shared" ref="BL17:BL29" si="35">(BJ17-BB17)/BI17</f>
        <v>2.3777426738877328E-2</v>
      </c>
      <c r="BM17">
        <f t="shared" ref="BM17:BM29" si="36">(AZ17-BF17)/BF17</f>
        <v>1.4128088245886627</v>
      </c>
      <c r="BN17">
        <f t="shared" ref="BN17:BN29" si="37">AY17/(BA17+AY17/BF17)</f>
        <v>418.06161549033175</v>
      </c>
      <c r="BO17" t="s">
        <v>402</v>
      </c>
      <c r="BP17">
        <v>0</v>
      </c>
      <c r="BQ17">
        <f t="shared" ref="BQ17:BQ29" si="38">IF(BP17&lt;&gt;0, BP17, BN17)</f>
        <v>418.06161549033175</v>
      </c>
      <c r="BR17">
        <f t="shared" ref="BR17:BR29" si="39">1-BQ17/BF17</f>
        <v>0.56982022011017186</v>
      </c>
      <c r="BS17">
        <f t="shared" ref="BS17:BS29" si="40">(BF17-BE17)/(BF17-BQ17)</f>
        <v>0.34432137957185605</v>
      </c>
      <c r="BT17">
        <f t="shared" ref="BT17:BT29" si="41">(AZ17-BF17)/(AZ17-BQ17)</f>
        <v>0.71259362832711426</v>
      </c>
      <c r="BU17">
        <f t="shared" ref="BU17:BU29" si="42">(BF17-BE17)/(BF17-AY17)</f>
        <v>0.46167386638295077</v>
      </c>
      <c r="BV17">
        <f t="shared" ref="BV17:BV29" si="43">(AZ17-BF17)/(AZ17-AY17)</f>
        <v>0.7687555084796005</v>
      </c>
      <c r="BW17">
        <f t="shared" ref="BW17:BW29" si="44">(BS17*BQ17/BE17)</f>
        <v>0.18427510816050963</v>
      </c>
      <c r="BX17">
        <f t="shared" ref="BX17:BX29" si="45">(1-BW17)</f>
        <v>0.81572489183949037</v>
      </c>
      <c r="DG17">
        <f t="shared" ref="DG17:DG29" si="46">$B$11*EF17+$C$11*EG17+$F$11*ER17*(1-EU17)</f>
        <v>1999.990333333333</v>
      </c>
      <c r="DH17">
        <f t="shared" ref="DH17:DH29" si="47">DG17*DI17</f>
        <v>1680.2906798401409</v>
      </c>
      <c r="DI17">
        <f t="shared" ref="DI17:DI29" si="48">($B$11*$D$9+$C$11*$D$9+$F$11*((FE17+EW17)/MAX(FE17+EW17+FF17, 0.1)*$I$9+FF17/MAX(FE17+EW17+FF17, 0.1)*$J$9))/($B$11+$C$11+$F$11)</f>
        <v>0.84014940064217369</v>
      </c>
      <c r="DJ17">
        <f t="shared" ref="DJ17:DJ29" si="49">($B$11*$K$9+$C$11*$K$9+$F$11*((FE17+EW17)/MAX(FE17+EW17+FF17, 0.1)*$P$9+FF17/MAX(FE17+EW17+FF17, 0.1)*$Q$9))/($B$11+$C$11+$F$11)</f>
        <v>0.15988834323939535</v>
      </c>
      <c r="DK17">
        <v>6</v>
      </c>
      <c r="DL17">
        <v>0.5</v>
      </c>
      <c r="DM17" t="s">
        <v>403</v>
      </c>
      <c r="DN17">
        <v>2</v>
      </c>
      <c r="DO17" t="b">
        <v>0</v>
      </c>
      <c r="DP17">
        <v>1785165742.75</v>
      </c>
      <c r="DQ17">
        <v>382.80509999999992</v>
      </c>
      <c r="DR17">
        <v>420.07409999999999</v>
      </c>
      <c r="DS17">
        <v>23.753113333333332</v>
      </c>
      <c r="DT17">
        <v>20.248503333333328</v>
      </c>
      <c r="DU17">
        <v>396.46136666666672</v>
      </c>
      <c r="DV17">
        <v>25.26981666666666</v>
      </c>
      <c r="DW17">
        <v>599.98919999999998</v>
      </c>
      <c r="DX17">
        <v>97.190543333333324</v>
      </c>
      <c r="DY17">
        <v>6.0341159999999998E-2</v>
      </c>
      <c r="DZ17">
        <v>27.70101</v>
      </c>
      <c r="EA17">
        <v>28.003383333333328</v>
      </c>
      <c r="EB17">
        <v>999.9000000000002</v>
      </c>
      <c r="EC17">
        <v>0</v>
      </c>
      <c r="ED17">
        <v>0</v>
      </c>
      <c r="EE17">
        <v>10003</v>
      </c>
      <c r="EF17">
        <v>0</v>
      </c>
      <c r="EG17">
        <v>937.53726666666648</v>
      </c>
      <c r="EH17">
        <v>-37.268926666666658</v>
      </c>
      <c r="EI17">
        <v>392.1193333333332</v>
      </c>
      <c r="EJ17">
        <v>428.7557333333333</v>
      </c>
      <c r="EK17">
        <v>3.5046086666666669</v>
      </c>
      <c r="EL17">
        <v>420.07409999999999</v>
      </c>
      <c r="EM17">
        <v>20.248503333333328</v>
      </c>
      <c r="EN17">
        <v>2.3085779999999998</v>
      </c>
      <c r="EO17">
        <v>1.967964</v>
      </c>
      <c r="EP17">
        <v>19.736350000000002</v>
      </c>
      <c r="EQ17">
        <v>17.188646666666671</v>
      </c>
      <c r="ER17">
        <v>1999.990333333333</v>
      </c>
      <c r="ES17">
        <v>0.99500746666666628</v>
      </c>
      <c r="ET17">
        <v>4.9925599999999983E-3</v>
      </c>
      <c r="EU17">
        <v>0</v>
      </c>
      <c r="EV17">
        <v>781.40170000000001</v>
      </c>
      <c r="EW17">
        <v>5.0010700000000003</v>
      </c>
      <c r="EX17">
        <v>19935.793333333331</v>
      </c>
      <c r="EY17">
        <v>18241.603333333329</v>
      </c>
      <c r="EZ17">
        <v>44.366499999999988</v>
      </c>
      <c r="FA17">
        <v>45.481099999999998</v>
      </c>
      <c r="FB17">
        <v>44.851900000000001</v>
      </c>
      <c r="FC17">
        <v>45.668399999999977</v>
      </c>
      <c r="FD17">
        <v>45.28513333333332</v>
      </c>
      <c r="FE17">
        <v>1985.0303333333329</v>
      </c>
      <c r="FF17">
        <v>9.9599999999999991</v>
      </c>
      <c r="FG17">
        <v>0</v>
      </c>
      <c r="FH17">
        <v>1278.6000001430509</v>
      </c>
      <c r="FI17">
        <v>0</v>
      </c>
      <c r="FJ17">
        <v>781.155705882353</v>
      </c>
      <c r="FK17">
        <v>-3.109068610510668</v>
      </c>
      <c r="FL17">
        <v>-28.504901625616061</v>
      </c>
      <c r="FM17">
        <v>19933.870588235299</v>
      </c>
      <c r="FN17">
        <v>10</v>
      </c>
      <c r="FO17">
        <v>1785165639.5</v>
      </c>
      <c r="FP17" t="s">
        <v>574</v>
      </c>
      <c r="FQ17">
        <v>1785165638.5</v>
      </c>
      <c r="FR17">
        <v>1785165639.5</v>
      </c>
      <c r="FS17">
        <v>15</v>
      </c>
      <c r="FT17">
        <v>-0.29799999999999999</v>
      </c>
      <c r="FU17">
        <v>3.9E-2</v>
      </c>
      <c r="FV17">
        <v>-13.798999999999999</v>
      </c>
      <c r="FW17">
        <v>-1.6080000000000001</v>
      </c>
      <c r="FX17">
        <v>420</v>
      </c>
      <c r="FY17">
        <v>20</v>
      </c>
      <c r="FZ17">
        <v>0.32</v>
      </c>
      <c r="GA17">
        <v>0.08</v>
      </c>
      <c r="GB17">
        <v>382.81067741935482</v>
      </c>
      <c r="GC17">
        <v>-0.31229032258064909</v>
      </c>
      <c r="GD17">
        <v>6.2228707770281513E-2</v>
      </c>
      <c r="GE17">
        <v>-1</v>
      </c>
      <c r="GF17">
        <v>781.69764705882346</v>
      </c>
      <c r="GG17">
        <v>-5.1820626406362198</v>
      </c>
      <c r="GH17">
        <v>0.55965760973866452</v>
      </c>
      <c r="GI17">
        <v>1</v>
      </c>
      <c r="GJ17">
        <v>3.4704041463414632</v>
      </c>
      <c r="GK17">
        <v>0.67924850174215345</v>
      </c>
      <c r="GL17">
        <v>8.3230480989446895E-2</v>
      </c>
      <c r="GM17">
        <v>0</v>
      </c>
      <c r="GN17">
        <v>1</v>
      </c>
      <c r="GO17">
        <v>2</v>
      </c>
      <c r="GP17" t="s">
        <v>409</v>
      </c>
      <c r="GQ17">
        <v>3.24464</v>
      </c>
      <c r="GR17">
        <v>2.7372299999999998</v>
      </c>
      <c r="GS17">
        <v>8.5100700000000001E-2</v>
      </c>
      <c r="GT17">
        <v>8.9746000000000006E-2</v>
      </c>
      <c r="GU17">
        <v>0.113829</v>
      </c>
      <c r="GV17">
        <v>9.7272700000000004E-2</v>
      </c>
      <c r="GW17">
        <v>22737.3</v>
      </c>
      <c r="GX17">
        <v>30136.9</v>
      </c>
      <c r="GY17">
        <v>26979.4</v>
      </c>
      <c r="GZ17">
        <v>34076.400000000001</v>
      </c>
      <c r="HA17">
        <v>35050.199999999997</v>
      </c>
      <c r="HB17">
        <v>38444.9</v>
      </c>
      <c r="HC17">
        <v>39856.6</v>
      </c>
      <c r="HD17">
        <v>42659.199999999997</v>
      </c>
      <c r="HE17">
        <v>2.0274000000000001</v>
      </c>
      <c r="HF17">
        <v>1.4554</v>
      </c>
      <c r="HG17">
        <v>-0.10383100000000001</v>
      </c>
      <c r="HH17">
        <v>0</v>
      </c>
      <c r="HI17">
        <v>29.691600000000001</v>
      </c>
      <c r="HJ17">
        <v>999.9</v>
      </c>
      <c r="HK17">
        <v>64.400000000000006</v>
      </c>
      <c r="HL17">
        <v>39.6</v>
      </c>
      <c r="HM17">
        <v>48.0854</v>
      </c>
      <c r="HN17">
        <v>61.2181</v>
      </c>
      <c r="HO17">
        <v>10.8133</v>
      </c>
      <c r="HP17">
        <v>1</v>
      </c>
      <c r="HQ17">
        <v>0.96957300000000002</v>
      </c>
      <c r="HR17">
        <v>7.7916999999999996</v>
      </c>
      <c r="HS17">
        <v>20.060300000000002</v>
      </c>
      <c r="HT17">
        <v>5.2053099999999999</v>
      </c>
      <c r="HU17">
        <v>11.914099999999999</v>
      </c>
      <c r="HV17">
        <v>4.9836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1.8676200000000001</v>
      </c>
      <c r="IC17">
        <v>1.8632500000000001</v>
      </c>
      <c r="ID17">
        <v>1.8627899999999999</v>
      </c>
      <c r="IE17">
        <v>1.8623400000000001</v>
      </c>
      <c r="IF17">
        <v>1.8623400000000001</v>
      </c>
      <c r="IG17">
        <v>1.8628199999999999</v>
      </c>
      <c r="IH17">
        <v>1.86374</v>
      </c>
      <c r="II17">
        <v>1.86172</v>
      </c>
      <c r="IJ17">
        <v>0</v>
      </c>
      <c r="IK17">
        <v>0</v>
      </c>
      <c r="IL17">
        <v>0</v>
      </c>
      <c r="IM17">
        <v>4.5</v>
      </c>
      <c r="IN17" t="s">
        <v>405</v>
      </c>
      <c r="IO17" t="s">
        <v>406</v>
      </c>
      <c r="IP17" t="s">
        <v>407</v>
      </c>
      <c r="IQ17" t="s">
        <v>408</v>
      </c>
      <c r="IR17" t="s">
        <v>408</v>
      </c>
      <c r="IS17" t="s">
        <v>407</v>
      </c>
      <c r="IT17">
        <v>0</v>
      </c>
      <c r="IU17">
        <v>100</v>
      </c>
      <c r="IV17">
        <v>100</v>
      </c>
      <c r="IW17">
        <v>-13.656000000000001</v>
      </c>
      <c r="IX17">
        <v>-1.5198</v>
      </c>
      <c r="IY17">
        <v>-11.78188337004107</v>
      </c>
      <c r="IZ17">
        <v>-5.6215304933332991E-3</v>
      </c>
      <c r="JA17">
        <v>2.3979931213773931E-6</v>
      </c>
      <c r="JB17">
        <v>-3.6297174575716598E-10</v>
      </c>
      <c r="JC17">
        <v>-1.9444061520439591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1.9</v>
      </c>
      <c r="JM17">
        <v>1.09375</v>
      </c>
      <c r="JN17">
        <v>2.5341800000000001</v>
      </c>
      <c r="JO17">
        <v>1.50024</v>
      </c>
      <c r="JP17">
        <v>2.2729499999999998</v>
      </c>
      <c r="JQ17">
        <v>1.4477500000000001</v>
      </c>
      <c r="JR17">
        <v>2.5061</v>
      </c>
      <c r="JS17">
        <v>44.893999999999998</v>
      </c>
      <c r="JT17">
        <v>23.7986</v>
      </c>
      <c r="JU17">
        <v>18</v>
      </c>
      <c r="JV17">
        <v>623.029</v>
      </c>
      <c r="JW17">
        <v>281.529</v>
      </c>
      <c r="JX17">
        <v>22.279900000000001</v>
      </c>
      <c r="JY17">
        <v>38.4621</v>
      </c>
      <c r="JZ17">
        <v>30.001999999999999</v>
      </c>
      <c r="KA17">
        <v>38.597200000000001</v>
      </c>
      <c r="KB17">
        <v>38.153599999999997</v>
      </c>
      <c r="KC17">
        <v>21.8797</v>
      </c>
      <c r="KD17">
        <v>55.696300000000001</v>
      </c>
      <c r="KE17">
        <v>0</v>
      </c>
      <c r="KF17">
        <v>22.273</v>
      </c>
      <c r="KG17">
        <v>420</v>
      </c>
      <c r="KH17">
        <v>20.237200000000001</v>
      </c>
      <c r="KI17">
        <v>99.5959</v>
      </c>
      <c r="KJ17">
        <v>96.549800000000005</v>
      </c>
    </row>
    <row r="18" spans="1:296" x14ac:dyDescent="0.3">
      <c r="A18">
        <v>2</v>
      </c>
      <c r="B18">
        <v>1785165932</v>
      </c>
      <c r="C18">
        <v>181.5</v>
      </c>
      <c r="D18" t="s">
        <v>575</v>
      </c>
      <c r="E18" t="s">
        <v>576</v>
      </c>
      <c r="F18">
        <v>15</v>
      </c>
      <c r="H18">
        <v>1785165924.25</v>
      </c>
      <c r="I18">
        <f t="shared" si="0"/>
        <v>3.6158424679832409E-3</v>
      </c>
      <c r="J18">
        <f t="shared" si="1"/>
        <v>3.6158424679832408</v>
      </c>
      <c r="K18">
        <f t="shared" si="2"/>
        <v>36.734919406848739</v>
      </c>
      <c r="L18">
        <f t="shared" si="3"/>
        <v>381.8923666666667</v>
      </c>
      <c r="M18">
        <f t="shared" si="4"/>
        <v>123.95234480171105</v>
      </c>
      <c r="N18">
        <f t="shared" si="5"/>
        <v>12.052861778065447</v>
      </c>
      <c r="O18">
        <f t="shared" si="6"/>
        <v>37.134399650889733</v>
      </c>
      <c r="P18">
        <f t="shared" si="7"/>
        <v>0.24288042227565232</v>
      </c>
      <c r="Q18">
        <f t="shared" si="8"/>
        <v>2.8795557939694225</v>
      </c>
      <c r="R18">
        <f t="shared" si="9"/>
        <v>0.23204622011330742</v>
      </c>
      <c r="S18">
        <f t="shared" si="10"/>
        <v>0.14596202066512243</v>
      </c>
      <c r="T18">
        <f t="shared" si="11"/>
        <v>271.91081449315141</v>
      </c>
      <c r="U18">
        <f t="shared" si="12"/>
        <v>28.354227021971283</v>
      </c>
      <c r="V18">
        <f t="shared" si="13"/>
        <v>27.947433333333329</v>
      </c>
      <c r="W18">
        <f t="shared" si="14"/>
        <v>3.783226093806535</v>
      </c>
      <c r="X18">
        <f t="shared" si="15"/>
        <v>62.166015407064293</v>
      </c>
      <c r="Y18">
        <f t="shared" si="16"/>
        <v>2.315541239774924</v>
      </c>
      <c r="Z18">
        <f t="shared" si="17"/>
        <v>3.7247702375851408</v>
      </c>
      <c r="AA18">
        <f t="shared" si="18"/>
        <v>1.467684854031611</v>
      </c>
      <c r="AB18">
        <f t="shared" si="19"/>
        <v>-159.45865283806091</v>
      </c>
      <c r="AC18">
        <f t="shared" si="20"/>
        <v>-41.410449266150529</v>
      </c>
      <c r="AD18">
        <f t="shared" si="21"/>
        <v>-3.1288888192631394</v>
      </c>
      <c r="AE18">
        <f t="shared" si="22"/>
        <v>67.912823569676846</v>
      </c>
      <c r="AF18">
        <f t="shared" si="23"/>
        <v>36.734919406848739</v>
      </c>
      <c r="AG18">
        <f t="shared" si="24"/>
        <v>3.6158424679832408</v>
      </c>
      <c r="AH18">
        <f t="shared" si="25"/>
        <v>36.497189248261392</v>
      </c>
      <c r="AI18">
        <v>428.64661179854119</v>
      </c>
      <c r="AJ18">
        <v>391.27321212121188</v>
      </c>
      <c r="AK18">
        <v>2.7378359900615289E-2</v>
      </c>
      <c r="AL18">
        <v>67.056153117269005</v>
      </c>
      <c r="AM18">
        <f t="shared" si="26"/>
        <v>3.5384841230334718</v>
      </c>
      <c r="AN18">
        <v>20.278757568905689</v>
      </c>
      <c r="AO18">
        <v>23.770638787878781</v>
      </c>
      <c r="AP18">
        <v>-7.3623378726964681E-3</v>
      </c>
      <c r="AQ18">
        <v>78.33909496710649</v>
      </c>
      <c r="AR18">
        <v>30</v>
      </c>
      <c r="AS18">
        <v>5</v>
      </c>
      <c r="AT18">
        <f t="shared" si="27"/>
        <v>1</v>
      </c>
      <c r="AU18">
        <f t="shared" si="28"/>
        <v>0</v>
      </c>
      <c r="AV18">
        <f t="shared" si="29"/>
        <v>51268.243347157455</v>
      </c>
      <c r="AW18" t="s">
        <v>569</v>
      </c>
      <c r="AX18">
        <v>13243.6</v>
      </c>
      <c r="AY18">
        <v>558.82352941176475</v>
      </c>
      <c r="AZ18">
        <v>2344.84</v>
      </c>
      <c r="BA18">
        <f t="shared" si="30"/>
        <v>0.7616794623890053</v>
      </c>
      <c r="BB18">
        <v>-4.0588593423444159</v>
      </c>
      <c r="BC18" t="s">
        <v>577</v>
      </c>
      <c r="BD18">
        <v>13177.9</v>
      </c>
      <c r="BE18">
        <v>768.14076470588236</v>
      </c>
      <c r="BF18">
        <v>1009.97</v>
      </c>
      <c r="BG18">
        <f t="shared" si="31"/>
        <v>0.23944199856839077</v>
      </c>
      <c r="BH18">
        <v>0.5</v>
      </c>
      <c r="BI18">
        <f t="shared" si="32"/>
        <v>1428.3154616026686</v>
      </c>
      <c r="BJ18">
        <f t="shared" si="33"/>
        <v>36.734919406848739</v>
      </c>
      <c r="BK18">
        <f t="shared" si="34"/>
        <v>170.9993543561383</v>
      </c>
      <c r="BL18">
        <f t="shared" si="35"/>
        <v>2.8560762552706467E-2</v>
      </c>
      <c r="BM18">
        <f t="shared" si="36"/>
        <v>1.3216927235462441</v>
      </c>
      <c r="BN18">
        <f t="shared" si="37"/>
        <v>424.96521502604116</v>
      </c>
      <c r="BO18" t="s">
        <v>402</v>
      </c>
      <c r="BP18">
        <v>0</v>
      </c>
      <c r="BQ18">
        <f t="shared" si="38"/>
        <v>424.96521502604116</v>
      </c>
      <c r="BR18">
        <f t="shared" si="39"/>
        <v>0.57922986323748116</v>
      </c>
      <c r="BS18">
        <f t="shared" si="40"/>
        <v>0.41337992697766146</v>
      </c>
      <c r="BT18">
        <f t="shared" si="41"/>
        <v>0.69529013581899102</v>
      </c>
      <c r="BU18">
        <f t="shared" si="42"/>
        <v>0.53603264363080216</v>
      </c>
      <c r="BV18">
        <f t="shared" si="43"/>
        <v>0.74740072221190246</v>
      </c>
      <c r="BW18">
        <f t="shared" si="44"/>
        <v>0.22869778252528383</v>
      </c>
      <c r="BX18">
        <f t="shared" si="45"/>
        <v>0.77130221747471617</v>
      </c>
      <c r="DG18">
        <f t="shared" si="46"/>
        <v>1700.0123333333329</v>
      </c>
      <c r="DH18">
        <f t="shared" si="47"/>
        <v>1428.3154616026686</v>
      </c>
      <c r="DI18">
        <f t="shared" si="48"/>
        <v>0.8401794702289429</v>
      </c>
      <c r="DJ18">
        <f t="shared" si="49"/>
        <v>0.15994637754185986</v>
      </c>
      <c r="DK18">
        <v>6</v>
      </c>
      <c r="DL18">
        <v>0.5</v>
      </c>
      <c r="DM18" t="s">
        <v>403</v>
      </c>
      <c r="DN18">
        <v>2</v>
      </c>
      <c r="DO18" t="b">
        <v>0</v>
      </c>
      <c r="DP18">
        <v>1785165924.25</v>
      </c>
      <c r="DQ18">
        <v>381.8923666666667</v>
      </c>
      <c r="DR18">
        <v>420.00990000000002</v>
      </c>
      <c r="DS18">
        <v>23.813163333333328</v>
      </c>
      <c r="DT18">
        <v>20.283263333333331</v>
      </c>
      <c r="DU18">
        <v>395.55810000000002</v>
      </c>
      <c r="DV18">
        <v>25.330459999999999</v>
      </c>
      <c r="DW18">
        <v>599.97243333333324</v>
      </c>
      <c r="DX18">
        <v>97.177226666666684</v>
      </c>
      <c r="DY18">
        <v>6.0641623333333332E-2</v>
      </c>
      <c r="DZ18">
        <v>27.68068666666667</v>
      </c>
      <c r="EA18">
        <v>27.947433333333329</v>
      </c>
      <c r="EB18">
        <v>999.9000000000002</v>
      </c>
      <c r="EC18">
        <v>0</v>
      </c>
      <c r="ED18">
        <v>0</v>
      </c>
      <c r="EE18">
        <v>10000</v>
      </c>
      <c r="EF18">
        <v>0</v>
      </c>
      <c r="EG18">
        <v>564.33820000000003</v>
      </c>
      <c r="EH18">
        <v>-38.117496666666668</v>
      </c>
      <c r="EI18">
        <v>391.20833333333331</v>
      </c>
      <c r="EJ18">
        <v>428.70539999999988</v>
      </c>
      <c r="EK18">
        <v>3.529900333333333</v>
      </c>
      <c r="EL18">
        <v>420.00990000000002</v>
      </c>
      <c r="EM18">
        <v>20.283263333333331</v>
      </c>
      <c r="EN18">
        <v>2.3140973333333341</v>
      </c>
      <c r="EO18">
        <v>1.971071333333333</v>
      </c>
      <c r="EP18">
        <v>19.774856666666668</v>
      </c>
      <c r="EQ18">
        <v>17.213840000000001</v>
      </c>
      <c r="ER18">
        <v>1700.0123333333329</v>
      </c>
      <c r="ES18">
        <v>0.9939975000000002</v>
      </c>
      <c r="ET18">
        <v>6.0020603333333349E-3</v>
      </c>
      <c r="EU18">
        <v>0</v>
      </c>
      <c r="EV18">
        <v>768.27079999999989</v>
      </c>
      <c r="EW18">
        <v>5.0010700000000003</v>
      </c>
      <c r="EX18">
        <v>17224.85666666667</v>
      </c>
      <c r="EY18">
        <v>15492.62</v>
      </c>
      <c r="EZ18">
        <v>44.75</v>
      </c>
      <c r="FA18">
        <v>46.057866666666641</v>
      </c>
      <c r="FB18">
        <v>45.5</v>
      </c>
      <c r="FC18">
        <v>46.166333333333313</v>
      </c>
      <c r="FD18">
        <v>45.75</v>
      </c>
      <c r="FE18">
        <v>1684.832333333334</v>
      </c>
      <c r="FF18">
        <v>10.17</v>
      </c>
      <c r="FG18">
        <v>0</v>
      </c>
      <c r="FH18">
        <v>180.70000004768369</v>
      </c>
      <c r="FI18">
        <v>0</v>
      </c>
      <c r="FJ18">
        <v>768.14076470588236</v>
      </c>
      <c r="FK18">
        <v>-1.939705878508027</v>
      </c>
      <c r="FL18">
        <v>122.2549047759028</v>
      </c>
      <c r="FM18">
        <v>17235.447058823531</v>
      </c>
      <c r="FN18">
        <v>10</v>
      </c>
      <c r="FO18">
        <v>1785165838</v>
      </c>
      <c r="FP18" t="s">
        <v>578</v>
      </c>
      <c r="FQ18">
        <v>1785165834.5</v>
      </c>
      <c r="FR18">
        <v>1785165838</v>
      </c>
      <c r="FS18">
        <v>16</v>
      </c>
      <c r="FT18">
        <v>-1.2999999999999999E-2</v>
      </c>
      <c r="FU18">
        <v>-2E-3</v>
      </c>
      <c r="FV18">
        <v>-13.813000000000001</v>
      </c>
      <c r="FW18">
        <v>-1.617</v>
      </c>
      <c r="FX18">
        <v>420</v>
      </c>
      <c r="FY18">
        <v>20</v>
      </c>
      <c r="FZ18">
        <v>0.25</v>
      </c>
      <c r="GA18">
        <v>7.0000000000000007E-2</v>
      </c>
      <c r="GB18">
        <v>381.89519354838711</v>
      </c>
      <c r="GC18">
        <v>0.37349999999899941</v>
      </c>
      <c r="GD18">
        <v>6.2178421396890657E-2</v>
      </c>
      <c r="GE18">
        <v>-1</v>
      </c>
      <c r="GF18">
        <v>768.38432352941174</v>
      </c>
      <c r="GG18">
        <v>-2.5682964095801402</v>
      </c>
      <c r="GH18">
        <v>0.35383825821380832</v>
      </c>
      <c r="GI18">
        <v>1</v>
      </c>
      <c r="GJ18">
        <v>3.5482019512195122</v>
      </c>
      <c r="GK18">
        <v>-0.38403491289198388</v>
      </c>
      <c r="GL18">
        <v>3.8332307854615701E-2</v>
      </c>
      <c r="GM18">
        <v>1</v>
      </c>
      <c r="GN18">
        <v>2</v>
      </c>
      <c r="GO18">
        <v>2</v>
      </c>
      <c r="GP18" t="s">
        <v>404</v>
      </c>
      <c r="GQ18">
        <v>3.24377</v>
      </c>
      <c r="GR18">
        <v>2.7376900000000002</v>
      </c>
      <c r="GS18">
        <v>8.4875699999999998E-2</v>
      </c>
      <c r="GT18">
        <v>8.9585300000000007E-2</v>
      </c>
      <c r="GU18">
        <v>0.114108</v>
      </c>
      <c r="GV18">
        <v>9.8006899999999994E-2</v>
      </c>
      <c r="GW18">
        <v>22727.200000000001</v>
      </c>
      <c r="GX18">
        <v>30116.9</v>
      </c>
      <c r="GY18">
        <v>26962.7</v>
      </c>
      <c r="GZ18">
        <v>34050.400000000001</v>
      </c>
      <c r="HA18">
        <v>35020.199999999997</v>
      </c>
      <c r="HB18">
        <v>38390.699999999997</v>
      </c>
      <c r="HC18">
        <v>39833</v>
      </c>
      <c r="HD18">
        <v>42632.9</v>
      </c>
      <c r="HE18">
        <v>2.0232000000000001</v>
      </c>
      <c r="HF18">
        <v>1.4486000000000001</v>
      </c>
      <c r="HG18">
        <v>-0.106096</v>
      </c>
      <c r="HH18">
        <v>0</v>
      </c>
      <c r="HI18">
        <v>29.665900000000001</v>
      </c>
      <c r="HJ18">
        <v>999.9</v>
      </c>
      <c r="HK18">
        <v>64</v>
      </c>
      <c r="HL18">
        <v>39.799999999999997</v>
      </c>
      <c r="HM18">
        <v>48.301400000000001</v>
      </c>
      <c r="HN18">
        <v>61.408099999999997</v>
      </c>
      <c r="HO18">
        <v>10.8894</v>
      </c>
      <c r="HP18">
        <v>1</v>
      </c>
      <c r="HQ18">
        <v>1.00301</v>
      </c>
      <c r="HR18">
        <v>7.5054699999999999</v>
      </c>
      <c r="HS18">
        <v>20.0749</v>
      </c>
      <c r="HT18">
        <v>5.2088999999999999</v>
      </c>
      <c r="HU18">
        <v>11.914099999999999</v>
      </c>
      <c r="HV18">
        <v>4.9828000000000001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1.86758</v>
      </c>
      <c r="IC18">
        <v>1.8632500000000001</v>
      </c>
      <c r="ID18">
        <v>1.8627899999999999</v>
      </c>
      <c r="IE18">
        <v>1.8623400000000001</v>
      </c>
      <c r="IF18">
        <v>1.8623400000000001</v>
      </c>
      <c r="IG18">
        <v>1.8627899999999999</v>
      </c>
      <c r="IH18">
        <v>1.86374</v>
      </c>
      <c r="II18">
        <v>1.86172</v>
      </c>
      <c r="IJ18">
        <v>0</v>
      </c>
      <c r="IK18">
        <v>0</v>
      </c>
      <c r="IL18">
        <v>0</v>
      </c>
      <c r="IM18">
        <v>4.5</v>
      </c>
      <c r="IN18" t="s">
        <v>405</v>
      </c>
      <c r="IO18" t="s">
        <v>406</v>
      </c>
      <c r="IP18" t="s">
        <v>407</v>
      </c>
      <c r="IQ18" t="s">
        <v>408</v>
      </c>
      <c r="IR18" t="s">
        <v>408</v>
      </c>
      <c r="IS18" t="s">
        <v>407</v>
      </c>
      <c r="IT18">
        <v>0</v>
      </c>
      <c r="IU18">
        <v>100</v>
      </c>
      <c r="IV18">
        <v>100</v>
      </c>
      <c r="IW18">
        <v>-13.666</v>
      </c>
      <c r="IX18">
        <v>-1.5185</v>
      </c>
      <c r="IY18">
        <v>-11.79487865581673</v>
      </c>
      <c r="IZ18">
        <v>-5.6215304933332991E-3</v>
      </c>
      <c r="JA18">
        <v>2.3979931213773931E-6</v>
      </c>
      <c r="JB18">
        <v>-3.6297174575716598E-10</v>
      </c>
      <c r="JC18">
        <v>-1.946720605013708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1.6</v>
      </c>
      <c r="JL18">
        <v>1.6</v>
      </c>
      <c r="JM18">
        <v>1.09375</v>
      </c>
      <c r="JN18">
        <v>2.5439500000000002</v>
      </c>
      <c r="JO18">
        <v>1.50024</v>
      </c>
      <c r="JP18">
        <v>2.2729499999999998</v>
      </c>
      <c r="JQ18">
        <v>1.4477500000000001</v>
      </c>
      <c r="JR18">
        <v>2.4401899999999999</v>
      </c>
      <c r="JS18">
        <v>45.461399999999998</v>
      </c>
      <c r="JT18">
        <v>23.833600000000001</v>
      </c>
      <c r="JU18">
        <v>18</v>
      </c>
      <c r="JV18">
        <v>623.75699999999995</v>
      </c>
      <c r="JW18">
        <v>280.02</v>
      </c>
      <c r="JX18">
        <v>22.347300000000001</v>
      </c>
      <c r="JY18">
        <v>38.859699999999997</v>
      </c>
      <c r="JZ18">
        <v>30.000599999999999</v>
      </c>
      <c r="KA18">
        <v>39.034100000000002</v>
      </c>
      <c r="KB18">
        <v>38.587699999999998</v>
      </c>
      <c r="KC18">
        <v>21.872499999999999</v>
      </c>
      <c r="KD18">
        <v>55.777700000000003</v>
      </c>
      <c r="KE18">
        <v>0</v>
      </c>
      <c r="KF18">
        <v>22.348500000000001</v>
      </c>
      <c r="KG18">
        <v>420</v>
      </c>
      <c r="KH18">
        <v>20.251000000000001</v>
      </c>
      <c r="KI18">
        <v>99.535700000000006</v>
      </c>
      <c r="KJ18">
        <v>96.483999999999995</v>
      </c>
    </row>
    <row r="19" spans="1:296" x14ac:dyDescent="0.3">
      <c r="A19">
        <v>3</v>
      </c>
      <c r="B19">
        <v>1785166113.5</v>
      </c>
      <c r="C19">
        <v>363</v>
      </c>
      <c r="D19" t="s">
        <v>579</v>
      </c>
      <c r="E19" t="s">
        <v>580</v>
      </c>
      <c r="F19">
        <v>15</v>
      </c>
      <c r="H19">
        <v>1785166105.75</v>
      </c>
      <c r="I19">
        <f t="shared" si="0"/>
        <v>3.3014582344542856E-3</v>
      </c>
      <c r="J19">
        <f t="shared" si="1"/>
        <v>3.3014582344542855</v>
      </c>
      <c r="K19">
        <f t="shared" si="2"/>
        <v>36.361883742756788</v>
      </c>
      <c r="L19">
        <f t="shared" si="3"/>
        <v>382.37079999999992</v>
      </c>
      <c r="M19">
        <f t="shared" si="4"/>
        <v>97.912248518719267</v>
      </c>
      <c r="N19">
        <f t="shared" si="5"/>
        <v>9.5204125412728384</v>
      </c>
      <c r="O19">
        <f t="shared" si="6"/>
        <v>37.179493013487026</v>
      </c>
      <c r="P19">
        <f t="shared" si="7"/>
        <v>0.21643722119629588</v>
      </c>
      <c r="Q19">
        <f t="shared" si="8"/>
        <v>2.8791845513926995</v>
      </c>
      <c r="R19">
        <f t="shared" si="9"/>
        <v>0.20778748286251383</v>
      </c>
      <c r="S19">
        <f t="shared" si="10"/>
        <v>0.13061551766322022</v>
      </c>
      <c r="T19">
        <f t="shared" si="11"/>
        <v>255.90995302943782</v>
      </c>
      <c r="U19">
        <f t="shared" si="12"/>
        <v>28.423311546090261</v>
      </c>
      <c r="V19">
        <f t="shared" si="13"/>
        <v>27.99305</v>
      </c>
      <c r="W19">
        <f t="shared" si="14"/>
        <v>3.7933024297082873</v>
      </c>
      <c r="X19">
        <f t="shared" si="15"/>
        <v>61.367877283014018</v>
      </c>
      <c r="Y19">
        <f t="shared" si="16"/>
        <v>2.2967667944526364</v>
      </c>
      <c r="Z19">
        <f t="shared" si="17"/>
        <v>3.7426205632964873</v>
      </c>
      <c r="AA19">
        <f t="shared" si="18"/>
        <v>1.4965356352556509</v>
      </c>
      <c r="AB19">
        <f t="shared" si="19"/>
        <v>-145.59430813943399</v>
      </c>
      <c r="AC19">
        <f t="shared" si="20"/>
        <v>-35.782430592353187</v>
      </c>
      <c r="AD19">
        <f t="shared" si="21"/>
        <v>-2.7057146296058243</v>
      </c>
      <c r="AE19">
        <f t="shared" si="22"/>
        <v>71.827499668044794</v>
      </c>
      <c r="AF19">
        <f t="shared" si="23"/>
        <v>36.361883742756788</v>
      </c>
      <c r="AG19">
        <f t="shared" si="24"/>
        <v>3.3014582344542855</v>
      </c>
      <c r="AH19">
        <f t="shared" si="25"/>
        <v>36.110376018029271</v>
      </c>
      <c r="AI19">
        <v>428.8065599988845</v>
      </c>
      <c r="AJ19">
        <v>391.72595151515162</v>
      </c>
      <c r="AK19">
        <v>5.0907839592320148E-2</v>
      </c>
      <c r="AL19">
        <v>67.055475157859391</v>
      </c>
      <c r="AM19">
        <f t="shared" si="26"/>
        <v>3.2961719433703061</v>
      </c>
      <c r="AN19">
        <v>20.398906673268979</v>
      </c>
      <c r="AO19">
        <v>23.617560000000001</v>
      </c>
      <c r="AP19">
        <v>-1.103812744821997E-4</v>
      </c>
      <c r="AQ19">
        <v>78.337988618207419</v>
      </c>
      <c r="AR19">
        <v>28</v>
      </c>
      <c r="AS19">
        <v>5</v>
      </c>
      <c r="AT19">
        <f t="shared" si="27"/>
        <v>1</v>
      </c>
      <c r="AU19">
        <f t="shared" si="28"/>
        <v>0</v>
      </c>
      <c r="AV19">
        <f t="shared" si="29"/>
        <v>51243.69118106048</v>
      </c>
      <c r="AW19" t="s">
        <v>569</v>
      </c>
      <c r="AX19">
        <v>13243.6</v>
      </c>
      <c r="AY19">
        <v>558.82352941176475</v>
      </c>
      <c r="AZ19">
        <v>2344.84</v>
      </c>
      <c r="BA19">
        <f t="shared" si="30"/>
        <v>0.7616794623890053</v>
      </c>
      <c r="BB19">
        <v>-4.0588593423444159</v>
      </c>
      <c r="BC19" t="s">
        <v>581</v>
      </c>
      <c r="BD19">
        <v>13184.6</v>
      </c>
      <c r="BE19">
        <v>761.50105882352943</v>
      </c>
      <c r="BF19">
        <v>1024.06</v>
      </c>
      <c r="BG19">
        <f t="shared" si="31"/>
        <v>0.2563901931297683</v>
      </c>
      <c r="BH19">
        <v>0.5</v>
      </c>
      <c r="BI19">
        <f t="shared" si="32"/>
        <v>1344.2652598079987</v>
      </c>
      <c r="BJ19">
        <f t="shared" si="33"/>
        <v>36.361883742756788</v>
      </c>
      <c r="BK19">
        <f t="shared" si="34"/>
        <v>172.32821478990547</v>
      </c>
      <c r="BL19">
        <f t="shared" si="35"/>
        <v>3.0069023051949209E-2</v>
      </c>
      <c r="BM19">
        <f t="shared" si="36"/>
        <v>1.2897486475401834</v>
      </c>
      <c r="BN19">
        <f t="shared" si="37"/>
        <v>427.43981768563503</v>
      </c>
      <c r="BO19" t="s">
        <v>402</v>
      </c>
      <c r="BP19">
        <v>0</v>
      </c>
      <c r="BQ19">
        <f t="shared" si="38"/>
        <v>427.43981768563503</v>
      </c>
      <c r="BR19">
        <f t="shared" si="39"/>
        <v>0.58260275991090849</v>
      </c>
      <c r="BS19">
        <f t="shared" si="40"/>
        <v>0.44007720315120968</v>
      </c>
      <c r="BT19">
        <f t="shared" si="41"/>
        <v>0.68883898738643867</v>
      </c>
      <c r="BU19">
        <f t="shared" si="42"/>
        <v>0.56435588732864495</v>
      </c>
      <c r="BV19">
        <f t="shared" si="43"/>
        <v>0.73951165722732293</v>
      </c>
      <c r="BW19">
        <f t="shared" si="44"/>
        <v>0.24702069327804982</v>
      </c>
      <c r="BX19">
        <f t="shared" si="45"/>
        <v>0.75297930672195013</v>
      </c>
      <c r="DG19">
        <f t="shared" si="46"/>
        <v>1599.9739999999999</v>
      </c>
      <c r="DH19">
        <f t="shared" si="47"/>
        <v>1344.2652598079987</v>
      </c>
      <c r="DI19">
        <f t="shared" si="48"/>
        <v>0.84017944029590408</v>
      </c>
      <c r="DJ19">
        <f t="shared" si="49"/>
        <v>0.15994631977109491</v>
      </c>
      <c r="DK19">
        <v>6</v>
      </c>
      <c r="DL19">
        <v>0.5</v>
      </c>
      <c r="DM19" t="s">
        <v>403</v>
      </c>
      <c r="DN19">
        <v>2</v>
      </c>
      <c r="DO19" t="b">
        <v>0</v>
      </c>
      <c r="DP19">
        <v>1785166105.75</v>
      </c>
      <c r="DQ19">
        <v>382.37079999999992</v>
      </c>
      <c r="DR19">
        <v>419.99236666666673</v>
      </c>
      <c r="DS19">
        <v>23.620993333333331</v>
      </c>
      <c r="DT19">
        <v>20.397749999999998</v>
      </c>
      <c r="DU19">
        <v>395.9973</v>
      </c>
      <c r="DV19">
        <v>25.16093</v>
      </c>
      <c r="DW19">
        <v>600.04303333333337</v>
      </c>
      <c r="DX19">
        <v>97.172659999999993</v>
      </c>
      <c r="DY19">
        <v>6.147245333333333E-2</v>
      </c>
      <c r="DZ19">
        <v>27.76252666666667</v>
      </c>
      <c r="EA19">
        <v>27.99305</v>
      </c>
      <c r="EB19">
        <v>999.9000000000002</v>
      </c>
      <c r="EC19">
        <v>0</v>
      </c>
      <c r="ED19">
        <v>0</v>
      </c>
      <c r="EE19">
        <v>9998.3333333333339</v>
      </c>
      <c r="EF19">
        <v>0</v>
      </c>
      <c r="EG19">
        <v>235.506</v>
      </c>
      <c r="EH19">
        <v>-37.62159333333333</v>
      </c>
      <c r="EI19">
        <v>391.62130000000002</v>
      </c>
      <c r="EJ19">
        <v>428.73763333333329</v>
      </c>
      <c r="EK19">
        <v>3.2232426666666671</v>
      </c>
      <c r="EL19">
        <v>419.99236666666673</v>
      </c>
      <c r="EM19">
        <v>20.397749999999998</v>
      </c>
      <c r="EN19">
        <v>2.295315</v>
      </c>
      <c r="EO19">
        <v>1.982105</v>
      </c>
      <c r="EP19">
        <v>19.643556666666662</v>
      </c>
      <c r="EQ19">
        <v>17.302099999999999</v>
      </c>
      <c r="ER19">
        <v>1599.9739999999999</v>
      </c>
      <c r="ES19">
        <v>0.9939996666666665</v>
      </c>
      <c r="ET19">
        <v>6.0004353333333316E-3</v>
      </c>
      <c r="EU19">
        <v>0</v>
      </c>
      <c r="EV19">
        <v>761.58556666666664</v>
      </c>
      <c r="EW19">
        <v>5.0010700000000003</v>
      </c>
      <c r="EX19">
        <v>16327.88</v>
      </c>
      <c r="EY19">
        <v>14578.26</v>
      </c>
      <c r="EZ19">
        <v>44.941199999999981</v>
      </c>
      <c r="FA19">
        <v>46.479000000000013</v>
      </c>
      <c r="FB19">
        <v>45.818299999999986</v>
      </c>
      <c r="FC19">
        <v>46.541333333333313</v>
      </c>
      <c r="FD19">
        <v>46</v>
      </c>
      <c r="FE19">
        <v>1585.404</v>
      </c>
      <c r="FF19">
        <v>9.5699999999999985</v>
      </c>
      <c r="FG19">
        <v>0</v>
      </c>
      <c r="FH19">
        <v>180.9000000953674</v>
      </c>
      <c r="FI19">
        <v>0</v>
      </c>
      <c r="FJ19">
        <v>761.50105882352943</v>
      </c>
      <c r="FK19">
        <v>-2.1960783865084719</v>
      </c>
      <c r="FL19">
        <v>479.460765956324</v>
      </c>
      <c r="FM19">
        <v>16339.63529411765</v>
      </c>
      <c r="FN19">
        <v>10</v>
      </c>
      <c r="FO19">
        <v>1785165987.5</v>
      </c>
      <c r="FP19" t="s">
        <v>582</v>
      </c>
      <c r="FQ19">
        <v>1785165983.5</v>
      </c>
      <c r="FR19">
        <v>1785165987.5</v>
      </c>
      <c r="FS19">
        <v>17</v>
      </c>
      <c r="FT19">
        <v>4.1000000000000002E-2</v>
      </c>
      <c r="FU19">
        <v>-1.7999999999999999E-2</v>
      </c>
      <c r="FV19">
        <v>-13.771000000000001</v>
      </c>
      <c r="FW19">
        <v>-1.6279999999999999</v>
      </c>
      <c r="FX19">
        <v>420</v>
      </c>
      <c r="FY19">
        <v>20</v>
      </c>
      <c r="FZ19">
        <v>0.22</v>
      </c>
      <c r="GA19">
        <v>0.08</v>
      </c>
      <c r="GB19">
        <v>382.36236666666662</v>
      </c>
      <c r="GC19">
        <v>0.20404004449456109</v>
      </c>
      <c r="GD19">
        <v>5.0179333948903608E-2</v>
      </c>
      <c r="GE19">
        <v>-1</v>
      </c>
      <c r="GF19">
        <v>761.83741176470585</v>
      </c>
      <c r="GG19">
        <v>-3.6186707441406041</v>
      </c>
      <c r="GH19">
        <v>0.46723127650441981</v>
      </c>
      <c r="GI19">
        <v>1</v>
      </c>
      <c r="GJ19">
        <v>3.2268574999999999</v>
      </c>
      <c r="GK19">
        <v>-6.3959774859288013E-2</v>
      </c>
      <c r="GL19">
        <v>7.1504488495478524E-3</v>
      </c>
      <c r="GM19">
        <v>1</v>
      </c>
      <c r="GN19">
        <v>2</v>
      </c>
      <c r="GO19">
        <v>2</v>
      </c>
      <c r="GP19" t="s">
        <v>404</v>
      </c>
      <c r="GQ19">
        <v>3.2434599999999998</v>
      </c>
      <c r="GR19">
        <v>2.7389600000000001</v>
      </c>
      <c r="GS19">
        <v>8.4848499999999993E-2</v>
      </c>
      <c r="GT19">
        <v>8.95257E-2</v>
      </c>
      <c r="GU19">
        <v>0.11360099999999999</v>
      </c>
      <c r="GV19">
        <v>9.8333299999999998E-2</v>
      </c>
      <c r="GW19">
        <v>22717.7</v>
      </c>
      <c r="GX19">
        <v>30107.200000000001</v>
      </c>
      <c r="GY19">
        <v>26951.9</v>
      </c>
      <c r="GZ19">
        <v>34039.1</v>
      </c>
      <c r="HA19">
        <v>35028.6</v>
      </c>
      <c r="HB19">
        <v>38365.199999999997</v>
      </c>
      <c r="HC19">
        <v>39818.6</v>
      </c>
      <c r="HD19">
        <v>42619.5</v>
      </c>
      <c r="HE19">
        <v>2.0222000000000002</v>
      </c>
      <c r="HF19">
        <v>1.4432</v>
      </c>
      <c r="HG19">
        <v>-0.10582800000000001</v>
      </c>
      <c r="HH19">
        <v>0</v>
      </c>
      <c r="HI19">
        <v>29.727499999999999</v>
      </c>
      <c r="HJ19">
        <v>999.9</v>
      </c>
      <c r="HK19">
        <v>63.7</v>
      </c>
      <c r="HL19">
        <v>40</v>
      </c>
      <c r="HM19">
        <v>48.603400000000001</v>
      </c>
      <c r="HN19">
        <v>61.428199999999997</v>
      </c>
      <c r="HO19">
        <v>10.5008</v>
      </c>
      <c r="HP19">
        <v>1</v>
      </c>
      <c r="HQ19">
        <v>1.0264599999999999</v>
      </c>
      <c r="HR19">
        <v>7.3589799999999999</v>
      </c>
      <c r="HS19">
        <v>20.079899999999999</v>
      </c>
      <c r="HT19">
        <v>5.2100999999999997</v>
      </c>
      <c r="HU19">
        <v>11.914099999999999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1.86755</v>
      </c>
      <c r="IC19">
        <v>1.8632500000000001</v>
      </c>
      <c r="ID19">
        <v>1.86273</v>
      </c>
      <c r="IE19">
        <v>1.8623400000000001</v>
      </c>
      <c r="IF19">
        <v>1.8623099999999999</v>
      </c>
      <c r="IG19">
        <v>1.8627899999999999</v>
      </c>
      <c r="IH19">
        <v>1.86371</v>
      </c>
      <c r="II19">
        <v>1.86172</v>
      </c>
      <c r="IJ19">
        <v>0</v>
      </c>
      <c r="IK19">
        <v>0</v>
      </c>
      <c r="IL19">
        <v>0</v>
      </c>
      <c r="IM19">
        <v>4.5</v>
      </c>
      <c r="IN19" t="s">
        <v>405</v>
      </c>
      <c r="IO19" t="s">
        <v>406</v>
      </c>
      <c r="IP19" t="s">
        <v>407</v>
      </c>
      <c r="IQ19" t="s">
        <v>408</v>
      </c>
      <c r="IR19" t="s">
        <v>408</v>
      </c>
      <c r="IS19" t="s">
        <v>407</v>
      </c>
      <c r="IT19">
        <v>0</v>
      </c>
      <c r="IU19">
        <v>100</v>
      </c>
      <c r="IV19">
        <v>100</v>
      </c>
      <c r="IW19">
        <v>-13.627000000000001</v>
      </c>
      <c r="IX19">
        <v>-1.54</v>
      </c>
      <c r="IY19">
        <v>-11.753919872008019</v>
      </c>
      <c r="IZ19">
        <v>-5.6215304933332991E-3</v>
      </c>
      <c r="JA19">
        <v>2.3979931213773931E-6</v>
      </c>
      <c r="JB19">
        <v>-3.6297174575716598E-10</v>
      </c>
      <c r="JC19">
        <v>-1.964562873024984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2.2000000000000002</v>
      </c>
      <c r="JL19">
        <v>2.1</v>
      </c>
      <c r="JM19">
        <v>1.09253</v>
      </c>
      <c r="JN19">
        <v>2.5463900000000002</v>
      </c>
      <c r="JO19">
        <v>1.50024</v>
      </c>
      <c r="JP19">
        <v>2.2729499999999998</v>
      </c>
      <c r="JQ19">
        <v>1.4477500000000001</v>
      </c>
      <c r="JR19">
        <v>2.34131</v>
      </c>
      <c r="JS19">
        <v>45.719299999999997</v>
      </c>
      <c r="JT19">
        <v>23.868600000000001</v>
      </c>
      <c r="JU19">
        <v>18</v>
      </c>
      <c r="JV19">
        <v>625.99800000000005</v>
      </c>
      <c r="JW19">
        <v>278.815</v>
      </c>
      <c r="JX19">
        <v>22.622499999999999</v>
      </c>
      <c r="JY19">
        <v>39.1449</v>
      </c>
      <c r="JZ19">
        <v>30.000599999999999</v>
      </c>
      <c r="KA19">
        <v>39.370699999999999</v>
      </c>
      <c r="KB19">
        <v>38.933300000000003</v>
      </c>
      <c r="KC19">
        <v>21.8643</v>
      </c>
      <c r="KD19">
        <v>55.833100000000002</v>
      </c>
      <c r="KE19">
        <v>0</v>
      </c>
      <c r="KF19">
        <v>22.619599999999998</v>
      </c>
      <c r="KG19">
        <v>420</v>
      </c>
      <c r="KH19">
        <v>20.385999999999999</v>
      </c>
      <c r="KI19">
        <v>99.498199999999997</v>
      </c>
      <c r="KJ19">
        <v>96.4529</v>
      </c>
    </row>
    <row r="20" spans="1:296" x14ac:dyDescent="0.3">
      <c r="A20">
        <v>4</v>
      </c>
      <c r="B20">
        <v>1785166295</v>
      </c>
      <c r="C20">
        <v>544.5</v>
      </c>
      <c r="D20" t="s">
        <v>583</v>
      </c>
      <c r="E20" t="s">
        <v>584</v>
      </c>
      <c r="F20">
        <v>15</v>
      </c>
      <c r="H20">
        <v>1785166287.25</v>
      </c>
      <c r="I20">
        <f t="shared" si="0"/>
        <v>2.8991832224030049E-3</v>
      </c>
      <c r="J20">
        <f t="shared" si="1"/>
        <v>2.8991832224030047</v>
      </c>
      <c r="K20">
        <f t="shared" si="2"/>
        <v>35.532184149409758</v>
      </c>
      <c r="L20">
        <f t="shared" si="3"/>
        <v>383.37430000000001</v>
      </c>
      <c r="M20">
        <f t="shared" si="4"/>
        <v>62.162580667248314</v>
      </c>
      <c r="N20">
        <f t="shared" si="5"/>
        <v>6.0443140408177873</v>
      </c>
      <c r="O20">
        <f t="shared" si="6"/>
        <v>37.277002330110385</v>
      </c>
      <c r="P20">
        <f t="shared" si="7"/>
        <v>0.18572394496726533</v>
      </c>
      <c r="Q20">
        <f t="shared" si="8"/>
        <v>2.8793208284398162</v>
      </c>
      <c r="R20">
        <f t="shared" si="9"/>
        <v>0.1793160914045922</v>
      </c>
      <c r="S20">
        <f t="shared" si="10"/>
        <v>0.11262985905140065</v>
      </c>
      <c r="T20">
        <f t="shared" si="11"/>
        <v>224.00266256853826</v>
      </c>
      <c r="U20">
        <f t="shared" si="12"/>
        <v>28.425971509787161</v>
      </c>
      <c r="V20">
        <f t="shared" si="13"/>
        <v>28.088303333333329</v>
      </c>
      <c r="W20">
        <f t="shared" si="14"/>
        <v>3.8144186064220307</v>
      </c>
      <c r="X20">
        <f t="shared" si="15"/>
        <v>60.920253192418585</v>
      </c>
      <c r="Y20">
        <f t="shared" si="16"/>
        <v>2.2917014293817606</v>
      </c>
      <c r="Z20">
        <f t="shared" si="17"/>
        <v>3.7618054904390297</v>
      </c>
      <c r="AA20">
        <f t="shared" si="18"/>
        <v>1.5227171770402701</v>
      </c>
      <c r="AB20">
        <f t="shared" si="19"/>
        <v>-127.85398010797252</v>
      </c>
      <c r="AC20">
        <f t="shared" si="20"/>
        <v>-36.975255347429957</v>
      </c>
      <c r="AD20">
        <f t="shared" si="21"/>
        <v>-2.7983277686918813</v>
      </c>
      <c r="AE20">
        <f t="shared" si="22"/>
        <v>56.375099344443903</v>
      </c>
      <c r="AF20">
        <f t="shared" si="23"/>
        <v>35.532184149409758</v>
      </c>
      <c r="AG20">
        <f t="shared" si="24"/>
        <v>2.8991832224030047</v>
      </c>
      <c r="AH20">
        <f t="shared" si="25"/>
        <v>35.655856228439553</v>
      </c>
      <c r="AI20">
        <v>428.99668388763109</v>
      </c>
      <c r="AJ20">
        <v>392.57096969696948</v>
      </c>
      <c r="AK20">
        <v>3.399994714738625E-3</v>
      </c>
      <c r="AL20">
        <v>67.054772390346571</v>
      </c>
      <c r="AM20">
        <f t="shared" si="26"/>
        <v>2.7663182316096457</v>
      </c>
      <c r="AN20">
        <v>20.806257983064089</v>
      </c>
      <c r="AO20">
        <v>23.522844848484841</v>
      </c>
      <c r="AP20">
        <v>-3.0257234308189501E-3</v>
      </c>
      <c r="AQ20">
        <v>78.337454743193163</v>
      </c>
      <c r="AR20">
        <v>27</v>
      </c>
      <c r="AS20">
        <v>4</v>
      </c>
      <c r="AT20">
        <f t="shared" si="27"/>
        <v>1</v>
      </c>
      <c r="AU20">
        <f t="shared" si="28"/>
        <v>0</v>
      </c>
      <c r="AV20">
        <f t="shared" si="29"/>
        <v>51232.617775693863</v>
      </c>
      <c r="AW20" t="s">
        <v>569</v>
      </c>
      <c r="AX20">
        <v>13243.6</v>
      </c>
      <c r="AY20">
        <v>558.82352941176475</v>
      </c>
      <c r="AZ20">
        <v>2344.84</v>
      </c>
      <c r="BA20">
        <f t="shared" si="30"/>
        <v>0.7616794623890053</v>
      </c>
      <c r="BB20">
        <v>-4.0588593423444159</v>
      </c>
      <c r="BC20" t="s">
        <v>585</v>
      </c>
      <c r="BD20">
        <v>13184.4</v>
      </c>
      <c r="BE20">
        <v>754.38547058823531</v>
      </c>
      <c r="BF20">
        <v>1063.6199999999999</v>
      </c>
      <c r="BG20">
        <f t="shared" si="31"/>
        <v>0.2907377911394714</v>
      </c>
      <c r="BH20">
        <v>0.5</v>
      </c>
      <c r="BI20">
        <f t="shared" si="32"/>
        <v>1176.2826997764444</v>
      </c>
      <c r="BJ20">
        <f t="shared" si="33"/>
        <v>35.532184149409758</v>
      </c>
      <c r="BK20">
        <f t="shared" si="34"/>
        <v>170.99491694428872</v>
      </c>
      <c r="BL20">
        <f t="shared" si="35"/>
        <v>3.3657762287312869E-2</v>
      </c>
      <c r="BM20">
        <f t="shared" si="36"/>
        <v>1.2045843440326436</v>
      </c>
      <c r="BN20">
        <f t="shared" si="37"/>
        <v>434.18027638037955</v>
      </c>
      <c r="BO20" t="s">
        <v>402</v>
      </c>
      <c r="BP20">
        <v>0</v>
      </c>
      <c r="BQ20">
        <f t="shared" si="38"/>
        <v>434.18027638037955</v>
      </c>
      <c r="BR20">
        <f t="shared" si="39"/>
        <v>0.59179004119856748</v>
      </c>
      <c r="BS20">
        <f t="shared" si="40"/>
        <v>0.49128537301951342</v>
      </c>
      <c r="BT20">
        <f t="shared" si="41"/>
        <v>0.67056419526801581</v>
      </c>
      <c r="BU20">
        <f t="shared" si="42"/>
        <v>0.61259249505333535</v>
      </c>
      <c r="BV20">
        <f t="shared" si="43"/>
        <v>0.71736180550340767</v>
      </c>
      <c r="BW20">
        <f t="shared" si="44"/>
        <v>0.28275520586700004</v>
      </c>
      <c r="BX20">
        <f t="shared" si="45"/>
        <v>0.71724479413300002</v>
      </c>
      <c r="DG20">
        <f t="shared" si="46"/>
        <v>1399.988333333333</v>
      </c>
      <c r="DH20">
        <f t="shared" si="47"/>
        <v>1176.2826997764444</v>
      </c>
      <c r="DI20">
        <f t="shared" si="48"/>
        <v>0.84020893015283082</v>
      </c>
      <c r="DJ20">
        <f t="shared" si="49"/>
        <v>0.16000323519496351</v>
      </c>
      <c r="DK20">
        <v>6</v>
      </c>
      <c r="DL20">
        <v>0.5</v>
      </c>
      <c r="DM20" t="s">
        <v>403</v>
      </c>
      <c r="DN20">
        <v>2</v>
      </c>
      <c r="DO20" t="b">
        <v>0</v>
      </c>
      <c r="DP20">
        <v>1785166287.25</v>
      </c>
      <c r="DQ20">
        <v>383.37430000000001</v>
      </c>
      <c r="DR20">
        <v>420.01796666666661</v>
      </c>
      <c r="DS20">
        <v>23.568940000000001</v>
      </c>
      <c r="DT20">
        <v>20.738086666666671</v>
      </c>
      <c r="DU20">
        <v>397.1013333333334</v>
      </c>
      <c r="DV20">
        <v>25.134370000000001</v>
      </c>
      <c r="DW20">
        <v>599.99983333333341</v>
      </c>
      <c r="DX20">
        <v>97.172183333333351</v>
      </c>
      <c r="DY20">
        <v>6.177922000000001E-2</v>
      </c>
      <c r="DZ20">
        <v>27.850106666666662</v>
      </c>
      <c r="EA20">
        <v>28.088303333333329</v>
      </c>
      <c r="EB20">
        <v>999.9000000000002</v>
      </c>
      <c r="EC20">
        <v>0</v>
      </c>
      <c r="ED20">
        <v>0</v>
      </c>
      <c r="EE20">
        <v>9999.1666666666661</v>
      </c>
      <c r="EF20">
        <v>0</v>
      </c>
      <c r="EG20">
        <v>149.50793333333331</v>
      </c>
      <c r="EH20">
        <v>-36.64367</v>
      </c>
      <c r="EI20">
        <v>392.62806666666671</v>
      </c>
      <c r="EJ20">
        <v>428.91263333333342</v>
      </c>
      <c r="EK20">
        <v>2.8308460000000011</v>
      </c>
      <c r="EL20">
        <v>420.01796666666661</v>
      </c>
      <c r="EM20">
        <v>20.738086666666671</v>
      </c>
      <c r="EN20">
        <v>2.290245333333333</v>
      </c>
      <c r="EO20">
        <v>2.015165333333333</v>
      </c>
      <c r="EP20">
        <v>19.607936666666671</v>
      </c>
      <c r="EQ20">
        <v>17.563960000000002</v>
      </c>
      <c r="ER20">
        <v>1399.988333333333</v>
      </c>
      <c r="ES20">
        <v>0.99301083333333318</v>
      </c>
      <c r="ET20">
        <v>6.9896393333333312E-3</v>
      </c>
      <c r="EU20">
        <v>0</v>
      </c>
      <c r="EV20">
        <v>754.42139999999995</v>
      </c>
      <c r="EW20">
        <v>5.0010700000000003</v>
      </c>
      <c r="EX20">
        <v>15177.98666666666</v>
      </c>
      <c r="EY20">
        <v>12745.47</v>
      </c>
      <c r="EZ20">
        <v>44.936999999999983</v>
      </c>
      <c r="FA20">
        <v>46.691199999999981</v>
      </c>
      <c r="FB20">
        <v>45.941199999999967</v>
      </c>
      <c r="FC20">
        <v>46.807866666666641</v>
      </c>
      <c r="FD20">
        <v>46.076699999999981</v>
      </c>
      <c r="FE20">
        <v>1385.238333333333</v>
      </c>
      <c r="FF20">
        <v>9.75</v>
      </c>
      <c r="FG20">
        <v>0</v>
      </c>
      <c r="FH20">
        <v>180.70000004768369</v>
      </c>
      <c r="FI20">
        <v>0</v>
      </c>
      <c r="FJ20">
        <v>754.38547058823531</v>
      </c>
      <c r="FK20">
        <v>0.17745096231100271</v>
      </c>
      <c r="FL20">
        <v>691.81366809147289</v>
      </c>
      <c r="FM20">
        <v>14928.07058823529</v>
      </c>
      <c r="FN20">
        <v>10</v>
      </c>
      <c r="FO20">
        <v>1785166184</v>
      </c>
      <c r="FP20" t="s">
        <v>586</v>
      </c>
      <c r="FQ20">
        <v>1785166184</v>
      </c>
      <c r="FR20">
        <v>1785166178</v>
      </c>
      <c r="FS20">
        <v>18</v>
      </c>
      <c r="FT20">
        <v>-9.6000000000000002E-2</v>
      </c>
      <c r="FU20">
        <v>-2.5000000000000001E-2</v>
      </c>
      <c r="FV20">
        <v>-13.868</v>
      </c>
      <c r="FW20">
        <v>-1.641</v>
      </c>
      <c r="FX20">
        <v>420</v>
      </c>
      <c r="FY20">
        <v>21</v>
      </c>
      <c r="FZ20">
        <v>0.2</v>
      </c>
      <c r="GA20">
        <v>0.09</v>
      </c>
      <c r="GB20">
        <v>383.38396774193541</v>
      </c>
      <c r="GC20">
        <v>-0.68898387096806424</v>
      </c>
      <c r="GD20">
        <v>7.8896618297439616E-2</v>
      </c>
      <c r="GE20">
        <v>-1</v>
      </c>
      <c r="GF20">
        <v>754.43747058823533</v>
      </c>
      <c r="GG20">
        <v>-0.55941940465477547</v>
      </c>
      <c r="GH20">
        <v>0.2371061111791038</v>
      </c>
      <c r="GI20">
        <v>1</v>
      </c>
      <c r="GJ20">
        <v>2.873461463414634</v>
      </c>
      <c r="GK20">
        <v>-0.74663979094076571</v>
      </c>
      <c r="GL20">
        <v>7.9496040722424291E-2</v>
      </c>
      <c r="GM20">
        <v>0</v>
      </c>
      <c r="GN20">
        <v>1</v>
      </c>
      <c r="GO20">
        <v>2</v>
      </c>
      <c r="GP20" t="s">
        <v>409</v>
      </c>
      <c r="GQ20">
        <v>3.24457</v>
      </c>
      <c r="GR20">
        <v>2.7388400000000002</v>
      </c>
      <c r="GS20">
        <v>8.4972000000000006E-2</v>
      </c>
      <c r="GT20">
        <v>8.9483099999999996E-2</v>
      </c>
      <c r="GU20">
        <v>0.11329599999999999</v>
      </c>
      <c r="GV20">
        <v>9.9703899999999998E-2</v>
      </c>
      <c r="GW20">
        <v>22704.799999999999</v>
      </c>
      <c r="GX20">
        <v>30093.4</v>
      </c>
      <c r="GY20">
        <v>26941.3</v>
      </c>
      <c r="GZ20">
        <v>34023.5</v>
      </c>
      <c r="HA20">
        <v>35027.599999999999</v>
      </c>
      <c r="HB20">
        <v>38291.5</v>
      </c>
      <c r="HC20">
        <v>39802.800000000003</v>
      </c>
      <c r="HD20">
        <v>42601.8</v>
      </c>
      <c r="HE20">
        <v>2.0211999999999999</v>
      </c>
      <c r="HF20">
        <v>1.4376</v>
      </c>
      <c r="HG20">
        <v>-0.107586</v>
      </c>
      <c r="HH20">
        <v>0</v>
      </c>
      <c r="HI20">
        <v>29.817499999999999</v>
      </c>
      <c r="HJ20">
        <v>999.9</v>
      </c>
      <c r="HK20">
        <v>63.3</v>
      </c>
      <c r="HL20">
        <v>40.299999999999997</v>
      </c>
      <c r="HM20">
        <v>49.072499999999998</v>
      </c>
      <c r="HN20">
        <v>61.1982</v>
      </c>
      <c r="HO20">
        <v>10.432700000000001</v>
      </c>
      <c r="HP20">
        <v>1</v>
      </c>
      <c r="HQ20">
        <v>1.0601400000000001</v>
      </c>
      <c r="HR20">
        <v>8.9298300000000008</v>
      </c>
      <c r="HS20">
        <v>20.010200000000001</v>
      </c>
      <c r="HT20">
        <v>5.2112999999999996</v>
      </c>
      <c r="HU20">
        <v>11.916499999999999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1.8675200000000001</v>
      </c>
      <c r="IC20">
        <v>1.8632200000000001</v>
      </c>
      <c r="ID20">
        <v>1.86273</v>
      </c>
      <c r="IE20">
        <v>1.8623400000000001</v>
      </c>
      <c r="IF20">
        <v>1.8622399999999999</v>
      </c>
      <c r="IG20">
        <v>1.8627899999999999</v>
      </c>
      <c r="IH20">
        <v>1.86371</v>
      </c>
      <c r="II20">
        <v>1.8616900000000001</v>
      </c>
      <c r="IJ20">
        <v>0</v>
      </c>
      <c r="IK20">
        <v>0</v>
      </c>
      <c r="IL20">
        <v>0</v>
      </c>
      <c r="IM20">
        <v>4.5</v>
      </c>
      <c r="IN20" t="s">
        <v>405</v>
      </c>
      <c r="IO20" t="s">
        <v>406</v>
      </c>
      <c r="IP20" t="s">
        <v>407</v>
      </c>
      <c r="IQ20" t="s">
        <v>408</v>
      </c>
      <c r="IR20" t="s">
        <v>408</v>
      </c>
      <c r="IS20" t="s">
        <v>407</v>
      </c>
      <c r="IT20">
        <v>0</v>
      </c>
      <c r="IU20">
        <v>100</v>
      </c>
      <c r="IV20">
        <v>100</v>
      </c>
      <c r="IW20">
        <v>-13.727</v>
      </c>
      <c r="IX20">
        <v>-1.5669</v>
      </c>
      <c r="IY20">
        <v>-11.8501760345337</v>
      </c>
      <c r="IZ20">
        <v>-5.6215304933332991E-3</v>
      </c>
      <c r="JA20">
        <v>2.3979931213773931E-6</v>
      </c>
      <c r="JB20">
        <v>-3.6297174575716598E-10</v>
      </c>
      <c r="JC20">
        <v>-1.9893101014701851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1.9</v>
      </c>
      <c r="JM20">
        <v>1.09253</v>
      </c>
      <c r="JN20">
        <v>2.5402800000000001</v>
      </c>
      <c r="JO20">
        <v>1.50024</v>
      </c>
      <c r="JP20">
        <v>2.2729499999999998</v>
      </c>
      <c r="JQ20">
        <v>1.4477500000000001</v>
      </c>
      <c r="JR20">
        <v>2.4633799999999999</v>
      </c>
      <c r="JS20">
        <v>45.892099999999999</v>
      </c>
      <c r="JT20">
        <v>23.877400000000002</v>
      </c>
      <c r="JU20">
        <v>18</v>
      </c>
      <c r="JV20">
        <v>627.74099999999999</v>
      </c>
      <c r="JW20">
        <v>277.27100000000002</v>
      </c>
      <c r="JX20">
        <v>22.106999999999999</v>
      </c>
      <c r="JY20">
        <v>39.392099999999999</v>
      </c>
      <c r="JZ20">
        <v>30.001899999999999</v>
      </c>
      <c r="KA20">
        <v>39.651699999999998</v>
      </c>
      <c r="KB20">
        <v>39.2164</v>
      </c>
      <c r="KC20">
        <v>21.86</v>
      </c>
      <c r="KD20">
        <v>55.218600000000002</v>
      </c>
      <c r="KE20">
        <v>0</v>
      </c>
      <c r="KF20">
        <v>22.101199999999999</v>
      </c>
      <c r="KG20">
        <v>420</v>
      </c>
      <c r="KH20">
        <v>20.977</v>
      </c>
      <c r="KI20">
        <v>99.4589</v>
      </c>
      <c r="KJ20">
        <v>96.410899999999998</v>
      </c>
    </row>
    <row r="21" spans="1:296" x14ac:dyDescent="0.3">
      <c r="A21">
        <v>5</v>
      </c>
      <c r="B21">
        <v>1785166476.5</v>
      </c>
      <c r="C21">
        <v>726</v>
      </c>
      <c r="D21" t="s">
        <v>587</v>
      </c>
      <c r="E21" t="s">
        <v>588</v>
      </c>
      <c r="F21">
        <v>15</v>
      </c>
      <c r="H21">
        <v>1785166468.5</v>
      </c>
      <c r="I21">
        <f t="shared" si="0"/>
        <v>3.0771430185310114E-3</v>
      </c>
      <c r="J21">
        <f t="shared" si="1"/>
        <v>3.0771430185310114</v>
      </c>
      <c r="K21">
        <f t="shared" si="2"/>
        <v>32.813176407603784</v>
      </c>
      <c r="L21">
        <f t="shared" si="3"/>
        <v>385.99941935483872</v>
      </c>
      <c r="M21">
        <f t="shared" si="4"/>
        <v>108.83312896843859</v>
      </c>
      <c r="N21">
        <f t="shared" si="5"/>
        <v>10.58323407344046</v>
      </c>
      <c r="O21">
        <f t="shared" si="6"/>
        <v>37.535649723247786</v>
      </c>
      <c r="P21">
        <f t="shared" si="7"/>
        <v>0.20020866525205921</v>
      </c>
      <c r="Q21">
        <f t="shared" si="8"/>
        <v>2.8799631628514493</v>
      </c>
      <c r="R21">
        <f t="shared" si="9"/>
        <v>0.1927854160544466</v>
      </c>
      <c r="S21">
        <f t="shared" si="10"/>
        <v>0.12113490288268706</v>
      </c>
      <c r="T21">
        <f t="shared" si="11"/>
        <v>160.17564273887129</v>
      </c>
      <c r="U21">
        <f t="shared" si="12"/>
        <v>27.868279250005887</v>
      </c>
      <c r="V21">
        <f t="shared" si="13"/>
        <v>27.976400000000002</v>
      </c>
      <c r="W21">
        <f t="shared" si="14"/>
        <v>3.7896218754057118</v>
      </c>
      <c r="X21">
        <f t="shared" si="15"/>
        <v>61.225162407016555</v>
      </c>
      <c r="Y21">
        <f t="shared" si="16"/>
        <v>2.2859699912931095</v>
      </c>
      <c r="Z21">
        <f t="shared" si="17"/>
        <v>3.7337099673109759</v>
      </c>
      <c r="AA21">
        <f t="shared" si="18"/>
        <v>1.5036518841126023</v>
      </c>
      <c r="AB21">
        <f t="shared" si="19"/>
        <v>-135.70200711721759</v>
      </c>
      <c r="AC21">
        <f t="shared" si="20"/>
        <v>-39.543382739556286</v>
      </c>
      <c r="AD21">
        <f t="shared" si="21"/>
        <v>-2.9884372379519877</v>
      </c>
      <c r="AE21">
        <f t="shared" si="22"/>
        <v>-18.058184355854571</v>
      </c>
      <c r="AF21">
        <f t="shared" si="23"/>
        <v>32.813176407603784</v>
      </c>
      <c r="AG21">
        <f t="shared" si="24"/>
        <v>3.0771430185310114</v>
      </c>
      <c r="AH21">
        <f t="shared" si="25"/>
        <v>33.133250648754853</v>
      </c>
      <c r="AI21">
        <v>428.81532186940819</v>
      </c>
      <c r="AJ21">
        <v>395.28030909090899</v>
      </c>
      <c r="AK21">
        <v>-6.697381521568585E-2</v>
      </c>
      <c r="AL21">
        <v>67.055922370929977</v>
      </c>
      <c r="AM21">
        <f t="shared" si="26"/>
        <v>2.962225403623997</v>
      </c>
      <c r="AN21">
        <v>20.493791104185011</v>
      </c>
      <c r="AO21">
        <v>23.444615151515151</v>
      </c>
      <c r="AP21">
        <v>-1.1461158240620309E-2</v>
      </c>
      <c r="AQ21">
        <v>78.337583434929627</v>
      </c>
      <c r="AR21">
        <v>27</v>
      </c>
      <c r="AS21">
        <v>4</v>
      </c>
      <c r="AT21">
        <f t="shared" si="27"/>
        <v>1</v>
      </c>
      <c r="AU21">
        <f t="shared" si="28"/>
        <v>0</v>
      </c>
      <c r="AV21">
        <f t="shared" si="29"/>
        <v>51272.862258181049</v>
      </c>
      <c r="AW21" t="s">
        <v>569</v>
      </c>
      <c r="AX21">
        <v>13243.6</v>
      </c>
      <c r="AY21">
        <v>558.82352941176475</v>
      </c>
      <c r="AZ21">
        <v>2344.84</v>
      </c>
      <c r="BA21">
        <f t="shared" si="30"/>
        <v>0.7616794623890053</v>
      </c>
      <c r="BB21">
        <v>-4.0588593423444159</v>
      </c>
      <c r="BC21" t="s">
        <v>589</v>
      </c>
      <c r="BD21">
        <v>13191.9</v>
      </c>
      <c r="BE21">
        <v>751.45670588235294</v>
      </c>
      <c r="BF21">
        <v>1207.6099999999999</v>
      </c>
      <c r="BG21">
        <f t="shared" si="31"/>
        <v>0.37773229280781628</v>
      </c>
      <c r="BH21">
        <v>0.5</v>
      </c>
      <c r="BI21">
        <f t="shared" si="32"/>
        <v>840.2988223584324</v>
      </c>
      <c r="BJ21">
        <f t="shared" si="33"/>
        <v>32.813176407603784</v>
      </c>
      <c r="BK21">
        <f t="shared" si="34"/>
        <v>158.7040004065793</v>
      </c>
      <c r="BL21">
        <f t="shared" si="35"/>
        <v>4.3879670860969389E-2</v>
      </c>
      <c r="BM21">
        <f t="shared" si="36"/>
        <v>0.94171959490232804</v>
      </c>
      <c r="BN21">
        <f t="shared" si="37"/>
        <v>456.39441878096557</v>
      </c>
      <c r="BO21" t="s">
        <v>402</v>
      </c>
      <c r="BP21">
        <v>0</v>
      </c>
      <c r="BQ21">
        <f t="shared" si="38"/>
        <v>456.39441878096557</v>
      </c>
      <c r="BR21">
        <f t="shared" si="39"/>
        <v>0.62206803621950324</v>
      </c>
      <c r="BS21">
        <f t="shared" si="40"/>
        <v>0.60722022482204729</v>
      </c>
      <c r="BT21">
        <f t="shared" si="41"/>
        <v>0.60220427388005138</v>
      </c>
      <c r="BU21">
        <f t="shared" si="42"/>
        <v>0.70308693968921165</v>
      </c>
      <c r="BV21">
        <f t="shared" si="43"/>
        <v>0.63674104843246304</v>
      </c>
      <c r="BW21">
        <f t="shared" si="44"/>
        <v>0.36879293166237703</v>
      </c>
      <c r="BX21">
        <f t="shared" si="45"/>
        <v>0.63120706833762297</v>
      </c>
      <c r="DG21">
        <f t="shared" si="46"/>
        <v>1000.000741935484</v>
      </c>
      <c r="DH21">
        <f t="shared" si="47"/>
        <v>840.2988223584324</v>
      </c>
      <c r="DI21">
        <f t="shared" si="48"/>
        <v>0.84029819891138147</v>
      </c>
      <c r="DJ21">
        <f t="shared" si="49"/>
        <v>0.16017552389896644</v>
      </c>
      <c r="DK21">
        <v>6</v>
      </c>
      <c r="DL21">
        <v>0.5</v>
      </c>
      <c r="DM21" t="s">
        <v>403</v>
      </c>
      <c r="DN21">
        <v>2</v>
      </c>
      <c r="DO21" t="b">
        <v>0</v>
      </c>
      <c r="DP21">
        <v>1785166468.5</v>
      </c>
      <c r="DQ21">
        <v>385.99941935483872</v>
      </c>
      <c r="DR21">
        <v>419.99935483870979</v>
      </c>
      <c r="DS21">
        <v>23.507867741935481</v>
      </c>
      <c r="DT21">
        <v>20.503151612903231</v>
      </c>
      <c r="DU21">
        <v>399.7599677419355</v>
      </c>
      <c r="DV21">
        <v>25.07446451612903</v>
      </c>
      <c r="DW21">
        <v>600.01793548387082</v>
      </c>
      <c r="DX21">
        <v>97.181203225806442</v>
      </c>
      <c r="DY21">
        <v>6.1558916129032248E-2</v>
      </c>
      <c r="DZ21">
        <v>27.721716129032259</v>
      </c>
      <c r="EA21">
        <v>27.976400000000002</v>
      </c>
      <c r="EB21">
        <v>999.90000000000032</v>
      </c>
      <c r="EC21">
        <v>0</v>
      </c>
      <c r="ED21">
        <v>0</v>
      </c>
      <c r="EE21">
        <v>10001.93548387097</v>
      </c>
      <c r="EF21">
        <v>0</v>
      </c>
      <c r="EG21">
        <v>150.04835483870971</v>
      </c>
      <c r="EH21">
        <v>-33.999912903225812</v>
      </c>
      <c r="EI21">
        <v>395.29193548387099</v>
      </c>
      <c r="EJ21">
        <v>428.7909677419355</v>
      </c>
      <c r="EK21">
        <v>3.004717741935484</v>
      </c>
      <c r="EL21">
        <v>419.99935483870979</v>
      </c>
      <c r="EM21">
        <v>20.503151612903231</v>
      </c>
      <c r="EN21">
        <v>2.284522903225807</v>
      </c>
      <c r="EO21">
        <v>1.99252064516129</v>
      </c>
      <c r="EP21">
        <v>19.56766129032258</v>
      </c>
      <c r="EQ21">
        <v>17.385016129032259</v>
      </c>
      <c r="ER21">
        <v>1000.000741935484</v>
      </c>
      <c r="ES21">
        <v>0.99001448387096758</v>
      </c>
      <c r="ET21">
        <v>9.9859858064516149E-3</v>
      </c>
      <c r="EU21">
        <v>0</v>
      </c>
      <c r="EV21">
        <v>751.46667741935482</v>
      </c>
      <c r="EW21">
        <v>5.0010700000000003</v>
      </c>
      <c r="EX21">
        <v>11682.13548387097</v>
      </c>
      <c r="EY21">
        <v>9080.3325806451612</v>
      </c>
      <c r="EZ21">
        <v>44.375</v>
      </c>
      <c r="FA21">
        <v>46.686999999999969</v>
      </c>
      <c r="FB21">
        <v>45.762</v>
      </c>
      <c r="FC21">
        <v>46.686999999999969</v>
      </c>
      <c r="FD21">
        <v>45.733741935483863</v>
      </c>
      <c r="FE21">
        <v>985.06258064516135</v>
      </c>
      <c r="FF21">
        <v>9.94</v>
      </c>
      <c r="FG21">
        <v>0</v>
      </c>
      <c r="FH21">
        <v>180.9000000953674</v>
      </c>
      <c r="FI21">
        <v>0</v>
      </c>
      <c r="FJ21">
        <v>751.45670588235294</v>
      </c>
      <c r="FK21">
        <v>-2.589950965971286</v>
      </c>
      <c r="FL21">
        <v>-2600.7842596365081</v>
      </c>
      <c r="FM21">
        <v>11757.50588235294</v>
      </c>
      <c r="FN21">
        <v>10</v>
      </c>
      <c r="FO21">
        <v>1785166380</v>
      </c>
      <c r="FP21" t="s">
        <v>590</v>
      </c>
      <c r="FQ21">
        <v>1785166380</v>
      </c>
      <c r="FR21">
        <v>1785166376.5</v>
      </c>
      <c r="FS21">
        <v>19</v>
      </c>
      <c r="FT21">
        <v>-2.3E-2</v>
      </c>
      <c r="FU21">
        <v>1E-3</v>
      </c>
      <c r="FV21">
        <v>-13.891</v>
      </c>
      <c r="FW21">
        <v>-1.6439999999999999</v>
      </c>
      <c r="FX21">
        <v>420</v>
      </c>
      <c r="FY21">
        <v>21</v>
      </c>
      <c r="FZ21">
        <v>0.24</v>
      </c>
      <c r="GA21">
        <v>0.1</v>
      </c>
      <c r="GB21">
        <v>385.99564516129033</v>
      </c>
      <c r="GC21">
        <v>0.70504838709629924</v>
      </c>
      <c r="GD21">
        <v>8.9318404124213782E-2</v>
      </c>
      <c r="GE21">
        <v>-1</v>
      </c>
      <c r="GF21">
        <v>751.39697058823538</v>
      </c>
      <c r="GG21">
        <v>0.9246600462269472</v>
      </c>
      <c r="GH21">
        <v>0.27287494283841279</v>
      </c>
      <c r="GI21">
        <v>1</v>
      </c>
      <c r="GJ21">
        <v>3.0181909756097558</v>
      </c>
      <c r="GK21">
        <v>-0.38452578397212672</v>
      </c>
      <c r="GL21">
        <v>5.6883841796988077E-2</v>
      </c>
      <c r="GM21">
        <v>1</v>
      </c>
      <c r="GN21">
        <v>2</v>
      </c>
      <c r="GO21">
        <v>2</v>
      </c>
      <c r="GP21" t="s">
        <v>404</v>
      </c>
      <c r="GQ21">
        <v>3.2445499999999998</v>
      </c>
      <c r="GR21">
        <v>2.7393299999999998</v>
      </c>
      <c r="GS21">
        <v>8.5403400000000004E-2</v>
      </c>
      <c r="GT21">
        <v>8.9448899999999998E-2</v>
      </c>
      <c r="GU21">
        <v>0.113011</v>
      </c>
      <c r="GV21">
        <v>9.8950499999999997E-2</v>
      </c>
      <c r="GW21">
        <v>22687.1</v>
      </c>
      <c r="GX21">
        <v>30082.400000000001</v>
      </c>
      <c r="GY21">
        <v>26934</v>
      </c>
      <c r="GZ21">
        <v>34011.4</v>
      </c>
      <c r="HA21">
        <v>35031.4</v>
      </c>
      <c r="HB21">
        <v>38313</v>
      </c>
      <c r="HC21">
        <v>39793.199999999997</v>
      </c>
      <c r="HD21">
        <v>42589.9</v>
      </c>
      <c r="HE21">
        <v>2.0194000000000001</v>
      </c>
      <c r="HF21">
        <v>1.4326000000000001</v>
      </c>
      <c r="HG21">
        <v>-0.112206</v>
      </c>
      <c r="HH21">
        <v>0</v>
      </c>
      <c r="HI21">
        <v>29.8201</v>
      </c>
      <c r="HJ21">
        <v>999.9</v>
      </c>
      <c r="HK21">
        <v>63</v>
      </c>
      <c r="HL21">
        <v>40.5</v>
      </c>
      <c r="HM21">
        <v>49.359200000000001</v>
      </c>
      <c r="HN21">
        <v>61.248199999999997</v>
      </c>
      <c r="HO21">
        <v>10.368600000000001</v>
      </c>
      <c r="HP21">
        <v>1</v>
      </c>
      <c r="HQ21">
        <v>1.0655699999999999</v>
      </c>
      <c r="HR21">
        <v>7.1574299999999997</v>
      </c>
      <c r="HS21">
        <v>20.092500000000001</v>
      </c>
      <c r="HT21">
        <v>5.2100999999999997</v>
      </c>
      <c r="HU21">
        <v>11.914099999999999</v>
      </c>
      <c r="HV21">
        <v>4.9836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1.8632200000000001</v>
      </c>
      <c r="ID21">
        <v>1.8626400000000001</v>
      </c>
      <c r="IE21">
        <v>1.8623400000000001</v>
      </c>
      <c r="IF21">
        <v>1.8622099999999999</v>
      </c>
      <c r="IG21">
        <v>1.8627899999999999</v>
      </c>
      <c r="IH21">
        <v>1.86371</v>
      </c>
      <c r="II21">
        <v>1.8616900000000001</v>
      </c>
      <c r="IJ21">
        <v>0</v>
      </c>
      <c r="IK21">
        <v>0</v>
      </c>
      <c r="IL21">
        <v>0</v>
      </c>
      <c r="IM21">
        <v>4.5</v>
      </c>
      <c r="IN21" t="s">
        <v>405</v>
      </c>
      <c r="IO21" t="s">
        <v>406</v>
      </c>
      <c r="IP21" t="s">
        <v>407</v>
      </c>
      <c r="IQ21" t="s">
        <v>408</v>
      </c>
      <c r="IR21" t="s">
        <v>408</v>
      </c>
      <c r="IS21" t="s">
        <v>407</v>
      </c>
      <c r="IT21">
        <v>0</v>
      </c>
      <c r="IU21">
        <v>100</v>
      </c>
      <c r="IV21">
        <v>100</v>
      </c>
      <c r="IW21">
        <v>-13.762</v>
      </c>
      <c r="IX21">
        <v>-1.5684</v>
      </c>
      <c r="IY21">
        <v>-11.873268153529651</v>
      </c>
      <c r="IZ21">
        <v>-5.6215304933332991E-3</v>
      </c>
      <c r="JA21">
        <v>2.3979931213773931E-6</v>
      </c>
      <c r="JB21">
        <v>-3.6297174575716598E-10</v>
      </c>
      <c r="JC21">
        <v>-1.988775087705184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1.6</v>
      </c>
      <c r="JL21">
        <v>1.7</v>
      </c>
      <c r="JM21">
        <v>1.09253</v>
      </c>
      <c r="JN21">
        <v>2.5402800000000001</v>
      </c>
      <c r="JO21">
        <v>1.50024</v>
      </c>
      <c r="JP21">
        <v>2.2729499999999998</v>
      </c>
      <c r="JQ21">
        <v>1.4477500000000001</v>
      </c>
      <c r="JR21">
        <v>2.4352999999999998</v>
      </c>
      <c r="JS21">
        <v>46.036700000000003</v>
      </c>
      <c r="JT21">
        <v>23.9299</v>
      </c>
      <c r="JU21">
        <v>18</v>
      </c>
      <c r="JV21">
        <v>628.41600000000005</v>
      </c>
      <c r="JW21">
        <v>275.80099999999999</v>
      </c>
      <c r="JX21">
        <v>22.9513</v>
      </c>
      <c r="JY21">
        <v>39.624000000000002</v>
      </c>
      <c r="JZ21">
        <v>30.000299999999999</v>
      </c>
      <c r="KA21">
        <v>39.8827</v>
      </c>
      <c r="KB21">
        <v>39.446100000000001</v>
      </c>
      <c r="KC21">
        <v>21.8598</v>
      </c>
      <c r="KD21">
        <v>55.8581</v>
      </c>
      <c r="KE21">
        <v>0</v>
      </c>
      <c r="KF21">
        <v>22.95</v>
      </c>
      <c r="KG21">
        <v>420</v>
      </c>
      <c r="KH21">
        <v>20.6691</v>
      </c>
      <c r="KI21">
        <v>99.433800000000005</v>
      </c>
      <c r="KJ21">
        <v>96.380700000000004</v>
      </c>
    </row>
    <row r="22" spans="1:296" x14ac:dyDescent="0.3">
      <c r="A22">
        <v>6</v>
      </c>
      <c r="B22">
        <v>1785166658.0999999</v>
      </c>
      <c r="C22">
        <v>907.59999990463257</v>
      </c>
      <c r="D22" t="s">
        <v>591</v>
      </c>
      <c r="E22" t="s">
        <v>592</v>
      </c>
      <c r="F22">
        <v>15</v>
      </c>
      <c r="H22">
        <v>1785166650.099999</v>
      </c>
      <c r="I22">
        <f t="shared" si="0"/>
        <v>2.5035132004480325E-3</v>
      </c>
      <c r="J22">
        <f t="shared" si="1"/>
        <v>2.5035132004480323</v>
      </c>
      <c r="K22">
        <f t="shared" si="2"/>
        <v>30.058564359809363</v>
      </c>
      <c r="L22">
        <f t="shared" si="3"/>
        <v>388.97980645161289</v>
      </c>
      <c r="M22">
        <f t="shared" si="4"/>
        <v>80.662908767188753</v>
      </c>
      <c r="N22">
        <f t="shared" si="5"/>
        <v>7.8439039829893362</v>
      </c>
      <c r="O22">
        <f t="shared" si="6"/>
        <v>37.825566914955232</v>
      </c>
      <c r="P22">
        <f t="shared" si="7"/>
        <v>0.16332122086770054</v>
      </c>
      <c r="Q22">
        <f t="shared" si="8"/>
        <v>2.8790676154708374</v>
      </c>
      <c r="R22">
        <f t="shared" si="9"/>
        <v>0.15834329313993897</v>
      </c>
      <c r="S22">
        <f t="shared" si="10"/>
        <v>9.9399166761529892E-2</v>
      </c>
      <c r="T22">
        <f t="shared" si="11"/>
        <v>128.27648133557369</v>
      </c>
      <c r="U22">
        <f t="shared" si="12"/>
        <v>27.82534086558567</v>
      </c>
      <c r="V22">
        <f t="shared" si="13"/>
        <v>27.971890322580649</v>
      </c>
      <c r="W22">
        <f t="shared" si="14"/>
        <v>3.7886255281533505</v>
      </c>
      <c r="X22">
        <f t="shared" si="15"/>
        <v>61.593872905821435</v>
      </c>
      <c r="Y22">
        <f t="shared" si="16"/>
        <v>2.2992755069565334</v>
      </c>
      <c r="Z22">
        <f t="shared" si="17"/>
        <v>3.7329614107432132</v>
      </c>
      <c r="AA22">
        <f t="shared" si="18"/>
        <v>1.4893500211968171</v>
      </c>
      <c r="AB22">
        <f t="shared" si="19"/>
        <v>-110.40493213975823</v>
      </c>
      <c r="AC22">
        <f t="shared" si="20"/>
        <v>-39.363853372582874</v>
      </c>
      <c r="AD22">
        <f t="shared" si="21"/>
        <v>-2.9756770605337297</v>
      </c>
      <c r="AE22">
        <f t="shared" si="22"/>
        <v>-24.467981237301139</v>
      </c>
      <c r="AF22">
        <f t="shared" si="23"/>
        <v>30.058564359809363</v>
      </c>
      <c r="AG22">
        <f t="shared" si="24"/>
        <v>2.5035132004480323</v>
      </c>
      <c r="AH22">
        <f t="shared" si="25"/>
        <v>29.992116888346562</v>
      </c>
      <c r="AI22">
        <v>429.11563891786221</v>
      </c>
      <c r="AJ22">
        <v>398.47016969696972</v>
      </c>
      <c r="AK22">
        <v>7.9366703266992022E-4</v>
      </c>
      <c r="AL22">
        <v>67.04298511462386</v>
      </c>
      <c r="AM22">
        <f t="shared" si="26"/>
        <v>2.5681068463481789</v>
      </c>
      <c r="AN22">
        <v>21.15511035322152</v>
      </c>
      <c r="AO22">
        <v>23.657101212121219</v>
      </c>
      <c r="AP22">
        <v>1.0619563273214601E-3</v>
      </c>
      <c r="AQ22">
        <v>78.32712276166032</v>
      </c>
      <c r="AR22">
        <v>26</v>
      </c>
      <c r="AS22">
        <v>4</v>
      </c>
      <c r="AT22">
        <f t="shared" si="27"/>
        <v>1</v>
      </c>
      <c r="AU22">
        <f t="shared" si="28"/>
        <v>0</v>
      </c>
      <c r="AV22">
        <f t="shared" si="29"/>
        <v>51248.107049237457</v>
      </c>
      <c r="AW22" t="s">
        <v>569</v>
      </c>
      <c r="AX22">
        <v>13243.6</v>
      </c>
      <c r="AY22">
        <v>558.82352941176475</v>
      </c>
      <c r="AZ22">
        <v>2344.84</v>
      </c>
      <c r="BA22">
        <f t="shared" si="30"/>
        <v>0.7616794623890053</v>
      </c>
      <c r="BB22">
        <v>-4.0588593423444159</v>
      </c>
      <c r="BC22" t="s">
        <v>593</v>
      </c>
      <c r="BD22">
        <v>13200.2</v>
      </c>
      <c r="BE22">
        <v>752.69188235294121</v>
      </c>
      <c r="BF22">
        <v>1333.13</v>
      </c>
      <c r="BG22">
        <f t="shared" si="31"/>
        <v>0.43539498597065462</v>
      </c>
      <c r="BH22">
        <v>0.5</v>
      </c>
      <c r="BI22">
        <f t="shared" si="32"/>
        <v>672.30133805453409</v>
      </c>
      <c r="BJ22">
        <f t="shared" si="33"/>
        <v>30.058564359809363</v>
      </c>
      <c r="BK22">
        <f t="shared" si="34"/>
        <v>146.35831582515311</v>
      </c>
      <c r="BL22">
        <f t="shared" si="35"/>
        <v>5.0747219693003685E-2</v>
      </c>
      <c r="BM22">
        <f t="shared" si="36"/>
        <v>0.75889823198037698</v>
      </c>
      <c r="BN22">
        <f t="shared" si="37"/>
        <v>473.23394795837794</v>
      </c>
      <c r="BO22" t="s">
        <v>402</v>
      </c>
      <c r="BP22">
        <v>0</v>
      </c>
      <c r="BQ22">
        <f t="shared" si="38"/>
        <v>473.23394795837794</v>
      </c>
      <c r="BR22">
        <f t="shared" si="39"/>
        <v>0.64502040464292465</v>
      </c>
      <c r="BS22">
        <f t="shared" si="40"/>
        <v>0.67500963200022179</v>
      </c>
      <c r="BT22">
        <f t="shared" si="41"/>
        <v>0.54055713214668577</v>
      </c>
      <c r="BU22">
        <f t="shared" si="42"/>
        <v>0.74962323019992849</v>
      </c>
      <c r="BV22">
        <f t="shared" si="43"/>
        <v>0.56646174134485294</v>
      </c>
      <c r="BW22">
        <f t="shared" si="44"/>
        <v>0.42439340791456936</v>
      </c>
      <c r="BX22">
        <f t="shared" si="45"/>
        <v>0.57560659208543064</v>
      </c>
      <c r="DG22">
        <f t="shared" si="46"/>
        <v>799.98980645161282</v>
      </c>
      <c r="DH22">
        <f t="shared" si="47"/>
        <v>672.30133805453409</v>
      </c>
      <c r="DI22">
        <f t="shared" si="48"/>
        <v>0.84038738072995445</v>
      </c>
      <c r="DJ22">
        <f t="shared" si="49"/>
        <v>0.16034764480881228</v>
      </c>
      <c r="DK22">
        <v>6</v>
      </c>
      <c r="DL22">
        <v>0.5</v>
      </c>
      <c r="DM22" t="s">
        <v>403</v>
      </c>
      <c r="DN22">
        <v>2</v>
      </c>
      <c r="DO22" t="b">
        <v>0</v>
      </c>
      <c r="DP22">
        <v>1785166650.099999</v>
      </c>
      <c r="DQ22">
        <v>388.97980645161289</v>
      </c>
      <c r="DR22">
        <v>420.01248387096769</v>
      </c>
      <c r="DS22">
        <v>23.644635483870971</v>
      </c>
      <c r="DT22">
        <v>21.200293548387101</v>
      </c>
      <c r="DU22">
        <v>402.77380645161293</v>
      </c>
      <c r="DV22">
        <v>25.217751612903221</v>
      </c>
      <c r="DW22">
        <v>599.99425806451609</v>
      </c>
      <c r="DX22">
        <v>97.181274193548376</v>
      </c>
      <c r="DY22">
        <v>6.1735051612903227E-2</v>
      </c>
      <c r="DZ22">
        <v>27.718283870967749</v>
      </c>
      <c r="EA22">
        <v>27.971890322580649</v>
      </c>
      <c r="EB22">
        <v>999.90000000000032</v>
      </c>
      <c r="EC22">
        <v>0</v>
      </c>
      <c r="ED22">
        <v>0</v>
      </c>
      <c r="EE22">
        <v>9996.7741935483864</v>
      </c>
      <c r="EF22">
        <v>0</v>
      </c>
      <c r="EG22">
        <v>151.1566451612903</v>
      </c>
      <c r="EH22">
        <v>-31.0325064516129</v>
      </c>
      <c r="EI22">
        <v>398.3998387096774</v>
      </c>
      <c r="EJ22">
        <v>429.10961290322592</v>
      </c>
      <c r="EK22">
        <v>2.4443348387096768</v>
      </c>
      <c r="EL22">
        <v>420.01248387096769</v>
      </c>
      <c r="EM22">
        <v>21.200293548387101</v>
      </c>
      <c r="EN22">
        <v>2.2978151612903219</v>
      </c>
      <c r="EO22">
        <v>2.0602706451612911</v>
      </c>
      <c r="EP22">
        <v>19.661077419354839</v>
      </c>
      <c r="EQ22">
        <v>17.915077419354841</v>
      </c>
      <c r="ER22">
        <v>799.98980645161282</v>
      </c>
      <c r="ES22">
        <v>0.98700274193548387</v>
      </c>
      <c r="ET22">
        <v>1.299685806451613E-2</v>
      </c>
      <c r="EU22">
        <v>0</v>
      </c>
      <c r="EV22">
        <v>752.62945161290304</v>
      </c>
      <c r="EW22">
        <v>5.0010700000000003</v>
      </c>
      <c r="EX22">
        <v>9852.260000000002</v>
      </c>
      <c r="EY22">
        <v>7246.5358064516122</v>
      </c>
      <c r="EZ22">
        <v>43.809999999999967</v>
      </c>
      <c r="FA22">
        <v>46.443096774193521</v>
      </c>
      <c r="FB22">
        <v>45.395000000000003</v>
      </c>
      <c r="FC22">
        <v>46.436999999999969</v>
      </c>
      <c r="FD22">
        <v>45.281999999999996</v>
      </c>
      <c r="FE22">
        <v>784.65709677419363</v>
      </c>
      <c r="FF22">
        <v>10.33</v>
      </c>
      <c r="FG22">
        <v>0</v>
      </c>
      <c r="FH22">
        <v>180.60000014305109</v>
      </c>
      <c r="FI22">
        <v>0</v>
      </c>
      <c r="FJ22">
        <v>752.69188235294121</v>
      </c>
      <c r="FK22">
        <v>2.7450937579405359E-2</v>
      </c>
      <c r="FL22">
        <v>82.588222651918272</v>
      </c>
      <c r="FM22">
        <v>9834.4129411764698</v>
      </c>
      <c r="FN22">
        <v>10</v>
      </c>
      <c r="FO22">
        <v>1785166540.5</v>
      </c>
      <c r="FP22" t="s">
        <v>594</v>
      </c>
      <c r="FQ22">
        <v>1785166540.5</v>
      </c>
      <c r="FR22">
        <v>1785166536</v>
      </c>
      <c r="FS22">
        <v>20</v>
      </c>
      <c r="FT22">
        <v>-2.1999999999999999E-2</v>
      </c>
      <c r="FU22">
        <v>-1.0999999999999999E-2</v>
      </c>
      <c r="FV22">
        <v>-13.913</v>
      </c>
      <c r="FW22">
        <v>-1.6479999999999999</v>
      </c>
      <c r="FX22">
        <v>420</v>
      </c>
      <c r="FY22">
        <v>21</v>
      </c>
      <c r="FZ22">
        <v>0.26</v>
      </c>
      <c r="GA22">
        <v>0.12</v>
      </c>
      <c r="GB22">
        <v>388.97773333333328</v>
      </c>
      <c r="GC22">
        <v>0.26066295884233748</v>
      </c>
      <c r="GD22">
        <v>5.6283172934325672E-2</v>
      </c>
      <c r="GE22">
        <v>-1</v>
      </c>
      <c r="GF22">
        <v>752.6045294117647</v>
      </c>
      <c r="GG22">
        <v>0.48702825881503359</v>
      </c>
      <c r="GH22">
        <v>0.26959940165038893</v>
      </c>
      <c r="GI22">
        <v>1</v>
      </c>
      <c r="GJ22">
        <v>2.4690949999999998</v>
      </c>
      <c r="GK22">
        <v>-0.11804960600376151</v>
      </c>
      <c r="GL22">
        <v>0.1171714423398466</v>
      </c>
      <c r="GM22">
        <v>1</v>
      </c>
      <c r="GN22">
        <v>2</v>
      </c>
      <c r="GO22">
        <v>2</v>
      </c>
      <c r="GP22" t="s">
        <v>404</v>
      </c>
      <c r="GQ22">
        <v>3.2439399999999998</v>
      </c>
      <c r="GR22">
        <v>2.73813</v>
      </c>
      <c r="GS22">
        <v>8.5857699999999995E-2</v>
      </c>
      <c r="GT22">
        <v>8.9426699999999998E-2</v>
      </c>
      <c r="GU22">
        <v>0.11364200000000001</v>
      </c>
      <c r="GV22">
        <v>0.100073</v>
      </c>
      <c r="GW22">
        <v>22673.599999999999</v>
      </c>
      <c r="GX22">
        <v>30076.7</v>
      </c>
      <c r="GY22">
        <v>26931.8</v>
      </c>
      <c r="GZ22">
        <v>34004.699999999997</v>
      </c>
      <c r="HA22">
        <v>35004</v>
      </c>
      <c r="HB22">
        <v>38257.300000000003</v>
      </c>
      <c r="HC22">
        <v>39789.599999999999</v>
      </c>
      <c r="HD22">
        <v>42580.6</v>
      </c>
      <c r="HE22">
        <v>2.0179999999999998</v>
      </c>
      <c r="HF22">
        <v>1.4308000000000001</v>
      </c>
      <c r="HG22">
        <v>-0.113845</v>
      </c>
      <c r="HH22">
        <v>0</v>
      </c>
      <c r="HI22">
        <v>29.8614</v>
      </c>
      <c r="HJ22">
        <v>999.9</v>
      </c>
      <c r="HK22">
        <v>62.5</v>
      </c>
      <c r="HL22">
        <v>40.700000000000003</v>
      </c>
      <c r="HM22">
        <v>49.495199999999997</v>
      </c>
      <c r="HN22">
        <v>61.345599999999997</v>
      </c>
      <c r="HO22">
        <v>10.5168</v>
      </c>
      <c r="HP22">
        <v>1</v>
      </c>
      <c r="HQ22">
        <v>1.06976</v>
      </c>
      <c r="HR22">
        <v>6.8696999999999999</v>
      </c>
      <c r="HS22">
        <v>20.104700000000001</v>
      </c>
      <c r="HT22">
        <v>5.2053099999999999</v>
      </c>
      <c r="HU22">
        <v>11.914099999999999</v>
      </c>
      <c r="HV22">
        <v>4.9824000000000002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1.8632500000000001</v>
      </c>
      <c r="ID22">
        <v>1.86267</v>
      </c>
      <c r="IE22">
        <v>1.8623400000000001</v>
      </c>
      <c r="IF22">
        <v>1.8622099999999999</v>
      </c>
      <c r="IG22">
        <v>1.86276</v>
      </c>
      <c r="IH22">
        <v>1.86371</v>
      </c>
      <c r="II22">
        <v>1.8616900000000001</v>
      </c>
      <c r="IJ22">
        <v>0</v>
      </c>
      <c r="IK22">
        <v>0</v>
      </c>
      <c r="IL22">
        <v>0</v>
      </c>
      <c r="IM22">
        <v>4.5</v>
      </c>
      <c r="IN22" t="s">
        <v>405</v>
      </c>
      <c r="IO22" t="s">
        <v>406</v>
      </c>
      <c r="IP22" t="s">
        <v>407</v>
      </c>
      <c r="IQ22" t="s">
        <v>408</v>
      </c>
      <c r="IR22" t="s">
        <v>408</v>
      </c>
      <c r="IS22" t="s">
        <v>407</v>
      </c>
      <c r="IT22">
        <v>0</v>
      </c>
      <c r="IU22">
        <v>100</v>
      </c>
      <c r="IV22">
        <v>100</v>
      </c>
      <c r="IW22">
        <v>-13.795</v>
      </c>
      <c r="IX22">
        <v>-1.5730999999999999</v>
      </c>
      <c r="IY22">
        <v>-11.89497478953051</v>
      </c>
      <c r="IZ22">
        <v>-5.6215304933332991E-3</v>
      </c>
      <c r="JA22">
        <v>2.3979931213773931E-6</v>
      </c>
      <c r="JB22">
        <v>-3.6297174575716598E-10</v>
      </c>
      <c r="JC22">
        <v>-1.999355044846145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</v>
      </c>
      <c r="JL22">
        <v>2</v>
      </c>
      <c r="JM22">
        <v>1.09375</v>
      </c>
      <c r="JN22">
        <v>2.5439500000000002</v>
      </c>
      <c r="JO22">
        <v>1.50024</v>
      </c>
      <c r="JP22">
        <v>2.2729499999999998</v>
      </c>
      <c r="JQ22">
        <v>1.4477500000000001</v>
      </c>
      <c r="JR22">
        <v>2.50122</v>
      </c>
      <c r="JS22">
        <v>46.152700000000003</v>
      </c>
      <c r="JT22">
        <v>23.938700000000001</v>
      </c>
      <c r="JU22">
        <v>18</v>
      </c>
      <c r="JV22">
        <v>628.53099999999995</v>
      </c>
      <c r="JW22">
        <v>275.48099999999999</v>
      </c>
      <c r="JX22">
        <v>23.203600000000002</v>
      </c>
      <c r="JY22">
        <v>39.709600000000002</v>
      </c>
      <c r="JZ22">
        <v>30.0002</v>
      </c>
      <c r="KA22">
        <v>40.016300000000001</v>
      </c>
      <c r="KB22">
        <v>39.586500000000001</v>
      </c>
      <c r="KC22">
        <v>21.870799999999999</v>
      </c>
      <c r="KD22">
        <v>55.6496</v>
      </c>
      <c r="KE22">
        <v>0</v>
      </c>
      <c r="KF22">
        <v>23.194900000000001</v>
      </c>
      <c r="KG22">
        <v>420</v>
      </c>
      <c r="KH22">
        <v>21.073599999999999</v>
      </c>
      <c r="KI22">
        <v>99.424999999999997</v>
      </c>
      <c r="KJ22">
        <v>96.360600000000005</v>
      </c>
    </row>
    <row r="23" spans="1:296" x14ac:dyDescent="0.3">
      <c r="A23">
        <v>7</v>
      </c>
      <c r="B23">
        <v>1785166839.5999999</v>
      </c>
      <c r="C23">
        <v>1089.099999904633</v>
      </c>
      <c r="D23" t="s">
        <v>595</v>
      </c>
      <c r="E23" t="s">
        <v>596</v>
      </c>
      <c r="F23">
        <v>15</v>
      </c>
      <c r="H23">
        <v>1785166831.849999</v>
      </c>
      <c r="I23">
        <f t="shared" si="0"/>
        <v>2.3120389601452547E-3</v>
      </c>
      <c r="J23">
        <f t="shared" si="1"/>
        <v>2.3120389601452547</v>
      </c>
      <c r="K23">
        <f t="shared" si="2"/>
        <v>26.743317146855912</v>
      </c>
      <c r="L23">
        <f t="shared" si="3"/>
        <v>392.33920000000001</v>
      </c>
      <c r="M23">
        <f t="shared" si="4"/>
        <v>93.823173568242723</v>
      </c>
      <c r="N23">
        <f t="shared" si="5"/>
        <v>9.1241046593329074</v>
      </c>
      <c r="O23">
        <f t="shared" si="6"/>
        <v>38.154155168874162</v>
      </c>
      <c r="P23">
        <f t="shared" si="7"/>
        <v>0.14997083263184821</v>
      </c>
      <c r="Q23">
        <f t="shared" si="8"/>
        <v>2.8798243737102061</v>
      </c>
      <c r="R23">
        <f t="shared" si="9"/>
        <v>0.14576324875451463</v>
      </c>
      <c r="S23">
        <f t="shared" si="10"/>
        <v>9.1470232427944109E-2</v>
      </c>
      <c r="T23">
        <f t="shared" si="11"/>
        <v>96.344410014656532</v>
      </c>
      <c r="U23">
        <f t="shared" si="12"/>
        <v>27.745194747092025</v>
      </c>
      <c r="V23">
        <f t="shared" si="13"/>
        <v>28.00461666666666</v>
      </c>
      <c r="W23">
        <f t="shared" si="14"/>
        <v>3.7958611267054678</v>
      </c>
      <c r="X23">
        <f t="shared" si="15"/>
        <v>61.441496940373298</v>
      </c>
      <c r="Y23">
        <f t="shared" si="16"/>
        <v>2.3017124038486334</v>
      </c>
      <c r="Z23">
        <f t="shared" si="17"/>
        <v>3.7461854259220932</v>
      </c>
      <c r="AA23">
        <f t="shared" si="18"/>
        <v>1.4941487228568344</v>
      </c>
      <c r="AB23">
        <f t="shared" si="19"/>
        <v>-101.96091814240573</v>
      </c>
      <c r="AC23">
        <f t="shared" si="20"/>
        <v>-35.054981196731866</v>
      </c>
      <c r="AD23">
        <f t="shared" si="21"/>
        <v>-2.6504873114333947</v>
      </c>
      <c r="AE23">
        <f t="shared" si="22"/>
        <v>-43.32197663591446</v>
      </c>
      <c r="AF23">
        <f t="shared" si="23"/>
        <v>26.743317146855912</v>
      </c>
      <c r="AG23">
        <f t="shared" si="24"/>
        <v>2.3120389601452547</v>
      </c>
      <c r="AH23">
        <f t="shared" si="25"/>
        <v>26.611492601582338</v>
      </c>
      <c r="AI23">
        <v>429.15665595666479</v>
      </c>
      <c r="AJ23">
        <v>401.92915757575759</v>
      </c>
      <c r="AK23">
        <v>7.5165408479956324E-3</v>
      </c>
      <c r="AL23">
        <v>67.052375195462204</v>
      </c>
      <c r="AM23">
        <f t="shared" si="26"/>
        <v>2.2909197644847596</v>
      </c>
      <c r="AN23">
        <v>21.414420447465918</v>
      </c>
      <c r="AO23">
        <v>23.65306363636363</v>
      </c>
      <c r="AP23">
        <v>-3.5845340493687261E-4</v>
      </c>
      <c r="AQ23">
        <v>78.336381110084247</v>
      </c>
      <c r="AR23">
        <v>27</v>
      </c>
      <c r="AS23">
        <v>4</v>
      </c>
      <c r="AT23">
        <f t="shared" si="27"/>
        <v>1</v>
      </c>
      <c r="AU23">
        <f t="shared" si="28"/>
        <v>0</v>
      </c>
      <c r="AV23">
        <f t="shared" si="29"/>
        <v>51259.297802371599</v>
      </c>
      <c r="AW23" t="s">
        <v>569</v>
      </c>
      <c r="AX23">
        <v>13243.6</v>
      </c>
      <c r="AY23">
        <v>558.82352941176475</v>
      </c>
      <c r="AZ23">
        <v>2344.84</v>
      </c>
      <c r="BA23">
        <f t="shared" si="30"/>
        <v>0.7616794623890053</v>
      </c>
      <c r="BB23">
        <v>-4.0588593423444159</v>
      </c>
      <c r="BC23" t="s">
        <v>597</v>
      </c>
      <c r="BD23">
        <v>13182</v>
      </c>
      <c r="BE23">
        <v>750.86705882352942</v>
      </c>
      <c r="BF23">
        <v>1508.64</v>
      </c>
      <c r="BG23">
        <f t="shared" si="31"/>
        <v>0.50228877742633804</v>
      </c>
      <c r="BH23">
        <v>0.5</v>
      </c>
      <c r="BI23">
        <f t="shared" si="32"/>
        <v>504.29548249464068</v>
      </c>
      <c r="BJ23">
        <f t="shared" si="33"/>
        <v>26.743317146855912</v>
      </c>
      <c r="BK23">
        <f t="shared" si="34"/>
        <v>126.65098068192916</v>
      </c>
      <c r="BL23">
        <f t="shared" si="35"/>
        <v>6.1079620100558153E-2</v>
      </c>
      <c r="BM23">
        <f t="shared" si="36"/>
        <v>0.55427404814932657</v>
      </c>
      <c r="BN23">
        <f t="shared" si="37"/>
        <v>493.61898439174502</v>
      </c>
      <c r="BO23" t="s">
        <v>402</v>
      </c>
      <c r="BP23">
        <v>0</v>
      </c>
      <c r="BQ23">
        <f t="shared" si="38"/>
        <v>493.61898439174502</v>
      </c>
      <c r="BR23">
        <f t="shared" si="39"/>
        <v>0.67280531843796731</v>
      </c>
      <c r="BS23">
        <f t="shared" si="40"/>
        <v>0.74655886875639954</v>
      </c>
      <c r="BT23">
        <f t="shared" si="41"/>
        <v>0.45170187295288999</v>
      </c>
      <c r="BU23">
        <f t="shared" si="42"/>
        <v>0.79780985552626893</v>
      </c>
      <c r="BV23">
        <f t="shared" si="43"/>
        <v>0.46819277076688576</v>
      </c>
      <c r="BW23">
        <f t="shared" si="44"/>
        <v>0.49078678609443893</v>
      </c>
      <c r="BX23">
        <f t="shared" si="45"/>
        <v>0.50921321390556107</v>
      </c>
      <c r="DG23">
        <f t="shared" si="46"/>
        <v>599.9903333333333</v>
      </c>
      <c r="DH23">
        <f t="shared" si="47"/>
        <v>504.29548249464068</v>
      </c>
      <c r="DI23">
        <f t="shared" si="48"/>
        <v>0.84050601231015509</v>
      </c>
      <c r="DJ23">
        <f t="shared" si="49"/>
        <v>0.16057660375859922</v>
      </c>
      <c r="DK23">
        <v>6</v>
      </c>
      <c r="DL23">
        <v>0.5</v>
      </c>
      <c r="DM23" t="s">
        <v>403</v>
      </c>
      <c r="DN23">
        <v>2</v>
      </c>
      <c r="DO23" t="b">
        <v>0</v>
      </c>
      <c r="DP23">
        <v>1785166831.849999</v>
      </c>
      <c r="DQ23">
        <v>392.33920000000001</v>
      </c>
      <c r="DR23">
        <v>419.99076666666667</v>
      </c>
      <c r="DS23">
        <v>23.668510000000001</v>
      </c>
      <c r="DT23">
        <v>21.411100000000001</v>
      </c>
      <c r="DU23">
        <v>406.18416666666673</v>
      </c>
      <c r="DV23">
        <v>25.263923333333331</v>
      </c>
      <c r="DW23">
        <v>599.97513333333347</v>
      </c>
      <c r="DX23">
        <v>97.185770000000005</v>
      </c>
      <c r="DY23">
        <v>6.2109306666666662E-2</v>
      </c>
      <c r="DZ23">
        <v>27.778829999999999</v>
      </c>
      <c r="EA23">
        <v>28.00461666666666</v>
      </c>
      <c r="EB23">
        <v>999.9000000000002</v>
      </c>
      <c r="EC23">
        <v>0</v>
      </c>
      <c r="ED23">
        <v>0</v>
      </c>
      <c r="EE23">
        <v>10000.66666666667</v>
      </c>
      <c r="EF23">
        <v>0</v>
      </c>
      <c r="EG23">
        <v>152.60666666666671</v>
      </c>
      <c r="EH23">
        <v>-27.65151333333333</v>
      </c>
      <c r="EI23">
        <v>401.85043333333329</v>
      </c>
      <c r="EJ23">
        <v>429.17999999999989</v>
      </c>
      <c r="EK23">
        <v>2.2574023333333342</v>
      </c>
      <c r="EL23">
        <v>419.99076666666667</v>
      </c>
      <c r="EM23">
        <v>21.411100000000001</v>
      </c>
      <c r="EN23">
        <v>2.3002413333333331</v>
      </c>
      <c r="EO23">
        <v>2.0808550000000001</v>
      </c>
      <c r="EP23">
        <v>19.678080000000001</v>
      </c>
      <c r="EQ23">
        <v>18.07338</v>
      </c>
      <c r="ER23">
        <v>599.9903333333333</v>
      </c>
      <c r="ES23">
        <v>0.98298330000000034</v>
      </c>
      <c r="ET23">
        <v>1.7016413333333331E-2</v>
      </c>
      <c r="EU23">
        <v>0</v>
      </c>
      <c r="EV23">
        <v>750.92256666666651</v>
      </c>
      <c r="EW23">
        <v>5.0010700000000003</v>
      </c>
      <c r="EX23">
        <v>8151.8106666666663</v>
      </c>
      <c r="EY23">
        <v>5414.9886666666671</v>
      </c>
      <c r="EZ23">
        <v>43.311999999999983</v>
      </c>
      <c r="FA23">
        <v>46.358199999999997</v>
      </c>
      <c r="FB23">
        <v>45.082999999999977</v>
      </c>
      <c r="FC23">
        <v>46.375</v>
      </c>
      <c r="FD23">
        <v>44.936999999999983</v>
      </c>
      <c r="FE23">
        <v>584.86433333333332</v>
      </c>
      <c r="FF23">
        <v>10.119999999999999</v>
      </c>
      <c r="FG23">
        <v>0</v>
      </c>
      <c r="FH23">
        <v>180.79999995231631</v>
      </c>
      <c r="FI23">
        <v>0</v>
      </c>
      <c r="FJ23">
        <v>750.86705882352942</v>
      </c>
      <c r="FK23">
        <v>0.40955881246660242</v>
      </c>
      <c r="FL23">
        <v>-208.76715528182271</v>
      </c>
      <c r="FM23">
        <v>8150.8164705882346</v>
      </c>
      <c r="FN23">
        <v>10</v>
      </c>
      <c r="FO23">
        <v>1785166726.5999999</v>
      </c>
      <c r="FP23" t="s">
        <v>598</v>
      </c>
      <c r="FQ23">
        <v>1785166726.5999999</v>
      </c>
      <c r="FR23">
        <v>1785166722.5999999</v>
      </c>
      <c r="FS23">
        <v>21</v>
      </c>
      <c r="FT23">
        <v>-3.7999999999999999E-2</v>
      </c>
      <c r="FU23">
        <v>-2.4E-2</v>
      </c>
      <c r="FV23">
        <v>-13.951000000000001</v>
      </c>
      <c r="FW23">
        <v>-1.66</v>
      </c>
      <c r="FX23">
        <v>420</v>
      </c>
      <c r="FY23">
        <v>21</v>
      </c>
      <c r="FZ23">
        <v>0.23</v>
      </c>
      <c r="GA23">
        <v>0.1</v>
      </c>
      <c r="GB23">
        <v>392.33458064516128</v>
      </c>
      <c r="GC23">
        <v>0.37741935483774619</v>
      </c>
      <c r="GD23">
        <v>5.3005644369896028E-2</v>
      </c>
      <c r="GE23">
        <v>-1</v>
      </c>
      <c r="GF23">
        <v>751.0093823529412</v>
      </c>
      <c r="GG23">
        <v>-1.319679148648123</v>
      </c>
      <c r="GH23">
        <v>0.2376370211188131</v>
      </c>
      <c r="GI23">
        <v>1</v>
      </c>
      <c r="GJ23">
        <v>2.252738048780488</v>
      </c>
      <c r="GK23">
        <v>5.2299094076656442E-2</v>
      </c>
      <c r="GL23">
        <v>1.095831263037049E-2</v>
      </c>
      <c r="GM23">
        <v>1</v>
      </c>
      <c r="GN23">
        <v>2</v>
      </c>
      <c r="GO23">
        <v>2</v>
      </c>
      <c r="GP23" t="s">
        <v>404</v>
      </c>
      <c r="GQ23">
        <v>3.2446899999999999</v>
      </c>
      <c r="GR23">
        <v>2.7398699999999998</v>
      </c>
      <c r="GS23">
        <v>8.6389999999999995E-2</v>
      </c>
      <c r="GT23">
        <v>8.9374599999999998E-2</v>
      </c>
      <c r="GU23">
        <v>0.113708</v>
      </c>
      <c r="GV23">
        <v>0.10162599999999999</v>
      </c>
      <c r="GW23">
        <v>22655.4</v>
      </c>
      <c r="GX23">
        <v>30072.3</v>
      </c>
      <c r="GY23">
        <v>26926.400000000001</v>
      </c>
      <c r="GZ23">
        <v>33998.5</v>
      </c>
      <c r="HA23">
        <v>34995.5</v>
      </c>
      <c r="HB23">
        <v>38186.400000000001</v>
      </c>
      <c r="HC23">
        <v>39782.199999999997</v>
      </c>
      <c r="HD23">
        <v>42574.5</v>
      </c>
      <c r="HE23">
        <v>2.0165999999999999</v>
      </c>
      <c r="HF23">
        <v>1.4288000000000001</v>
      </c>
      <c r="HG23">
        <v>-0.117123</v>
      </c>
      <c r="HH23">
        <v>0</v>
      </c>
      <c r="HI23">
        <v>29.910499999999999</v>
      </c>
      <c r="HJ23">
        <v>999.9</v>
      </c>
      <c r="HK23">
        <v>62.3</v>
      </c>
      <c r="HL23">
        <v>40.9</v>
      </c>
      <c r="HM23">
        <v>49.854300000000002</v>
      </c>
      <c r="HN23">
        <v>61.365600000000001</v>
      </c>
      <c r="HO23">
        <v>10.584899999999999</v>
      </c>
      <c r="HP23">
        <v>1</v>
      </c>
      <c r="HQ23">
        <v>1.0822400000000001</v>
      </c>
      <c r="HR23">
        <v>7.07965</v>
      </c>
      <c r="HS23">
        <v>20.097899999999999</v>
      </c>
      <c r="HT23">
        <v>5.2088999999999999</v>
      </c>
      <c r="HU23">
        <v>11.914099999999999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1.8675200000000001</v>
      </c>
      <c r="IC23">
        <v>1.8632200000000001</v>
      </c>
      <c r="ID23">
        <v>1.8626400000000001</v>
      </c>
      <c r="IE23">
        <v>1.8622799999999999</v>
      </c>
      <c r="IF23">
        <v>1.8622799999999999</v>
      </c>
      <c r="IG23">
        <v>1.86276</v>
      </c>
      <c r="IH23">
        <v>1.86371</v>
      </c>
      <c r="II23">
        <v>1.8616600000000001</v>
      </c>
      <c r="IJ23">
        <v>0</v>
      </c>
      <c r="IK23">
        <v>0</v>
      </c>
      <c r="IL23">
        <v>0</v>
      </c>
      <c r="IM23">
        <v>4.5</v>
      </c>
      <c r="IN23" t="s">
        <v>405</v>
      </c>
      <c r="IO23" t="s">
        <v>406</v>
      </c>
      <c r="IP23" t="s">
        <v>407</v>
      </c>
      <c r="IQ23" t="s">
        <v>408</v>
      </c>
      <c r="IR23" t="s">
        <v>408</v>
      </c>
      <c r="IS23" t="s">
        <v>407</v>
      </c>
      <c r="IT23">
        <v>0</v>
      </c>
      <c r="IU23">
        <v>100</v>
      </c>
      <c r="IV23">
        <v>100</v>
      </c>
      <c r="IW23">
        <v>-13.845000000000001</v>
      </c>
      <c r="IX23">
        <v>-1.5958000000000001</v>
      </c>
      <c r="IY23">
        <v>-11.93291966126143</v>
      </c>
      <c r="IZ23">
        <v>-5.6215304933332991E-3</v>
      </c>
      <c r="JA23">
        <v>2.3979931213773931E-6</v>
      </c>
      <c r="JB23">
        <v>-3.6297174575716598E-10</v>
      </c>
      <c r="JC23">
        <v>-2.0229646617858119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1.9</v>
      </c>
      <c r="JM23">
        <v>1.09375</v>
      </c>
      <c r="JN23">
        <v>2.5537100000000001</v>
      </c>
      <c r="JO23">
        <v>1.50024</v>
      </c>
      <c r="JP23">
        <v>2.2717299999999998</v>
      </c>
      <c r="JQ23">
        <v>1.4477500000000001</v>
      </c>
      <c r="JR23">
        <v>2.34375</v>
      </c>
      <c r="JS23">
        <v>46.269100000000002</v>
      </c>
      <c r="JT23">
        <v>23.947399999999998</v>
      </c>
      <c r="JU23">
        <v>18</v>
      </c>
      <c r="JV23">
        <v>628.75099999999998</v>
      </c>
      <c r="JW23">
        <v>275.11399999999998</v>
      </c>
      <c r="JX23">
        <v>23.246099999999998</v>
      </c>
      <c r="JY23">
        <v>39.826799999999999</v>
      </c>
      <c r="JZ23">
        <v>30.001200000000001</v>
      </c>
      <c r="KA23">
        <v>40.163800000000002</v>
      </c>
      <c r="KB23">
        <v>39.739199999999997</v>
      </c>
      <c r="KC23">
        <v>21.877099999999999</v>
      </c>
      <c r="KD23">
        <v>55.360199999999999</v>
      </c>
      <c r="KE23">
        <v>0</v>
      </c>
      <c r="KF23">
        <v>23.23</v>
      </c>
      <c r="KG23">
        <v>420</v>
      </c>
      <c r="KH23">
        <v>21.457899999999999</v>
      </c>
      <c r="KI23">
        <v>99.405900000000003</v>
      </c>
      <c r="KJ23">
        <v>96.345100000000002</v>
      </c>
    </row>
    <row r="24" spans="1:296" x14ac:dyDescent="0.3">
      <c r="A24">
        <v>8</v>
      </c>
      <c r="B24">
        <v>1785167021.0999999</v>
      </c>
      <c r="C24">
        <v>1270.599999904633</v>
      </c>
      <c r="D24" t="s">
        <v>599</v>
      </c>
      <c r="E24" t="s">
        <v>600</v>
      </c>
      <c r="F24">
        <v>15</v>
      </c>
      <c r="H24">
        <v>1785167013.099999</v>
      </c>
      <c r="I24">
        <f t="shared" si="0"/>
        <v>1.7961780551154544E-3</v>
      </c>
      <c r="J24">
        <f t="shared" si="1"/>
        <v>1.7961780551154543</v>
      </c>
      <c r="K24">
        <f t="shared" si="2"/>
        <v>19.408741965995368</v>
      </c>
      <c r="L24">
        <f t="shared" si="3"/>
        <v>399.8930645161289</v>
      </c>
      <c r="M24">
        <f t="shared" si="4"/>
        <v>118.30304545930404</v>
      </c>
      <c r="N24">
        <f t="shared" si="5"/>
        <v>11.505420364527945</v>
      </c>
      <c r="O24">
        <f t="shared" si="6"/>
        <v>38.891118907839683</v>
      </c>
      <c r="P24">
        <f t="shared" si="7"/>
        <v>0.11506837156200528</v>
      </c>
      <c r="Q24">
        <f t="shared" si="8"/>
        <v>2.879811097673838</v>
      </c>
      <c r="R24">
        <f t="shared" si="9"/>
        <v>0.11257378669304241</v>
      </c>
      <c r="S24">
        <f t="shared" si="10"/>
        <v>7.0578240922938407E-2</v>
      </c>
      <c r="T24">
        <f t="shared" si="11"/>
        <v>64.412214267890221</v>
      </c>
      <c r="U24">
        <f t="shared" si="12"/>
        <v>27.661828594940328</v>
      </c>
      <c r="V24">
        <f t="shared" si="13"/>
        <v>28.016341935483869</v>
      </c>
      <c r="W24">
        <f t="shared" si="14"/>
        <v>3.7984564453155589</v>
      </c>
      <c r="X24">
        <f t="shared" si="15"/>
        <v>61.37279243515853</v>
      </c>
      <c r="Y24">
        <f t="shared" si="16"/>
        <v>2.2953323520671725</v>
      </c>
      <c r="Z24">
        <f t="shared" si="17"/>
        <v>3.7399835676244209</v>
      </c>
      <c r="AA24">
        <f t="shared" si="18"/>
        <v>1.5031240932483865</v>
      </c>
      <c r="AB24">
        <f t="shared" si="19"/>
        <v>-79.211452230591533</v>
      </c>
      <c r="AC24">
        <f t="shared" si="20"/>
        <v>-41.280166216128734</v>
      </c>
      <c r="AD24">
        <f t="shared" si="21"/>
        <v>-3.1209255807328597</v>
      </c>
      <c r="AE24">
        <f t="shared" si="22"/>
        <v>-59.200329759562905</v>
      </c>
      <c r="AF24">
        <f t="shared" si="23"/>
        <v>19.408741965995368</v>
      </c>
      <c r="AG24">
        <f t="shared" si="24"/>
        <v>1.7961780551154543</v>
      </c>
      <c r="AH24">
        <f t="shared" si="25"/>
        <v>19.462562984073408</v>
      </c>
      <c r="AI24">
        <v>429.4629685723811</v>
      </c>
      <c r="AJ24">
        <v>409.59986666666651</v>
      </c>
      <c r="AK24">
        <v>-7.807116264516592E-3</v>
      </c>
      <c r="AL24">
        <v>67.050968472181538</v>
      </c>
      <c r="AM24">
        <f t="shared" si="26"/>
        <v>1.7942291282740066</v>
      </c>
      <c r="AN24">
        <v>21.852737563165132</v>
      </c>
      <c r="AO24">
        <v>23.604184242424239</v>
      </c>
      <c r="AP24">
        <v>8.0208653260956995E-5</v>
      </c>
      <c r="AQ24">
        <v>78.335397882457059</v>
      </c>
      <c r="AR24">
        <v>26</v>
      </c>
      <c r="AS24">
        <v>4</v>
      </c>
      <c r="AT24">
        <f t="shared" si="27"/>
        <v>1</v>
      </c>
      <c r="AU24">
        <f t="shared" si="28"/>
        <v>0</v>
      </c>
      <c r="AV24">
        <f t="shared" si="29"/>
        <v>51263.881481498771</v>
      </c>
      <c r="AW24" t="s">
        <v>569</v>
      </c>
      <c r="AX24">
        <v>13243.6</v>
      </c>
      <c r="AY24">
        <v>558.82352941176475</v>
      </c>
      <c r="AZ24">
        <v>2344.84</v>
      </c>
      <c r="BA24">
        <f t="shared" si="30"/>
        <v>0.7616794623890053</v>
      </c>
      <c r="BB24">
        <v>-4.0588593423444159</v>
      </c>
      <c r="BC24" t="s">
        <v>601</v>
      </c>
      <c r="BD24">
        <v>13183.8</v>
      </c>
      <c r="BE24">
        <v>723.5237647058824</v>
      </c>
      <c r="BF24">
        <v>1638.26</v>
      </c>
      <c r="BG24">
        <f t="shared" si="31"/>
        <v>0.55835840177634655</v>
      </c>
      <c r="BH24">
        <v>0.5</v>
      </c>
      <c r="BI24">
        <f t="shared" si="32"/>
        <v>336.29724138232649</v>
      </c>
      <c r="BJ24">
        <f t="shared" si="33"/>
        <v>19.408741965995368</v>
      </c>
      <c r="BK24">
        <f t="shared" si="34"/>
        <v>93.887195110015028</v>
      </c>
      <c r="BL24">
        <f t="shared" si="35"/>
        <v>6.9782318795949191E-2</v>
      </c>
      <c r="BM24">
        <f t="shared" si="36"/>
        <v>0.43129906119907718</v>
      </c>
      <c r="BN24">
        <f t="shared" si="37"/>
        <v>506.73730691982144</v>
      </c>
      <c r="BO24" t="s">
        <v>402</v>
      </c>
      <c r="BP24">
        <v>0</v>
      </c>
      <c r="BQ24">
        <f t="shared" si="38"/>
        <v>506.73730691982144</v>
      </c>
      <c r="BR24">
        <f t="shared" si="39"/>
        <v>0.69068566227593831</v>
      </c>
      <c r="BS24">
        <f t="shared" si="40"/>
        <v>0.80841174541896721</v>
      </c>
      <c r="BT24">
        <f t="shared" si="41"/>
        <v>0.38440724920322988</v>
      </c>
      <c r="BU24">
        <f t="shared" si="42"/>
        <v>0.84742016803975051</v>
      </c>
      <c r="BV24">
        <f t="shared" si="43"/>
        <v>0.39561785215076084</v>
      </c>
      <c r="BW24">
        <f t="shared" si="44"/>
        <v>0.56619065017510017</v>
      </c>
      <c r="BX24">
        <f t="shared" si="45"/>
        <v>0.43380934982489983</v>
      </c>
      <c r="DG24">
        <f t="shared" si="46"/>
        <v>400.00099999999998</v>
      </c>
      <c r="DH24">
        <f t="shared" si="47"/>
        <v>336.29724138232649</v>
      </c>
      <c r="DI24">
        <f t="shared" si="48"/>
        <v>0.84074100160331233</v>
      </c>
      <c r="DJ24">
        <f t="shared" si="49"/>
        <v>0.16103013309439282</v>
      </c>
      <c r="DK24">
        <v>6</v>
      </c>
      <c r="DL24">
        <v>0.5</v>
      </c>
      <c r="DM24" t="s">
        <v>403</v>
      </c>
      <c r="DN24">
        <v>2</v>
      </c>
      <c r="DO24" t="b">
        <v>0</v>
      </c>
      <c r="DP24">
        <v>1785167013.099999</v>
      </c>
      <c r="DQ24">
        <v>399.8930645161289</v>
      </c>
      <c r="DR24">
        <v>420.01980645161291</v>
      </c>
      <c r="DS24">
        <v>23.60146774193549</v>
      </c>
      <c r="DT24">
        <v>21.8477064516129</v>
      </c>
      <c r="DU24">
        <v>413.67174193548391</v>
      </c>
      <c r="DV24">
        <v>25.21076129032258</v>
      </c>
      <c r="DW24">
        <v>600.00832258064509</v>
      </c>
      <c r="DX24">
        <v>97.191506451612909</v>
      </c>
      <c r="DY24">
        <v>6.2290522580645158E-2</v>
      </c>
      <c r="DZ24">
        <v>27.750458064516121</v>
      </c>
      <c r="EA24">
        <v>28.016341935483869</v>
      </c>
      <c r="EB24">
        <v>999.90000000000032</v>
      </c>
      <c r="EC24">
        <v>0</v>
      </c>
      <c r="ED24">
        <v>0</v>
      </c>
      <c r="EE24">
        <v>10000</v>
      </c>
      <c r="EF24">
        <v>0</v>
      </c>
      <c r="EG24">
        <v>144.90745161290329</v>
      </c>
      <c r="EH24">
        <v>-20.126703225806452</v>
      </c>
      <c r="EI24">
        <v>409.55929032258052</v>
      </c>
      <c r="EJ24">
        <v>429.40116129032259</v>
      </c>
      <c r="EK24">
        <v>1.7537467741935491</v>
      </c>
      <c r="EL24">
        <v>420.01980645161291</v>
      </c>
      <c r="EM24">
        <v>21.8477064516129</v>
      </c>
      <c r="EN24">
        <v>2.293862580645162</v>
      </c>
      <c r="EO24">
        <v>2.1234125806451609</v>
      </c>
      <c r="EP24">
        <v>19.633364516129031</v>
      </c>
      <c r="EQ24">
        <v>18.395912903225799</v>
      </c>
      <c r="ER24">
        <v>400.00099999999998</v>
      </c>
      <c r="ES24">
        <v>0.97498238709677421</v>
      </c>
      <c r="ET24">
        <v>2.50177E-2</v>
      </c>
      <c r="EU24">
        <v>0</v>
      </c>
      <c r="EV24">
        <v>723.70658064516147</v>
      </c>
      <c r="EW24">
        <v>5.0010700000000003</v>
      </c>
      <c r="EX24">
        <v>6418.5864516129031</v>
      </c>
      <c r="EY24">
        <v>3583.657741935484</v>
      </c>
      <c r="EZ24">
        <v>42.832322580645133</v>
      </c>
      <c r="FA24">
        <v>46.195129032258038</v>
      </c>
      <c r="FB24">
        <v>44.762</v>
      </c>
      <c r="FC24">
        <v>46.186999999999969</v>
      </c>
      <c r="FD24">
        <v>44.561999999999969</v>
      </c>
      <c r="FE24">
        <v>385.1180645161291</v>
      </c>
      <c r="FF24">
        <v>9.879999999999999</v>
      </c>
      <c r="FG24">
        <v>0</v>
      </c>
      <c r="FH24">
        <v>180.70000004768369</v>
      </c>
      <c r="FI24">
        <v>0</v>
      </c>
      <c r="FJ24">
        <v>723.5237647058824</v>
      </c>
      <c r="FK24">
        <v>-3.3350490171339588</v>
      </c>
      <c r="FL24">
        <v>593.48529111161713</v>
      </c>
      <c r="FM24">
        <v>6405.5182352941174</v>
      </c>
      <c r="FN24">
        <v>10</v>
      </c>
      <c r="FO24">
        <v>1785166907.5999999</v>
      </c>
      <c r="FP24" t="s">
        <v>602</v>
      </c>
      <c r="FQ24">
        <v>1785166907.5999999</v>
      </c>
      <c r="FR24">
        <v>1785166907.0999999</v>
      </c>
      <c r="FS24">
        <v>22</v>
      </c>
      <c r="FT24">
        <v>9.5000000000000001E-2</v>
      </c>
      <c r="FU24">
        <v>-1.2E-2</v>
      </c>
      <c r="FV24">
        <v>-13.855</v>
      </c>
      <c r="FW24">
        <v>-1.663</v>
      </c>
      <c r="FX24">
        <v>420</v>
      </c>
      <c r="FY24">
        <v>22</v>
      </c>
      <c r="FZ24">
        <v>0.48</v>
      </c>
      <c r="GA24">
        <v>0.18</v>
      </c>
      <c r="GB24">
        <v>399.89196666666652</v>
      </c>
      <c r="GC24">
        <v>0.83684983314758488</v>
      </c>
      <c r="GD24">
        <v>7.6761311146240824E-2</v>
      </c>
      <c r="GE24">
        <v>-1</v>
      </c>
      <c r="GF24">
        <v>723.89847058823534</v>
      </c>
      <c r="GG24">
        <v>-4.0528342266802726</v>
      </c>
      <c r="GH24">
        <v>0.43757810968571131</v>
      </c>
      <c r="GI24">
        <v>1</v>
      </c>
      <c r="GJ24">
        <v>1.74864025</v>
      </c>
      <c r="GK24">
        <v>9.4729868667915704E-2</v>
      </c>
      <c r="GL24">
        <v>1.108441394199533E-2</v>
      </c>
      <c r="GM24">
        <v>1</v>
      </c>
      <c r="GN24">
        <v>2</v>
      </c>
      <c r="GO24">
        <v>2</v>
      </c>
      <c r="GP24" t="s">
        <v>404</v>
      </c>
      <c r="GQ24">
        <v>3.2444799999999998</v>
      </c>
      <c r="GR24">
        <v>2.7396199999999999</v>
      </c>
      <c r="GS24">
        <v>8.7571300000000005E-2</v>
      </c>
      <c r="GT24">
        <v>8.9368400000000001E-2</v>
      </c>
      <c r="GU24">
        <v>0.11355899999999999</v>
      </c>
      <c r="GV24">
        <v>0.103086</v>
      </c>
      <c r="GW24">
        <v>22619.599999999999</v>
      </c>
      <c r="GX24">
        <v>30062.799999999999</v>
      </c>
      <c r="GY24">
        <v>26919.5</v>
      </c>
      <c r="GZ24">
        <v>33988.6</v>
      </c>
      <c r="HA24">
        <v>34993.4</v>
      </c>
      <c r="HB24">
        <v>38113.699999999997</v>
      </c>
      <c r="HC24">
        <v>39772.400000000001</v>
      </c>
      <c r="HD24">
        <v>42561.9</v>
      </c>
      <c r="HE24">
        <v>2.0152000000000001</v>
      </c>
      <c r="HF24">
        <v>1.4254</v>
      </c>
      <c r="HG24">
        <v>-0.11935800000000001</v>
      </c>
      <c r="HH24">
        <v>0</v>
      </c>
      <c r="HI24">
        <v>29.983000000000001</v>
      </c>
      <c r="HJ24">
        <v>999.9</v>
      </c>
      <c r="HK24">
        <v>62.1</v>
      </c>
      <c r="HL24">
        <v>41.1</v>
      </c>
      <c r="HM24">
        <v>50.221800000000002</v>
      </c>
      <c r="HN24">
        <v>61.435699999999997</v>
      </c>
      <c r="HO24">
        <v>10.396599999999999</v>
      </c>
      <c r="HP24">
        <v>1</v>
      </c>
      <c r="HQ24">
        <v>1.09884</v>
      </c>
      <c r="HR24">
        <v>7.2617399999999996</v>
      </c>
      <c r="HS24">
        <v>20.091899999999999</v>
      </c>
      <c r="HT24">
        <v>5.2100999999999997</v>
      </c>
      <c r="HU24">
        <v>11.914099999999999</v>
      </c>
      <c r="HV24">
        <v>4.9832000000000001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1.8675200000000001</v>
      </c>
      <c r="IC24">
        <v>1.8631599999999999</v>
      </c>
      <c r="ID24">
        <v>1.86267</v>
      </c>
      <c r="IE24">
        <v>1.8622799999999999</v>
      </c>
      <c r="IF24">
        <v>1.8622399999999999</v>
      </c>
      <c r="IG24">
        <v>1.86267</v>
      </c>
      <c r="IH24">
        <v>1.86371</v>
      </c>
      <c r="II24">
        <v>1.8616299999999999</v>
      </c>
      <c r="IJ24">
        <v>0</v>
      </c>
      <c r="IK24">
        <v>0</v>
      </c>
      <c r="IL24">
        <v>0</v>
      </c>
      <c r="IM24">
        <v>4.5</v>
      </c>
      <c r="IN24" t="s">
        <v>405</v>
      </c>
      <c r="IO24" t="s">
        <v>406</v>
      </c>
      <c r="IP24" t="s">
        <v>407</v>
      </c>
      <c r="IQ24" t="s">
        <v>408</v>
      </c>
      <c r="IR24" t="s">
        <v>408</v>
      </c>
      <c r="IS24" t="s">
        <v>407</v>
      </c>
      <c r="IT24">
        <v>0</v>
      </c>
      <c r="IU24">
        <v>100</v>
      </c>
      <c r="IV24">
        <v>100</v>
      </c>
      <c r="IW24">
        <v>-13.779</v>
      </c>
      <c r="IX24">
        <v>-1.6092</v>
      </c>
      <c r="IY24">
        <v>-11.837895940699219</v>
      </c>
      <c r="IZ24">
        <v>-5.6215304933332991E-3</v>
      </c>
      <c r="JA24">
        <v>2.3979931213773931E-6</v>
      </c>
      <c r="JB24">
        <v>-3.6297174575716598E-10</v>
      </c>
      <c r="JC24">
        <v>-2.0353234806598022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1.9</v>
      </c>
      <c r="JL24">
        <v>1.9</v>
      </c>
      <c r="JM24">
        <v>1.09375</v>
      </c>
      <c r="JN24">
        <v>2.5549300000000001</v>
      </c>
      <c r="JO24">
        <v>1.50024</v>
      </c>
      <c r="JP24">
        <v>2.2717299999999998</v>
      </c>
      <c r="JQ24">
        <v>1.4477500000000001</v>
      </c>
      <c r="JR24">
        <v>2.3974600000000001</v>
      </c>
      <c r="JS24">
        <v>46.414999999999999</v>
      </c>
      <c r="JT24">
        <v>23.947399999999998</v>
      </c>
      <c r="JU24">
        <v>18</v>
      </c>
      <c r="JV24">
        <v>629.10199999999998</v>
      </c>
      <c r="JW24">
        <v>274.12700000000001</v>
      </c>
      <c r="JX24">
        <v>23.22</v>
      </c>
      <c r="JY24">
        <v>39.991900000000001</v>
      </c>
      <c r="JZ24">
        <v>30.000900000000001</v>
      </c>
      <c r="KA24">
        <v>40.3245</v>
      </c>
      <c r="KB24">
        <v>39.900700000000001</v>
      </c>
      <c r="KC24">
        <v>21.8813</v>
      </c>
      <c r="KD24">
        <v>54.942799999999998</v>
      </c>
      <c r="KE24">
        <v>0</v>
      </c>
      <c r="KF24">
        <v>23.209900000000001</v>
      </c>
      <c r="KG24">
        <v>420</v>
      </c>
      <c r="KH24">
        <v>21.861899999999999</v>
      </c>
      <c r="KI24">
        <v>99.381100000000004</v>
      </c>
      <c r="KJ24">
        <v>96.316900000000004</v>
      </c>
    </row>
    <row r="25" spans="1:296" x14ac:dyDescent="0.3">
      <c r="A25">
        <v>9</v>
      </c>
      <c r="B25">
        <v>1785167202.5999999</v>
      </c>
      <c r="C25">
        <v>1452.099999904633</v>
      </c>
      <c r="D25" t="s">
        <v>603</v>
      </c>
      <c r="E25" t="s">
        <v>604</v>
      </c>
      <c r="F25">
        <v>15</v>
      </c>
      <c r="H25">
        <v>1785167194.599999</v>
      </c>
      <c r="I25">
        <f t="shared" si="0"/>
        <v>1.4815256011778619E-3</v>
      </c>
      <c r="J25">
        <f t="shared" si="1"/>
        <v>1.4815256011778619</v>
      </c>
      <c r="K25">
        <f t="shared" si="2"/>
        <v>14.28844584227657</v>
      </c>
      <c r="L25">
        <f t="shared" si="3"/>
        <v>405.08664516129039</v>
      </c>
      <c r="M25">
        <f t="shared" si="4"/>
        <v>154.93106509901745</v>
      </c>
      <c r="N25">
        <f t="shared" si="5"/>
        <v>15.067768924757885</v>
      </c>
      <c r="O25">
        <f t="shared" si="6"/>
        <v>39.3965662076535</v>
      </c>
      <c r="P25">
        <f t="shared" si="7"/>
        <v>9.5524516861138511E-2</v>
      </c>
      <c r="Q25">
        <f t="shared" si="8"/>
        <v>2.8798789126972437</v>
      </c>
      <c r="R25">
        <f t="shared" si="9"/>
        <v>9.3798548470521464E-2</v>
      </c>
      <c r="S25">
        <f t="shared" si="10"/>
        <v>5.8776566671221997E-2</v>
      </c>
      <c r="T25">
        <f t="shared" si="11"/>
        <v>48.448967855413386</v>
      </c>
      <c r="U25">
        <f t="shared" si="12"/>
        <v>27.57103913482085</v>
      </c>
      <c r="V25">
        <f t="shared" si="13"/>
        <v>27.995448387096769</v>
      </c>
      <c r="W25">
        <f t="shared" si="14"/>
        <v>3.7938328604101224</v>
      </c>
      <c r="X25">
        <f t="shared" si="15"/>
        <v>61.937735137902692</v>
      </c>
      <c r="Y25">
        <f t="shared" si="16"/>
        <v>2.3058905524088305</v>
      </c>
      <c r="Z25">
        <f t="shared" si="17"/>
        <v>3.7229171316562151</v>
      </c>
      <c r="AA25">
        <f t="shared" si="18"/>
        <v>1.4879423080012919</v>
      </c>
      <c r="AB25">
        <f t="shared" si="19"/>
        <v>-65.335279011943712</v>
      </c>
      <c r="AC25">
        <f t="shared" si="20"/>
        <v>-50.192062454942459</v>
      </c>
      <c r="AD25">
        <f t="shared" si="21"/>
        <v>-3.7927313171441872</v>
      </c>
      <c r="AE25">
        <f t="shared" si="22"/>
        <v>-70.871104928616973</v>
      </c>
      <c r="AF25">
        <f t="shared" si="23"/>
        <v>14.28844584227657</v>
      </c>
      <c r="AG25">
        <f t="shared" si="24"/>
        <v>1.4815256011778619</v>
      </c>
      <c r="AH25">
        <f t="shared" si="25"/>
        <v>14.233478637301976</v>
      </c>
      <c r="AI25">
        <v>429.60795424862278</v>
      </c>
      <c r="AJ25">
        <v>415.01434545454538</v>
      </c>
      <c r="AK25">
        <v>8.2232119225513697E-3</v>
      </c>
      <c r="AL25">
        <v>67.015570474211856</v>
      </c>
      <c r="AM25">
        <f t="shared" si="26"/>
        <v>1.4763655174688954</v>
      </c>
      <c r="AN25">
        <v>22.261699034836148</v>
      </c>
      <c r="AO25">
        <v>23.70735333333333</v>
      </c>
      <c r="AP25">
        <v>-8.4201588195180455E-4</v>
      </c>
      <c r="AQ25">
        <v>78.043579766205397</v>
      </c>
      <c r="AR25">
        <v>22</v>
      </c>
      <c r="AS25">
        <v>4</v>
      </c>
      <c r="AT25">
        <f t="shared" si="27"/>
        <v>1</v>
      </c>
      <c r="AU25">
        <f t="shared" si="28"/>
        <v>0</v>
      </c>
      <c r="AV25">
        <f t="shared" si="29"/>
        <v>51279.162930784871</v>
      </c>
      <c r="AW25" t="s">
        <v>569</v>
      </c>
      <c r="AX25">
        <v>13243.6</v>
      </c>
      <c r="AY25">
        <v>558.82352941176475</v>
      </c>
      <c r="AZ25">
        <v>2344.84</v>
      </c>
      <c r="BA25">
        <f t="shared" si="30"/>
        <v>0.7616794623890053</v>
      </c>
      <c r="BB25">
        <v>-4.0588593423444159</v>
      </c>
      <c r="BC25" t="s">
        <v>605</v>
      </c>
      <c r="BD25">
        <v>13189.7</v>
      </c>
      <c r="BE25">
        <v>704.10264705882355</v>
      </c>
      <c r="BF25">
        <v>1689.89</v>
      </c>
      <c r="BG25">
        <f t="shared" si="31"/>
        <v>0.58334409514298358</v>
      </c>
      <c r="BH25">
        <v>0.5</v>
      </c>
      <c r="BI25">
        <f t="shared" si="32"/>
        <v>252.31859605411691</v>
      </c>
      <c r="BJ25">
        <f t="shared" si="33"/>
        <v>14.28844584227657</v>
      </c>
      <c r="BK25">
        <f t="shared" si="34"/>
        <v>73.594281551468413</v>
      </c>
      <c r="BL25">
        <f t="shared" si="35"/>
        <v>7.2714835416593251E-2</v>
      </c>
      <c r="BM25">
        <f t="shared" si="36"/>
        <v>0.38756960512222688</v>
      </c>
      <c r="BN25">
        <f t="shared" si="37"/>
        <v>511.57179318802753</v>
      </c>
      <c r="BO25" t="s">
        <v>402</v>
      </c>
      <c r="BP25">
        <v>0</v>
      </c>
      <c r="BQ25">
        <f t="shared" si="38"/>
        <v>511.57179318802753</v>
      </c>
      <c r="BR25">
        <f t="shared" si="39"/>
        <v>0.69727509294212786</v>
      </c>
      <c r="BS25">
        <f t="shared" si="40"/>
        <v>0.83660538150241892</v>
      </c>
      <c r="BT25">
        <f t="shared" si="41"/>
        <v>0.35725814562559227</v>
      </c>
      <c r="BU25">
        <f t="shared" si="42"/>
        <v>0.87155563229497612</v>
      </c>
      <c r="BV25">
        <f t="shared" si="43"/>
        <v>0.36670994404899765</v>
      </c>
      <c r="BW25">
        <f t="shared" si="44"/>
        <v>0.60784278683473103</v>
      </c>
      <c r="BX25">
        <f t="shared" si="45"/>
        <v>0.39215721316526897</v>
      </c>
      <c r="DG25">
        <f t="shared" si="46"/>
        <v>300.0314193548387</v>
      </c>
      <c r="DH25">
        <f t="shared" si="47"/>
        <v>252.31859605411691</v>
      </c>
      <c r="DI25">
        <f t="shared" si="48"/>
        <v>0.84097391065469318</v>
      </c>
      <c r="DJ25">
        <f t="shared" si="49"/>
        <v>0.16147964756355787</v>
      </c>
      <c r="DK25">
        <v>6</v>
      </c>
      <c r="DL25">
        <v>0.5</v>
      </c>
      <c r="DM25" t="s">
        <v>403</v>
      </c>
      <c r="DN25">
        <v>2</v>
      </c>
      <c r="DO25" t="b">
        <v>0</v>
      </c>
      <c r="DP25">
        <v>1785167194.599999</v>
      </c>
      <c r="DQ25">
        <v>405.08664516129039</v>
      </c>
      <c r="DR25">
        <v>419.9755806451613</v>
      </c>
      <c r="DS25">
        <v>23.709819354838711</v>
      </c>
      <c r="DT25">
        <v>22.263387096774199</v>
      </c>
      <c r="DU25">
        <v>418.92832258064522</v>
      </c>
      <c r="DV25">
        <v>25.33113548387097</v>
      </c>
      <c r="DW25">
        <v>599.98616129032257</v>
      </c>
      <c r="DX25">
        <v>97.19216451612904</v>
      </c>
      <c r="DY25">
        <v>6.2501067741935479E-2</v>
      </c>
      <c r="DZ25">
        <v>27.672170967741941</v>
      </c>
      <c r="EA25">
        <v>27.995448387096769</v>
      </c>
      <c r="EB25">
        <v>999.90000000000032</v>
      </c>
      <c r="EC25">
        <v>0</v>
      </c>
      <c r="ED25">
        <v>0</v>
      </c>
      <c r="EE25">
        <v>10000.322580645159</v>
      </c>
      <c r="EF25">
        <v>0</v>
      </c>
      <c r="EG25">
        <v>144.56474193548391</v>
      </c>
      <c r="EH25">
        <v>-14.888809677419349</v>
      </c>
      <c r="EI25">
        <v>414.92448387096778</v>
      </c>
      <c r="EJ25">
        <v>429.53841935483871</v>
      </c>
      <c r="EK25">
        <v>1.4464312903225811</v>
      </c>
      <c r="EL25">
        <v>419.9755806451613</v>
      </c>
      <c r="EM25">
        <v>22.263387096774199</v>
      </c>
      <c r="EN25">
        <v>2.3044083870967742</v>
      </c>
      <c r="EO25">
        <v>2.1638264516129029</v>
      </c>
      <c r="EP25">
        <v>19.707248387096779</v>
      </c>
      <c r="EQ25">
        <v>18.69698064516129</v>
      </c>
      <c r="ER25">
        <v>300.0314193548387</v>
      </c>
      <c r="ES25">
        <v>0.96697232258064503</v>
      </c>
      <c r="ET25">
        <v>3.3027548387096782E-2</v>
      </c>
      <c r="EU25">
        <v>0</v>
      </c>
      <c r="EV25">
        <v>704.13893548387091</v>
      </c>
      <c r="EW25">
        <v>5.0010700000000003</v>
      </c>
      <c r="EX25">
        <v>5597.0941935483888</v>
      </c>
      <c r="EY25">
        <v>2668.2806451612901</v>
      </c>
      <c r="EZ25">
        <v>42.311999999999983</v>
      </c>
      <c r="FA25">
        <v>45.807999999999979</v>
      </c>
      <c r="FB25">
        <v>44.316064516129003</v>
      </c>
      <c r="FC25">
        <v>45.786000000000001</v>
      </c>
      <c r="FD25">
        <v>44.141000000000012</v>
      </c>
      <c r="FE25">
        <v>285.28645161290319</v>
      </c>
      <c r="FF25">
        <v>9.740000000000002</v>
      </c>
      <c r="FG25">
        <v>0</v>
      </c>
      <c r="FH25">
        <v>180.79999995231631</v>
      </c>
      <c r="FI25">
        <v>0</v>
      </c>
      <c r="FJ25">
        <v>704.10264705882355</v>
      </c>
      <c r="FK25">
        <v>-2.0414215935248579</v>
      </c>
      <c r="FL25">
        <v>-57.754900795015693</v>
      </c>
      <c r="FM25">
        <v>5589.0882352941171</v>
      </c>
      <c r="FN25">
        <v>10</v>
      </c>
      <c r="FO25">
        <v>1785167076.0999999</v>
      </c>
      <c r="FP25" t="s">
        <v>606</v>
      </c>
      <c r="FQ25">
        <v>1785167072.0999999</v>
      </c>
      <c r="FR25">
        <v>1785167076.0999999</v>
      </c>
      <c r="FS25">
        <v>23</v>
      </c>
      <c r="FT25">
        <v>-4.2999999999999997E-2</v>
      </c>
      <c r="FU25">
        <v>-1.4999999999999999E-2</v>
      </c>
      <c r="FV25">
        <v>-13.898</v>
      </c>
      <c r="FW25">
        <v>-1.67</v>
      </c>
      <c r="FX25">
        <v>420</v>
      </c>
      <c r="FY25">
        <v>22</v>
      </c>
      <c r="FZ25">
        <v>0.57999999999999996</v>
      </c>
      <c r="GA25">
        <v>0.21</v>
      </c>
      <c r="GB25">
        <v>405.08290322580649</v>
      </c>
      <c r="GC25">
        <v>0.44249999999923939</v>
      </c>
      <c r="GD25">
        <v>6.9684243990746297E-2</v>
      </c>
      <c r="GE25">
        <v>-1</v>
      </c>
      <c r="GF25">
        <v>704.07161764705882</v>
      </c>
      <c r="GG25">
        <v>0.81572192259515497</v>
      </c>
      <c r="GH25">
        <v>0.30999478313503892</v>
      </c>
      <c r="GI25">
        <v>1</v>
      </c>
      <c r="GJ25">
        <v>1.4124992682926829</v>
      </c>
      <c r="GK25">
        <v>0.54592034843205761</v>
      </c>
      <c r="GL25">
        <v>6.2281813748917503E-2</v>
      </c>
      <c r="GM25">
        <v>0</v>
      </c>
      <c r="GN25">
        <v>1</v>
      </c>
      <c r="GO25">
        <v>2</v>
      </c>
      <c r="GP25" t="s">
        <v>409</v>
      </c>
      <c r="GQ25">
        <v>3.2441</v>
      </c>
      <c r="GR25">
        <v>2.7396799999999999</v>
      </c>
      <c r="GS25">
        <v>8.8418899999999995E-2</v>
      </c>
      <c r="GT25">
        <v>8.93814E-2</v>
      </c>
      <c r="GU25">
        <v>0.113908</v>
      </c>
      <c r="GV25">
        <v>0.104423</v>
      </c>
      <c r="GW25">
        <v>22597.7</v>
      </c>
      <c r="GX25">
        <v>30060.3</v>
      </c>
      <c r="GY25">
        <v>26918.6</v>
      </c>
      <c r="GZ25">
        <v>33986.5</v>
      </c>
      <c r="HA25">
        <v>34979.5</v>
      </c>
      <c r="HB25">
        <v>38054.1</v>
      </c>
      <c r="HC25">
        <v>39771.599999999999</v>
      </c>
      <c r="HD25">
        <v>42558.3</v>
      </c>
      <c r="HE25">
        <v>2.0196000000000001</v>
      </c>
      <c r="HF25">
        <v>2.0032000000000001</v>
      </c>
      <c r="HG25">
        <v>-0.118464</v>
      </c>
      <c r="HH25">
        <v>0</v>
      </c>
      <c r="HI25">
        <v>29.944099999999999</v>
      </c>
      <c r="HJ25">
        <v>999.9</v>
      </c>
      <c r="HK25">
        <v>62.9</v>
      </c>
      <c r="HL25">
        <v>41.3</v>
      </c>
      <c r="HM25">
        <v>51.4161</v>
      </c>
      <c r="HN25">
        <v>61.275700000000001</v>
      </c>
      <c r="HO25">
        <v>-5.4887800000000002</v>
      </c>
      <c r="HP25">
        <v>2</v>
      </c>
      <c r="HQ25">
        <v>1.1052999999999999</v>
      </c>
      <c r="HR25">
        <v>7.6970999999999998</v>
      </c>
      <c r="HS25">
        <v>20.077100000000002</v>
      </c>
      <c r="HT25">
        <v>5.2088999999999999</v>
      </c>
      <c r="HU25">
        <v>11.9153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1.8675200000000001</v>
      </c>
      <c r="IC25">
        <v>1.8632200000000001</v>
      </c>
      <c r="ID25">
        <v>1.8626400000000001</v>
      </c>
      <c r="IE25">
        <v>1.8622399999999999</v>
      </c>
      <c r="IF25">
        <v>1.8621799999999999</v>
      </c>
      <c r="IG25">
        <v>1.8626400000000001</v>
      </c>
      <c r="IH25">
        <v>1.86371</v>
      </c>
      <c r="II25">
        <v>1.8615999999999999</v>
      </c>
      <c r="IJ25">
        <v>0</v>
      </c>
      <c r="IK25">
        <v>0</v>
      </c>
      <c r="IL25">
        <v>0</v>
      </c>
      <c r="IM25">
        <v>4.5</v>
      </c>
      <c r="IN25" t="s">
        <v>405</v>
      </c>
      <c r="IO25" t="s">
        <v>406</v>
      </c>
      <c r="IP25" t="s">
        <v>407</v>
      </c>
      <c r="IQ25" t="s">
        <v>408</v>
      </c>
      <c r="IR25" t="s">
        <v>408</v>
      </c>
      <c r="IS25" t="s">
        <v>407</v>
      </c>
      <c r="IT25">
        <v>0</v>
      </c>
      <c r="IU25">
        <v>100</v>
      </c>
      <c r="IV25">
        <v>100</v>
      </c>
      <c r="IW25">
        <v>-13.842000000000001</v>
      </c>
      <c r="IX25">
        <v>-1.6214</v>
      </c>
      <c r="IY25">
        <v>-11.88071760999321</v>
      </c>
      <c r="IZ25">
        <v>-5.6215304933332991E-3</v>
      </c>
      <c r="JA25">
        <v>2.3979931213773931E-6</v>
      </c>
      <c r="JB25">
        <v>-3.6297174575716598E-10</v>
      </c>
      <c r="JC25">
        <v>-2.0507627091099199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2.2000000000000002</v>
      </c>
      <c r="JL25">
        <v>2.1</v>
      </c>
      <c r="JM25">
        <v>1.39893</v>
      </c>
      <c r="JN25">
        <v>2.5634800000000002</v>
      </c>
      <c r="JO25">
        <v>2.1496599999999999</v>
      </c>
      <c r="JP25">
        <v>2.5793499999999998</v>
      </c>
      <c r="JQ25">
        <v>2.1472199999999999</v>
      </c>
      <c r="JR25">
        <v>2.4536099999999998</v>
      </c>
      <c r="JS25">
        <v>46.502800000000001</v>
      </c>
      <c r="JT25">
        <v>23.982399999999998</v>
      </c>
      <c r="JU25">
        <v>18</v>
      </c>
      <c r="JV25">
        <v>633.01400000000001</v>
      </c>
      <c r="JW25">
        <v>650.149</v>
      </c>
      <c r="JX25">
        <v>22.8781</v>
      </c>
      <c r="JY25">
        <v>40.0471</v>
      </c>
      <c r="JZ25">
        <v>30.001200000000001</v>
      </c>
      <c r="KA25">
        <v>40.382800000000003</v>
      </c>
      <c r="KB25">
        <v>39.912300000000002</v>
      </c>
      <c r="KC25">
        <v>27.968499999999999</v>
      </c>
      <c r="KD25">
        <v>54.484699999999997</v>
      </c>
      <c r="KE25">
        <v>0</v>
      </c>
      <c r="KF25">
        <v>22.849399999999999</v>
      </c>
      <c r="KG25">
        <v>420</v>
      </c>
      <c r="KH25">
        <v>22.229800000000001</v>
      </c>
      <c r="KI25">
        <v>99.378699999999995</v>
      </c>
      <c r="KJ25">
        <v>96.309700000000007</v>
      </c>
    </row>
    <row r="26" spans="1:296" x14ac:dyDescent="0.3">
      <c r="A26">
        <v>10</v>
      </c>
      <c r="B26">
        <v>1785167384.0999999</v>
      </c>
      <c r="C26">
        <v>1633.599999904633</v>
      </c>
      <c r="D26" t="s">
        <v>607</v>
      </c>
      <c r="E26" t="s">
        <v>608</v>
      </c>
      <c r="F26">
        <v>15</v>
      </c>
      <c r="H26">
        <v>1785167376.099999</v>
      </c>
      <c r="I26">
        <f t="shared" si="0"/>
        <v>9.7131117201928031E-4</v>
      </c>
      <c r="J26">
        <f t="shared" si="1"/>
        <v>0.9713111720192803</v>
      </c>
      <c r="K26">
        <f t="shared" si="2"/>
        <v>9.2603475197964666</v>
      </c>
      <c r="L26">
        <f t="shared" si="3"/>
        <v>410.33780645161278</v>
      </c>
      <c r="M26">
        <f t="shared" si="4"/>
        <v>159.72375390262977</v>
      </c>
      <c r="N26">
        <f t="shared" si="5"/>
        <v>15.53383047437144</v>
      </c>
      <c r="O26">
        <f t="shared" si="6"/>
        <v>39.907138211455759</v>
      </c>
      <c r="P26">
        <f t="shared" si="7"/>
        <v>6.1506725331659746E-2</v>
      </c>
      <c r="Q26">
        <f t="shared" si="8"/>
        <v>2.8794633508635723</v>
      </c>
      <c r="R26">
        <f t="shared" si="9"/>
        <v>6.0786059516624531E-2</v>
      </c>
      <c r="S26">
        <f t="shared" si="10"/>
        <v>3.8055332508091538E-2</v>
      </c>
      <c r="T26">
        <f t="shared" si="11"/>
        <v>32.483216896042315</v>
      </c>
      <c r="U26">
        <f t="shared" si="12"/>
        <v>27.57653011202952</v>
      </c>
      <c r="V26">
        <f t="shared" si="13"/>
        <v>27.98844193548387</v>
      </c>
      <c r="W26">
        <f t="shared" si="14"/>
        <v>3.7922834851832228</v>
      </c>
      <c r="X26">
        <f t="shared" si="15"/>
        <v>61.546049736373746</v>
      </c>
      <c r="Y26">
        <f t="shared" si="16"/>
        <v>2.2868084443555743</v>
      </c>
      <c r="Z26">
        <f t="shared" si="17"/>
        <v>3.7156055573848952</v>
      </c>
      <c r="AA26">
        <f t="shared" si="18"/>
        <v>1.5054750408276485</v>
      </c>
      <c r="AB26">
        <f t="shared" si="19"/>
        <v>-42.834822686050259</v>
      </c>
      <c r="AC26">
        <f t="shared" si="20"/>
        <v>-54.318647630382053</v>
      </c>
      <c r="AD26">
        <f t="shared" si="21"/>
        <v>-4.1043148369121676</v>
      </c>
      <c r="AE26">
        <f t="shared" si="22"/>
        <v>-68.774568257302164</v>
      </c>
      <c r="AF26">
        <f t="shared" si="23"/>
        <v>9.2603475197964666</v>
      </c>
      <c r="AG26">
        <f t="shared" si="24"/>
        <v>0.9713111720192803</v>
      </c>
      <c r="AH26">
        <f t="shared" si="25"/>
        <v>9.1676296352013296</v>
      </c>
      <c r="AI26">
        <v>429.69230964576587</v>
      </c>
      <c r="AJ26">
        <v>420.27875757575742</v>
      </c>
      <c r="AK26">
        <v>7.8839595821801681E-3</v>
      </c>
      <c r="AL26">
        <v>67.015662011114472</v>
      </c>
      <c r="AM26">
        <f t="shared" si="26"/>
        <v>0.96874498593096736</v>
      </c>
      <c r="AN26">
        <v>22.56709380867154</v>
      </c>
      <c r="AO26">
        <v>23.513747272727269</v>
      </c>
      <c r="AP26">
        <v>-1.3488066396935791E-4</v>
      </c>
      <c r="AQ26">
        <v>78.054614125934847</v>
      </c>
      <c r="AR26">
        <v>23</v>
      </c>
      <c r="AS26">
        <v>4</v>
      </c>
      <c r="AT26">
        <f t="shared" si="27"/>
        <v>1</v>
      </c>
      <c r="AU26">
        <f t="shared" si="28"/>
        <v>0</v>
      </c>
      <c r="AV26">
        <f t="shared" si="29"/>
        <v>51273.142554898761</v>
      </c>
      <c r="AW26" t="s">
        <v>569</v>
      </c>
      <c r="AX26">
        <v>13243.6</v>
      </c>
      <c r="AY26">
        <v>558.82352941176475</v>
      </c>
      <c r="AZ26">
        <v>2344.84</v>
      </c>
      <c r="BA26">
        <f t="shared" si="30"/>
        <v>0.7616794623890053</v>
      </c>
      <c r="BB26">
        <v>-4.0588593423444159</v>
      </c>
      <c r="BC26" t="s">
        <v>609</v>
      </c>
      <c r="BD26">
        <v>13196</v>
      </c>
      <c r="BE26">
        <v>689.69235294117652</v>
      </c>
      <c r="BF26">
        <v>1782.26</v>
      </c>
      <c r="BG26">
        <f t="shared" si="31"/>
        <v>0.61302371542806522</v>
      </c>
      <c r="BH26">
        <v>0.5</v>
      </c>
      <c r="BI26">
        <f t="shared" si="32"/>
        <v>168.28569049268452</v>
      </c>
      <c r="BJ26">
        <f t="shared" si="33"/>
        <v>9.2603475197964666</v>
      </c>
      <c r="BK26">
        <f t="shared" si="34"/>
        <v>51.58155961960145</v>
      </c>
      <c r="BL26">
        <f t="shared" si="35"/>
        <v>7.9146401712151968E-2</v>
      </c>
      <c r="BM26">
        <f t="shared" si="36"/>
        <v>0.31565540381313623</v>
      </c>
      <c r="BN26">
        <f t="shared" si="37"/>
        <v>519.72601448634293</v>
      </c>
      <c r="BO26" t="s">
        <v>402</v>
      </c>
      <c r="BP26">
        <v>0</v>
      </c>
      <c r="BQ26">
        <f t="shared" si="38"/>
        <v>519.72601448634293</v>
      </c>
      <c r="BR26">
        <f t="shared" si="39"/>
        <v>0.70838934022738376</v>
      </c>
      <c r="BS26">
        <f t="shared" si="40"/>
        <v>0.86537682121429504</v>
      </c>
      <c r="BT26">
        <f t="shared" si="41"/>
        <v>0.30824376146658511</v>
      </c>
      <c r="BU26">
        <f t="shared" si="42"/>
        <v>0.89303177837547265</v>
      </c>
      <c r="BV26">
        <f t="shared" si="43"/>
        <v>0.31499149602730764</v>
      </c>
      <c r="BW26">
        <f t="shared" si="44"/>
        <v>0.65211517048228862</v>
      </c>
      <c r="BX26">
        <f t="shared" si="45"/>
        <v>0.34788482951771138</v>
      </c>
      <c r="DG26">
        <f t="shared" si="46"/>
        <v>199.99190322580651</v>
      </c>
      <c r="DH26">
        <f t="shared" si="47"/>
        <v>168.28569049268452</v>
      </c>
      <c r="DI26">
        <f t="shared" si="48"/>
        <v>0.8414625181234302</v>
      </c>
      <c r="DJ26">
        <f t="shared" si="49"/>
        <v>0.16242265997822034</v>
      </c>
      <c r="DK26">
        <v>6</v>
      </c>
      <c r="DL26">
        <v>0.5</v>
      </c>
      <c r="DM26" t="s">
        <v>403</v>
      </c>
      <c r="DN26">
        <v>2</v>
      </c>
      <c r="DO26" t="b">
        <v>0</v>
      </c>
      <c r="DP26">
        <v>1785167376.099999</v>
      </c>
      <c r="DQ26">
        <v>410.33780645161278</v>
      </c>
      <c r="DR26">
        <v>419.99677419354839</v>
      </c>
      <c r="DS26">
        <v>23.513687096774191</v>
      </c>
      <c r="DT26">
        <v>22.565209677419361</v>
      </c>
      <c r="DU26">
        <v>424.28122580645157</v>
      </c>
      <c r="DV26">
        <v>25.153632258064508</v>
      </c>
      <c r="DW26">
        <v>599.99661290322581</v>
      </c>
      <c r="DX26">
        <v>97.19243548387098</v>
      </c>
      <c r="DY26">
        <v>6.1918329032258058E-2</v>
      </c>
      <c r="DZ26">
        <v>27.638535483870971</v>
      </c>
      <c r="EA26">
        <v>27.98844193548387</v>
      </c>
      <c r="EB26">
        <v>999.90000000000032</v>
      </c>
      <c r="EC26">
        <v>0</v>
      </c>
      <c r="ED26">
        <v>0</v>
      </c>
      <c r="EE26">
        <v>9997.9032258064508</v>
      </c>
      <c r="EF26">
        <v>0</v>
      </c>
      <c r="EG26">
        <v>147.6146451612903</v>
      </c>
      <c r="EH26">
        <v>-9.6591570967741944</v>
      </c>
      <c r="EI26">
        <v>420.21864516129051</v>
      </c>
      <c r="EJ26">
        <v>429.69299999999993</v>
      </c>
      <c r="EK26">
        <v>0.94847848387096778</v>
      </c>
      <c r="EL26">
        <v>419.99677419354839</v>
      </c>
      <c r="EM26">
        <v>22.565209677419361</v>
      </c>
      <c r="EN26">
        <v>2.2853509677419348</v>
      </c>
      <c r="EO26">
        <v>2.1931670967741939</v>
      </c>
      <c r="EP26">
        <v>19.57352580645161</v>
      </c>
      <c r="EQ26">
        <v>18.912487096774189</v>
      </c>
      <c r="ER26">
        <v>199.99190322580651</v>
      </c>
      <c r="ES26">
        <v>0.95002025806451584</v>
      </c>
      <c r="ET26">
        <v>4.9979532258064521E-2</v>
      </c>
      <c r="EU26">
        <v>0</v>
      </c>
      <c r="EV26">
        <v>689.69464516129017</v>
      </c>
      <c r="EW26">
        <v>5.0010700000000003</v>
      </c>
      <c r="EX26">
        <v>4837.61935483871</v>
      </c>
      <c r="EY26">
        <v>1751.77</v>
      </c>
      <c r="EZ26">
        <v>41.76</v>
      </c>
      <c r="FA26">
        <v>45.420999999999992</v>
      </c>
      <c r="FB26">
        <v>43.875</v>
      </c>
      <c r="FC26">
        <v>45.291999999999987</v>
      </c>
      <c r="FD26">
        <v>43.645000000000003</v>
      </c>
      <c r="FE26">
        <v>185.2464516129032</v>
      </c>
      <c r="FF26">
        <v>9.75</v>
      </c>
      <c r="FG26">
        <v>0</v>
      </c>
      <c r="FH26">
        <v>180.70000004768369</v>
      </c>
      <c r="FI26">
        <v>0</v>
      </c>
      <c r="FJ26">
        <v>689.69235294117652</v>
      </c>
      <c r="FK26">
        <v>-0.79632349564813054</v>
      </c>
      <c r="FL26">
        <v>-51.490196453712763</v>
      </c>
      <c r="FM26">
        <v>4836.7541176470604</v>
      </c>
      <c r="FN26">
        <v>10</v>
      </c>
      <c r="FO26">
        <v>1785167259.5999999</v>
      </c>
      <c r="FP26" t="s">
        <v>610</v>
      </c>
      <c r="FQ26">
        <v>1785167259.5999999</v>
      </c>
      <c r="FR26">
        <v>1785167251.0999999</v>
      </c>
      <c r="FS26">
        <v>24</v>
      </c>
      <c r="FT26">
        <v>-8.2000000000000003E-2</v>
      </c>
      <c r="FU26">
        <v>-1.4E-2</v>
      </c>
      <c r="FV26">
        <v>-13.98</v>
      </c>
      <c r="FW26">
        <v>-1.6739999999999999</v>
      </c>
      <c r="FX26">
        <v>420</v>
      </c>
      <c r="FY26">
        <v>22</v>
      </c>
      <c r="FZ26">
        <v>0.49</v>
      </c>
      <c r="GA26">
        <v>0.28999999999999998</v>
      </c>
      <c r="GB26">
        <v>410.33103225806451</v>
      </c>
      <c r="GC26">
        <v>0.62651612903146681</v>
      </c>
      <c r="GD26">
        <v>6.6992769889605897E-2</v>
      </c>
      <c r="GE26">
        <v>-1</v>
      </c>
      <c r="GF26">
        <v>689.6546176470589</v>
      </c>
      <c r="GG26">
        <v>4.9274258504120441E-2</v>
      </c>
      <c r="GH26">
        <v>0.18039792856282741</v>
      </c>
      <c r="GI26">
        <v>1</v>
      </c>
      <c r="GJ26">
        <v>0.94671980487804896</v>
      </c>
      <c r="GK26">
        <v>1.380071080139429E-2</v>
      </c>
      <c r="GL26">
        <v>6.8561086780935601E-3</v>
      </c>
      <c r="GM26">
        <v>1</v>
      </c>
      <c r="GN26">
        <v>2</v>
      </c>
      <c r="GO26">
        <v>2</v>
      </c>
      <c r="GP26" t="s">
        <v>404</v>
      </c>
      <c r="GQ26">
        <v>3.2448000000000001</v>
      </c>
      <c r="GR26">
        <v>2.7388499999999998</v>
      </c>
      <c r="GS26">
        <v>8.9278399999999994E-2</v>
      </c>
      <c r="GT26">
        <v>8.9358400000000004E-2</v>
      </c>
      <c r="GU26">
        <v>0.113356</v>
      </c>
      <c r="GV26">
        <v>0.10545599999999999</v>
      </c>
      <c r="GW26">
        <v>22577.599999999999</v>
      </c>
      <c r="GX26">
        <v>30061.5</v>
      </c>
      <c r="GY26">
        <v>26919.9</v>
      </c>
      <c r="GZ26">
        <v>33986.800000000003</v>
      </c>
      <c r="HA26">
        <v>35002.5</v>
      </c>
      <c r="HB26">
        <v>38010.400000000001</v>
      </c>
      <c r="HC26">
        <v>39773.4</v>
      </c>
      <c r="HD26">
        <v>42558.400000000001</v>
      </c>
      <c r="HE26">
        <v>2.0196000000000001</v>
      </c>
      <c r="HF26">
        <v>2.0026000000000002</v>
      </c>
      <c r="HG26">
        <v>-0.12442499999999999</v>
      </c>
      <c r="HH26">
        <v>0</v>
      </c>
      <c r="HI26">
        <v>29.985600000000002</v>
      </c>
      <c r="HJ26">
        <v>999.9</v>
      </c>
      <c r="HK26">
        <v>62.6</v>
      </c>
      <c r="HL26">
        <v>41.4</v>
      </c>
      <c r="HM26">
        <v>51.4392</v>
      </c>
      <c r="HN26">
        <v>61.375799999999998</v>
      </c>
      <c r="HO26">
        <v>-5.1161899999999996</v>
      </c>
      <c r="HP26">
        <v>2</v>
      </c>
      <c r="HQ26">
        <v>1.09833</v>
      </c>
      <c r="HR26">
        <v>7.2122900000000003</v>
      </c>
      <c r="HS26">
        <v>20.096499999999999</v>
      </c>
      <c r="HT26">
        <v>5.2112999999999996</v>
      </c>
      <c r="HU26">
        <v>11.914099999999999</v>
      </c>
      <c r="HV26">
        <v>4.984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1.8674299999999999</v>
      </c>
      <c r="IC26">
        <v>1.8631599999999999</v>
      </c>
      <c r="ID26">
        <v>1.8626400000000001</v>
      </c>
      <c r="IE26">
        <v>1.8622099999999999</v>
      </c>
      <c r="IF26">
        <v>1.8621799999999999</v>
      </c>
      <c r="IG26">
        <v>1.86267</v>
      </c>
      <c r="IH26">
        <v>1.86368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405</v>
      </c>
      <c r="IO26" t="s">
        <v>406</v>
      </c>
      <c r="IP26" t="s">
        <v>407</v>
      </c>
      <c r="IQ26" t="s">
        <v>408</v>
      </c>
      <c r="IR26" t="s">
        <v>408</v>
      </c>
      <c r="IS26" t="s">
        <v>407</v>
      </c>
      <c r="IT26">
        <v>0</v>
      </c>
      <c r="IU26">
        <v>100</v>
      </c>
      <c r="IV26">
        <v>100</v>
      </c>
      <c r="IW26">
        <v>-13.944000000000001</v>
      </c>
      <c r="IX26">
        <v>-1.64</v>
      </c>
      <c r="IY26">
        <v>-11.962426885605421</v>
      </c>
      <c r="IZ26">
        <v>-5.6215304933332991E-3</v>
      </c>
      <c r="JA26">
        <v>2.3979931213773931E-6</v>
      </c>
      <c r="JB26">
        <v>-3.6297174575716598E-10</v>
      </c>
      <c r="JC26">
        <v>-2.064373996531101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2.1</v>
      </c>
      <c r="JL26">
        <v>2.2000000000000002</v>
      </c>
      <c r="JM26">
        <v>1.39893</v>
      </c>
      <c r="JN26">
        <v>2.5622600000000002</v>
      </c>
      <c r="JO26">
        <v>2.1496599999999999</v>
      </c>
      <c r="JP26">
        <v>2.5805699999999998</v>
      </c>
      <c r="JQ26">
        <v>2.1472199999999999</v>
      </c>
      <c r="JR26">
        <v>2.4267599999999998</v>
      </c>
      <c r="JS26">
        <v>46.444200000000002</v>
      </c>
      <c r="JT26">
        <v>23.991199999999999</v>
      </c>
      <c r="JU26">
        <v>18</v>
      </c>
      <c r="JV26">
        <v>632.91</v>
      </c>
      <c r="JW26">
        <v>649.55200000000002</v>
      </c>
      <c r="JX26">
        <v>23.130400000000002</v>
      </c>
      <c r="JY26">
        <v>40.003700000000002</v>
      </c>
      <c r="JZ26">
        <v>30.0001</v>
      </c>
      <c r="KA26">
        <v>40.371099999999998</v>
      </c>
      <c r="KB26">
        <v>39.904499999999999</v>
      </c>
      <c r="KC26">
        <v>27.984200000000001</v>
      </c>
      <c r="KD26">
        <v>54.185000000000002</v>
      </c>
      <c r="KE26">
        <v>0</v>
      </c>
      <c r="KF26">
        <v>23.1327</v>
      </c>
      <c r="KG26">
        <v>420</v>
      </c>
      <c r="KH26">
        <v>22.4695</v>
      </c>
      <c r="KI26">
        <v>99.383200000000002</v>
      </c>
      <c r="KJ26">
        <v>96.310100000000006</v>
      </c>
    </row>
    <row r="27" spans="1:296" x14ac:dyDescent="0.3">
      <c r="A27">
        <v>11</v>
      </c>
      <c r="B27">
        <v>1785167565.5999999</v>
      </c>
      <c r="C27">
        <v>1815.099999904633</v>
      </c>
      <c r="D27" t="s">
        <v>611</v>
      </c>
      <c r="E27" t="s">
        <v>612</v>
      </c>
      <c r="F27">
        <v>15</v>
      </c>
      <c r="H27">
        <v>1785167557.599999</v>
      </c>
      <c r="I27">
        <f t="shared" si="0"/>
        <v>6.0983529865069757E-4</v>
      </c>
      <c r="J27">
        <f t="shared" si="1"/>
        <v>0.60983529865069752</v>
      </c>
      <c r="K27">
        <f t="shared" si="2"/>
        <v>4.0179321392232028</v>
      </c>
      <c r="L27">
        <f t="shared" si="3"/>
        <v>415.71483870967739</v>
      </c>
      <c r="M27">
        <f t="shared" si="4"/>
        <v>237.90009644112428</v>
      </c>
      <c r="N27">
        <f t="shared" si="5"/>
        <v>23.135949110135144</v>
      </c>
      <c r="O27">
        <f t="shared" si="6"/>
        <v>40.428555921562626</v>
      </c>
      <c r="P27">
        <f t="shared" si="7"/>
        <v>3.8186437415154886E-2</v>
      </c>
      <c r="Q27">
        <f t="shared" si="8"/>
        <v>2.8796994521231665</v>
      </c>
      <c r="R27">
        <f t="shared" si="9"/>
        <v>3.7907338443176931E-2</v>
      </c>
      <c r="S27">
        <f t="shared" si="10"/>
        <v>2.3716992275275205E-2</v>
      </c>
      <c r="T27">
        <f t="shared" si="11"/>
        <v>16.510530213390147</v>
      </c>
      <c r="U27">
        <f t="shared" si="12"/>
        <v>27.565425737853122</v>
      </c>
      <c r="V27">
        <f t="shared" si="13"/>
        <v>28.00417419354838</v>
      </c>
      <c r="W27">
        <f t="shared" si="14"/>
        <v>3.7957632182088039</v>
      </c>
      <c r="X27">
        <f t="shared" si="15"/>
        <v>61.405036075793163</v>
      </c>
      <c r="Y27">
        <f t="shared" si="16"/>
        <v>2.2801130694055436</v>
      </c>
      <c r="Z27">
        <f t="shared" si="17"/>
        <v>3.7132346385908246</v>
      </c>
      <c r="AA27">
        <f t="shared" si="18"/>
        <v>1.5156501488032603</v>
      </c>
      <c r="AB27">
        <f t="shared" si="19"/>
        <v>-26.893736670495763</v>
      </c>
      <c r="AC27">
        <f t="shared" si="20"/>
        <v>-58.460773895717296</v>
      </c>
      <c r="AD27">
        <f t="shared" si="21"/>
        <v>-4.4170378066167277</v>
      </c>
      <c r="AE27">
        <f t="shared" si="22"/>
        <v>-73.261018159439644</v>
      </c>
      <c r="AF27">
        <f t="shared" si="23"/>
        <v>4.0179321392232028</v>
      </c>
      <c r="AG27">
        <f t="shared" si="24"/>
        <v>0.60983529865069752</v>
      </c>
      <c r="AH27">
        <f t="shared" si="25"/>
        <v>3.9336390862958144</v>
      </c>
      <c r="AI27">
        <v>429.89251971540477</v>
      </c>
      <c r="AJ27">
        <v>425.77876363636329</v>
      </c>
      <c r="AK27">
        <v>2.025888555078344E-2</v>
      </c>
      <c r="AL27">
        <v>67.015624519436656</v>
      </c>
      <c r="AM27">
        <f t="shared" si="26"/>
        <v>0.62128308461210857</v>
      </c>
      <c r="AN27">
        <v>22.854173665396321</v>
      </c>
      <c r="AO27">
        <v>23.461084242424231</v>
      </c>
      <c r="AP27">
        <v>-3.4750348925611872E-5</v>
      </c>
      <c r="AQ27">
        <v>78.055498845893013</v>
      </c>
      <c r="AR27">
        <v>22</v>
      </c>
      <c r="AS27">
        <v>4</v>
      </c>
      <c r="AT27">
        <f t="shared" si="27"/>
        <v>1</v>
      </c>
      <c r="AU27">
        <f t="shared" si="28"/>
        <v>0</v>
      </c>
      <c r="AV27">
        <f t="shared" si="29"/>
        <v>51281.601274981243</v>
      </c>
      <c r="AW27" t="s">
        <v>569</v>
      </c>
      <c r="AX27">
        <v>13243.6</v>
      </c>
      <c r="AY27">
        <v>558.82352941176475</v>
      </c>
      <c r="AZ27">
        <v>2344.84</v>
      </c>
      <c r="BA27">
        <f t="shared" si="30"/>
        <v>0.7616794623890053</v>
      </c>
      <c r="BB27">
        <v>-4.0588593423444159</v>
      </c>
      <c r="BC27" t="s">
        <v>613</v>
      </c>
      <c r="BD27">
        <v>13201.5</v>
      </c>
      <c r="BE27">
        <v>668.84741176470595</v>
      </c>
      <c r="BF27">
        <v>1935.07</v>
      </c>
      <c r="BG27">
        <f t="shared" si="31"/>
        <v>0.65435492681675289</v>
      </c>
      <c r="BH27">
        <v>0.5</v>
      </c>
      <c r="BI27">
        <f t="shared" si="32"/>
        <v>84.28578137213934</v>
      </c>
      <c r="BJ27">
        <f t="shared" si="33"/>
        <v>4.0179321392232028</v>
      </c>
      <c r="BK27">
        <f t="shared" si="34"/>
        <v>27.576408150729534</v>
      </c>
      <c r="BL27">
        <f t="shared" si="35"/>
        <v>9.5826263339802181E-2</v>
      </c>
      <c r="BM27">
        <f t="shared" si="36"/>
        <v>0.21175978129990142</v>
      </c>
      <c r="BN27">
        <f t="shared" si="37"/>
        <v>531.9764318016272</v>
      </c>
      <c r="BO27" t="s">
        <v>402</v>
      </c>
      <c r="BP27">
        <v>0</v>
      </c>
      <c r="BQ27">
        <f t="shared" si="38"/>
        <v>531.9764318016272</v>
      </c>
      <c r="BR27">
        <f t="shared" si="39"/>
        <v>0.72508672461377244</v>
      </c>
      <c r="BS27">
        <f t="shared" si="40"/>
        <v>0.9024505684686257</v>
      </c>
      <c r="BT27">
        <f t="shared" si="41"/>
        <v>0.22603465985431567</v>
      </c>
      <c r="BU27">
        <f t="shared" si="42"/>
        <v>0.92005510298899096</v>
      </c>
      <c r="BV27">
        <f t="shared" si="43"/>
        <v>0.22943237464380156</v>
      </c>
      <c r="BW27">
        <f t="shared" si="44"/>
        <v>0.71777572110898424</v>
      </c>
      <c r="BX27">
        <f t="shared" si="45"/>
        <v>0.28222427889101576</v>
      </c>
      <c r="DG27">
        <f t="shared" si="46"/>
        <v>100.0007032258065</v>
      </c>
      <c r="DH27">
        <f t="shared" si="47"/>
        <v>84.28578137213934</v>
      </c>
      <c r="DI27">
        <f t="shared" si="48"/>
        <v>0.84285188656941645</v>
      </c>
      <c r="DJ27">
        <f t="shared" si="49"/>
        <v>0.16510414107897381</v>
      </c>
      <c r="DK27">
        <v>6</v>
      </c>
      <c r="DL27">
        <v>0.5</v>
      </c>
      <c r="DM27" t="s">
        <v>403</v>
      </c>
      <c r="DN27">
        <v>2</v>
      </c>
      <c r="DO27" t="b">
        <v>0</v>
      </c>
      <c r="DP27">
        <v>1785167557.599999</v>
      </c>
      <c r="DQ27">
        <v>415.71483870967739</v>
      </c>
      <c r="DR27">
        <v>419.98648387096767</v>
      </c>
      <c r="DS27">
        <v>23.445725806451609</v>
      </c>
      <c r="DT27">
        <v>22.850161290322578</v>
      </c>
      <c r="DU27">
        <v>429.67790322580629</v>
      </c>
      <c r="DV27">
        <v>25.101516129032252</v>
      </c>
      <c r="DW27">
        <v>599.97254838709671</v>
      </c>
      <c r="DX27">
        <v>97.188396774193535</v>
      </c>
      <c r="DY27">
        <v>6.2295664516129029E-2</v>
      </c>
      <c r="DZ27">
        <v>27.627616129032258</v>
      </c>
      <c r="EA27">
        <v>28.00417419354838</v>
      </c>
      <c r="EB27">
        <v>999.90000000000032</v>
      </c>
      <c r="EC27">
        <v>0</v>
      </c>
      <c r="ED27">
        <v>0</v>
      </c>
      <c r="EE27">
        <v>9999.677419354839</v>
      </c>
      <c r="EF27">
        <v>0</v>
      </c>
      <c r="EG27">
        <v>147.87170967741929</v>
      </c>
      <c r="EH27">
        <v>-4.2715683870967744</v>
      </c>
      <c r="EI27">
        <v>425.69567741935492</v>
      </c>
      <c r="EJ27">
        <v>429.80761290322579</v>
      </c>
      <c r="EK27">
        <v>0.59556270967741942</v>
      </c>
      <c r="EL27">
        <v>419.98648387096767</v>
      </c>
      <c r="EM27">
        <v>22.850161290322578</v>
      </c>
      <c r="EN27">
        <v>2.2786509677419349</v>
      </c>
      <c r="EO27">
        <v>2.2207690322580649</v>
      </c>
      <c r="EP27">
        <v>19.526274193548389</v>
      </c>
      <c r="EQ27">
        <v>19.112932258064511</v>
      </c>
      <c r="ER27">
        <v>100.0007032258065</v>
      </c>
      <c r="ES27">
        <v>0.89994141935483851</v>
      </c>
      <c r="ET27">
        <v>0.1000586225806451</v>
      </c>
      <c r="EU27">
        <v>0</v>
      </c>
      <c r="EV27">
        <v>668.92719354838721</v>
      </c>
      <c r="EW27">
        <v>5.0010700000000003</v>
      </c>
      <c r="EX27">
        <v>4083.0064516129041</v>
      </c>
      <c r="EY27">
        <v>836.55683870967744</v>
      </c>
      <c r="EZ27">
        <v>41.432999999999993</v>
      </c>
      <c r="FA27">
        <v>45.25</v>
      </c>
      <c r="FB27">
        <v>43.625</v>
      </c>
      <c r="FC27">
        <v>45.160999999999987</v>
      </c>
      <c r="FD27">
        <v>43.375</v>
      </c>
      <c r="FE27">
        <v>85.494193548387088</v>
      </c>
      <c r="FF27">
        <v>9.5064516129032253</v>
      </c>
      <c r="FG27">
        <v>0</v>
      </c>
      <c r="FH27">
        <v>180.9000000953674</v>
      </c>
      <c r="FI27">
        <v>0</v>
      </c>
      <c r="FJ27">
        <v>668.84741176470595</v>
      </c>
      <c r="FK27">
        <v>0.5504902763338051</v>
      </c>
      <c r="FL27">
        <v>-18.382353740882131</v>
      </c>
      <c r="FM27">
        <v>4090.024117647059</v>
      </c>
      <c r="FN27">
        <v>10</v>
      </c>
      <c r="FO27">
        <v>1785167431.0999999</v>
      </c>
      <c r="FP27" t="s">
        <v>614</v>
      </c>
      <c r="FQ27">
        <v>1785167429.5999999</v>
      </c>
      <c r="FR27">
        <v>1785167431.0999999</v>
      </c>
      <c r="FS27">
        <v>25</v>
      </c>
      <c r="FT27">
        <v>1E-3</v>
      </c>
      <c r="FU27">
        <v>-1.4E-2</v>
      </c>
      <c r="FV27">
        <v>-13.978999999999999</v>
      </c>
      <c r="FW27">
        <v>-1.679</v>
      </c>
      <c r="FX27">
        <v>420</v>
      </c>
      <c r="FY27">
        <v>23</v>
      </c>
      <c r="FZ27">
        <v>0.98</v>
      </c>
      <c r="GA27">
        <v>0.35</v>
      </c>
      <c r="GB27">
        <v>415.71326666666658</v>
      </c>
      <c r="GC27">
        <v>0.25831368186850379</v>
      </c>
      <c r="GD27">
        <v>5.6053506184320083E-2</v>
      </c>
      <c r="GE27">
        <v>-1</v>
      </c>
      <c r="GF27">
        <v>668.95217647058814</v>
      </c>
      <c r="GG27">
        <v>-1.1383040366292549</v>
      </c>
      <c r="GH27">
        <v>0.25172784914387691</v>
      </c>
      <c r="GI27">
        <v>1</v>
      </c>
      <c r="GJ27">
        <v>0.59273075000000008</v>
      </c>
      <c r="GK27">
        <v>7.0052307692308524E-2</v>
      </c>
      <c r="GL27">
        <v>7.9616792536185491E-3</v>
      </c>
      <c r="GM27">
        <v>1</v>
      </c>
      <c r="GN27">
        <v>2</v>
      </c>
      <c r="GO27">
        <v>2</v>
      </c>
      <c r="GP27" t="s">
        <v>404</v>
      </c>
      <c r="GQ27">
        <v>3.2448299999999999</v>
      </c>
      <c r="GR27">
        <v>2.7398099999999999</v>
      </c>
      <c r="GS27">
        <v>9.0114100000000003E-2</v>
      </c>
      <c r="GT27">
        <v>8.9331400000000005E-2</v>
      </c>
      <c r="GU27">
        <v>0.11322500000000001</v>
      </c>
      <c r="GV27">
        <v>0.106379</v>
      </c>
      <c r="GW27">
        <v>22553.599999999999</v>
      </c>
      <c r="GX27">
        <v>30059.5</v>
      </c>
      <c r="GY27">
        <v>26916.400000000001</v>
      </c>
      <c r="GZ27">
        <v>33983.9</v>
      </c>
      <c r="HA27">
        <v>35003.800000000003</v>
      </c>
      <c r="HB27">
        <v>37969.9</v>
      </c>
      <c r="HC27">
        <v>39768.699999999997</v>
      </c>
      <c r="HD27">
        <v>42556.5</v>
      </c>
      <c r="HE27">
        <v>2.0206</v>
      </c>
      <c r="HF27">
        <v>2.0005999999999999</v>
      </c>
      <c r="HG27">
        <v>-0.128299</v>
      </c>
      <c r="HH27">
        <v>0</v>
      </c>
      <c r="HI27">
        <v>30.1052</v>
      </c>
      <c r="HJ27">
        <v>999.9</v>
      </c>
      <c r="HK27">
        <v>62.4</v>
      </c>
      <c r="HL27">
        <v>41.6</v>
      </c>
      <c r="HM27">
        <v>51.820799999999998</v>
      </c>
      <c r="HN27">
        <v>61.305799999999998</v>
      </c>
      <c r="HO27">
        <v>-4.8637800000000002</v>
      </c>
      <c r="HP27">
        <v>2</v>
      </c>
      <c r="HQ27">
        <v>1.1036600000000001</v>
      </c>
      <c r="HR27">
        <v>7.1331199999999999</v>
      </c>
      <c r="HS27">
        <v>20.1004</v>
      </c>
      <c r="HT27">
        <v>5.2088999999999999</v>
      </c>
      <c r="HU27">
        <v>11.914099999999999</v>
      </c>
      <c r="HV27">
        <v>4.9824000000000002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1.8674900000000001</v>
      </c>
      <c r="IC27">
        <v>1.8631</v>
      </c>
      <c r="ID27">
        <v>1.8626400000000001</v>
      </c>
      <c r="IE27">
        <v>1.8622099999999999</v>
      </c>
      <c r="IF27">
        <v>1.8621799999999999</v>
      </c>
      <c r="IG27">
        <v>1.8627</v>
      </c>
      <c r="IH27">
        <v>1.86371</v>
      </c>
      <c r="II27">
        <v>1.8615999999999999</v>
      </c>
      <c r="IJ27">
        <v>0</v>
      </c>
      <c r="IK27">
        <v>0</v>
      </c>
      <c r="IL27">
        <v>0</v>
      </c>
      <c r="IM27">
        <v>4.5</v>
      </c>
      <c r="IN27" t="s">
        <v>405</v>
      </c>
      <c r="IO27" t="s">
        <v>406</v>
      </c>
      <c r="IP27" t="s">
        <v>407</v>
      </c>
      <c r="IQ27" t="s">
        <v>408</v>
      </c>
      <c r="IR27" t="s">
        <v>408</v>
      </c>
      <c r="IS27" t="s">
        <v>407</v>
      </c>
      <c r="IT27">
        <v>0</v>
      </c>
      <c r="IU27">
        <v>100</v>
      </c>
      <c r="IV27">
        <v>100</v>
      </c>
      <c r="IW27">
        <v>-13.962999999999999</v>
      </c>
      <c r="IX27">
        <v>-1.6553</v>
      </c>
      <c r="IY27">
        <v>-11.961499628487539</v>
      </c>
      <c r="IZ27">
        <v>-5.6215304933332991E-3</v>
      </c>
      <c r="JA27">
        <v>2.3979931213773931E-6</v>
      </c>
      <c r="JB27">
        <v>-3.6297174575716598E-10</v>
      </c>
      <c r="JC27">
        <v>-2.078744508788299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2.2999999999999998</v>
      </c>
      <c r="JL27">
        <v>2.2000000000000002</v>
      </c>
      <c r="JM27">
        <v>1.39893</v>
      </c>
      <c r="JN27">
        <v>2.5634800000000002</v>
      </c>
      <c r="JO27">
        <v>2.1496599999999999</v>
      </c>
      <c r="JP27">
        <v>2.5805699999999998</v>
      </c>
      <c r="JQ27">
        <v>2.1472199999999999</v>
      </c>
      <c r="JR27">
        <v>2.4450699999999999</v>
      </c>
      <c r="JS27">
        <v>46.473500000000001</v>
      </c>
      <c r="JT27">
        <v>23.991199999999999</v>
      </c>
      <c r="JU27">
        <v>18</v>
      </c>
      <c r="JV27">
        <v>634.20399999999995</v>
      </c>
      <c r="JW27">
        <v>648.43799999999999</v>
      </c>
      <c r="JX27">
        <v>23.312200000000001</v>
      </c>
      <c r="JY27">
        <v>40.0685</v>
      </c>
      <c r="JZ27">
        <v>30.000399999999999</v>
      </c>
      <c r="KA27">
        <v>40.429400000000001</v>
      </c>
      <c r="KB27">
        <v>39.970199999999998</v>
      </c>
      <c r="KC27">
        <v>27.993300000000001</v>
      </c>
      <c r="KD27">
        <v>53.8491</v>
      </c>
      <c r="KE27">
        <v>0</v>
      </c>
      <c r="KF27">
        <v>23.311900000000001</v>
      </c>
      <c r="KG27">
        <v>420</v>
      </c>
      <c r="KH27">
        <v>22.811299999999999</v>
      </c>
      <c r="KI27">
        <v>99.371099999999998</v>
      </c>
      <c r="KJ27">
        <v>96.304199999999994</v>
      </c>
    </row>
    <row r="28" spans="1:296" x14ac:dyDescent="0.3">
      <c r="A28">
        <v>12</v>
      </c>
      <c r="B28">
        <v>1785167747.0999999</v>
      </c>
      <c r="C28">
        <v>1996.599999904633</v>
      </c>
      <c r="D28" t="s">
        <v>615</v>
      </c>
      <c r="E28" t="s">
        <v>616</v>
      </c>
      <c r="F28">
        <v>15</v>
      </c>
      <c r="H28">
        <v>1785167739.099999</v>
      </c>
      <c r="I28">
        <f t="shared" si="0"/>
        <v>2.9972852198655958E-4</v>
      </c>
      <c r="J28">
        <f t="shared" si="1"/>
        <v>0.29972852198655958</v>
      </c>
      <c r="K28">
        <f t="shared" si="2"/>
        <v>0.79350415470870539</v>
      </c>
      <c r="L28">
        <f t="shared" si="3"/>
        <v>419.0592580645162</v>
      </c>
      <c r="M28">
        <f t="shared" si="4"/>
        <v>341.48389491556952</v>
      </c>
      <c r="N28">
        <f t="shared" si="5"/>
        <v>33.211255194677726</v>
      </c>
      <c r="O28">
        <f t="shared" si="6"/>
        <v>40.755901430473017</v>
      </c>
      <c r="P28">
        <f t="shared" si="7"/>
        <v>1.8774956176188379E-2</v>
      </c>
      <c r="Q28">
        <f t="shared" si="8"/>
        <v>2.8795948417170254</v>
      </c>
      <c r="R28">
        <f t="shared" si="9"/>
        <v>1.8707214076645162E-2</v>
      </c>
      <c r="S28">
        <f t="shared" si="10"/>
        <v>1.1698074690816152E-2</v>
      </c>
      <c r="T28">
        <f t="shared" si="11"/>
        <v>8.2408227703278261</v>
      </c>
      <c r="U28">
        <f t="shared" si="12"/>
        <v>27.58015531266398</v>
      </c>
      <c r="V28">
        <f t="shared" si="13"/>
        <v>28.00816774193548</v>
      </c>
      <c r="W28">
        <f t="shared" si="14"/>
        <v>3.7966469727534395</v>
      </c>
      <c r="X28">
        <f t="shared" si="15"/>
        <v>61.658012459475799</v>
      </c>
      <c r="Y28">
        <f t="shared" si="16"/>
        <v>2.2871456662781511</v>
      </c>
      <c r="Z28">
        <f t="shared" si="17"/>
        <v>3.7094054366111107</v>
      </c>
      <c r="AA28">
        <f t="shared" si="18"/>
        <v>1.5095013064752885</v>
      </c>
      <c r="AB28">
        <f t="shared" si="19"/>
        <v>-13.218027819607277</v>
      </c>
      <c r="AC28">
        <f t="shared" si="20"/>
        <v>-61.818446351866115</v>
      </c>
      <c r="AD28">
        <f t="shared" si="21"/>
        <v>-4.6705805696409683</v>
      </c>
      <c r="AE28">
        <f t="shared" si="22"/>
        <v>-71.466231970786538</v>
      </c>
      <c r="AF28">
        <f t="shared" si="23"/>
        <v>0.79350415470870539</v>
      </c>
      <c r="AG28">
        <f t="shared" si="24"/>
        <v>0.29972852198655958</v>
      </c>
      <c r="AH28">
        <f t="shared" si="25"/>
        <v>0.65477214143559004</v>
      </c>
      <c r="AI28">
        <v>429.8957247277915</v>
      </c>
      <c r="AJ28">
        <v>429.21594545454531</v>
      </c>
      <c r="AK28">
        <v>2.1651369245918911E-3</v>
      </c>
      <c r="AL28">
        <v>67.015617975358339</v>
      </c>
      <c r="AM28">
        <f t="shared" si="26"/>
        <v>0.36800187204246909</v>
      </c>
      <c r="AN28">
        <v>23.22761572473911</v>
      </c>
      <c r="AO28">
        <v>23.560414545454549</v>
      </c>
      <c r="AP28">
        <v>5.2511032124793848E-3</v>
      </c>
      <c r="AQ28">
        <v>78.053220009852723</v>
      </c>
      <c r="AR28">
        <v>24</v>
      </c>
      <c r="AS28">
        <v>4</v>
      </c>
      <c r="AT28">
        <f t="shared" si="27"/>
        <v>1</v>
      </c>
      <c r="AU28">
        <f t="shared" si="28"/>
        <v>0</v>
      </c>
      <c r="AV28">
        <f t="shared" si="29"/>
        <v>51281.760896015934</v>
      </c>
      <c r="AW28" t="s">
        <v>569</v>
      </c>
      <c r="AX28">
        <v>13243.6</v>
      </c>
      <c r="AY28">
        <v>558.82352941176475</v>
      </c>
      <c r="AZ28">
        <v>2344.84</v>
      </c>
      <c r="BA28">
        <f t="shared" si="30"/>
        <v>0.7616794623890053</v>
      </c>
      <c r="BB28">
        <v>-4.0588593423444159</v>
      </c>
      <c r="BC28" t="s">
        <v>617</v>
      </c>
      <c r="BD28">
        <v>13199.3</v>
      </c>
      <c r="BE28">
        <v>643.77970588235291</v>
      </c>
      <c r="BF28">
        <v>1969.94</v>
      </c>
      <c r="BG28">
        <f t="shared" si="31"/>
        <v>0.67319831777498151</v>
      </c>
      <c r="BH28">
        <v>0.5</v>
      </c>
      <c r="BI28">
        <f t="shared" si="32"/>
        <v>42.134992313557788</v>
      </c>
      <c r="BJ28">
        <f t="shared" si="33"/>
        <v>0.79350415470870539</v>
      </c>
      <c r="BK28">
        <f t="shared" si="34"/>
        <v>14.18260297247444</v>
      </c>
      <c r="BL28">
        <f t="shared" si="35"/>
        <v>0.11516232068925225</v>
      </c>
      <c r="BM28">
        <f t="shared" si="36"/>
        <v>0.19031036478268379</v>
      </c>
      <c r="BN28">
        <f t="shared" si="37"/>
        <v>534.5778225928716</v>
      </c>
      <c r="BO28" t="s">
        <v>402</v>
      </c>
      <c r="BP28">
        <v>0</v>
      </c>
      <c r="BQ28">
        <f t="shared" si="38"/>
        <v>534.5778225928716</v>
      </c>
      <c r="BR28">
        <f t="shared" si="39"/>
        <v>0.72863243418943135</v>
      </c>
      <c r="BS28">
        <f t="shared" si="40"/>
        <v>0.92392032825697956</v>
      </c>
      <c r="BT28">
        <f t="shared" si="41"/>
        <v>0.20709707393708915</v>
      </c>
      <c r="BU28">
        <f t="shared" si="42"/>
        <v>0.93979506423366066</v>
      </c>
      <c r="BV28">
        <f t="shared" si="43"/>
        <v>0.20990847854640698</v>
      </c>
      <c r="BW28">
        <f t="shared" si="44"/>
        <v>0.76719926523928994</v>
      </c>
      <c r="BX28">
        <f t="shared" si="45"/>
        <v>0.23280073476071006</v>
      </c>
      <c r="DG28">
        <f t="shared" si="46"/>
        <v>49.999803225806453</v>
      </c>
      <c r="DH28">
        <f t="shared" si="47"/>
        <v>42.134992313557788</v>
      </c>
      <c r="DI28">
        <f t="shared" si="48"/>
        <v>0.84270316271586065</v>
      </c>
      <c r="DJ28">
        <f t="shared" si="49"/>
        <v>0.16481710404161112</v>
      </c>
      <c r="DK28">
        <v>6</v>
      </c>
      <c r="DL28">
        <v>0.5</v>
      </c>
      <c r="DM28" t="s">
        <v>403</v>
      </c>
      <c r="DN28">
        <v>2</v>
      </c>
      <c r="DO28" t="b">
        <v>0</v>
      </c>
      <c r="DP28">
        <v>1785167739.099999</v>
      </c>
      <c r="DQ28">
        <v>419.0592580645162</v>
      </c>
      <c r="DR28">
        <v>419.97841935483859</v>
      </c>
      <c r="DS28">
        <v>23.516829032258059</v>
      </c>
      <c r="DT28">
        <v>23.224132258064511</v>
      </c>
      <c r="DU28">
        <v>433.05961290322591</v>
      </c>
      <c r="DV28">
        <v>25.195022580645169</v>
      </c>
      <c r="DW28">
        <v>599.96532258064519</v>
      </c>
      <c r="DX28">
        <v>97.193519354838728</v>
      </c>
      <c r="DY28">
        <v>6.2180516129032262E-2</v>
      </c>
      <c r="DZ28">
        <v>27.609967741935488</v>
      </c>
      <c r="EA28">
        <v>28.00816774193548</v>
      </c>
      <c r="EB28">
        <v>999.90000000000032</v>
      </c>
      <c r="EC28">
        <v>0</v>
      </c>
      <c r="ED28">
        <v>0</v>
      </c>
      <c r="EE28">
        <v>9998.5483870967746</v>
      </c>
      <c r="EF28">
        <v>0</v>
      </c>
      <c r="EG28">
        <v>144.79619354838709</v>
      </c>
      <c r="EH28">
        <v>-0.91913548387096777</v>
      </c>
      <c r="EI28">
        <v>429.15158064516129</v>
      </c>
      <c r="EJ28">
        <v>429.96400000000011</v>
      </c>
      <c r="EK28">
        <v>0.29270583870967742</v>
      </c>
      <c r="EL28">
        <v>419.97841935483859</v>
      </c>
      <c r="EM28">
        <v>23.224132258064511</v>
      </c>
      <c r="EN28">
        <v>2.2856835483870972</v>
      </c>
      <c r="EO28">
        <v>2.2572348387096768</v>
      </c>
      <c r="EP28">
        <v>19.575851612903229</v>
      </c>
      <c r="EQ28">
        <v>19.374416129032259</v>
      </c>
      <c r="ER28">
        <v>49.999803225806453</v>
      </c>
      <c r="ES28">
        <v>0.89993016129032244</v>
      </c>
      <c r="ET28">
        <v>0.1000702032258064</v>
      </c>
      <c r="EU28">
        <v>0</v>
      </c>
      <c r="EV28">
        <v>643.87290322580645</v>
      </c>
      <c r="EW28">
        <v>5.0010700000000003</v>
      </c>
      <c r="EX28">
        <v>3725.4138709677418</v>
      </c>
      <c r="EY28">
        <v>396.2526129032259</v>
      </c>
      <c r="EZ28">
        <v>41.125</v>
      </c>
      <c r="FA28">
        <v>45.092483870967719</v>
      </c>
      <c r="FB28">
        <v>43.375</v>
      </c>
      <c r="FC28">
        <v>44.936999999999969</v>
      </c>
      <c r="FD28">
        <v>43.125</v>
      </c>
      <c r="FE28">
        <v>40.495806451612907</v>
      </c>
      <c r="FF28">
        <v>4.5054838709677423</v>
      </c>
      <c r="FG28">
        <v>0</v>
      </c>
      <c r="FH28">
        <v>180.70000004768369</v>
      </c>
      <c r="FI28">
        <v>0</v>
      </c>
      <c r="FJ28">
        <v>643.77970588235291</v>
      </c>
      <c r="FK28">
        <v>-1.271568641392991</v>
      </c>
      <c r="FL28">
        <v>-45.973036831900167</v>
      </c>
      <c r="FM28">
        <v>3728.1941176470591</v>
      </c>
      <c r="FN28">
        <v>10</v>
      </c>
      <c r="FO28">
        <v>1785167611.5999999</v>
      </c>
      <c r="FP28" t="s">
        <v>618</v>
      </c>
      <c r="FQ28">
        <v>1785167611.5999999</v>
      </c>
      <c r="FR28">
        <v>1785167610.0999999</v>
      </c>
      <c r="FS28">
        <v>26</v>
      </c>
      <c r="FT28">
        <v>-2.5000000000000001E-2</v>
      </c>
      <c r="FU28">
        <v>-2.5000000000000001E-2</v>
      </c>
      <c r="FV28">
        <v>-14.003</v>
      </c>
      <c r="FW28">
        <v>-1.6890000000000001</v>
      </c>
      <c r="FX28">
        <v>420</v>
      </c>
      <c r="FY28">
        <v>23</v>
      </c>
      <c r="FZ28">
        <v>1.48</v>
      </c>
      <c r="GA28">
        <v>0.69</v>
      </c>
      <c r="GB28">
        <v>419.05706666666669</v>
      </c>
      <c r="GC28">
        <v>0.41315239154602851</v>
      </c>
      <c r="GD28">
        <v>5.8137155837628809E-2</v>
      </c>
      <c r="GE28">
        <v>-1</v>
      </c>
      <c r="GF28">
        <v>643.93741176470598</v>
      </c>
      <c r="GG28">
        <v>-1.3023682217771571</v>
      </c>
      <c r="GH28">
        <v>0.22778383943698099</v>
      </c>
      <c r="GI28">
        <v>1</v>
      </c>
      <c r="GJ28">
        <v>0.26994417500000001</v>
      </c>
      <c r="GK28">
        <v>0.45908606003752311</v>
      </c>
      <c r="GL28">
        <v>4.4814776270716512E-2</v>
      </c>
      <c r="GM28">
        <v>1</v>
      </c>
      <c r="GN28">
        <v>2</v>
      </c>
      <c r="GO28">
        <v>2</v>
      </c>
      <c r="GP28" t="s">
        <v>404</v>
      </c>
      <c r="GQ28">
        <v>3.2452100000000002</v>
      </c>
      <c r="GR28">
        <v>2.7396799999999999</v>
      </c>
      <c r="GS28">
        <v>9.0636400000000006E-2</v>
      </c>
      <c r="GT28">
        <v>8.9353000000000002E-2</v>
      </c>
      <c r="GU28">
        <v>0.113583</v>
      </c>
      <c r="GV28">
        <v>0.10756400000000001</v>
      </c>
      <c r="GW28">
        <v>22537.4</v>
      </c>
      <c r="GX28">
        <v>30053.9</v>
      </c>
      <c r="GY28">
        <v>26913</v>
      </c>
      <c r="GZ28">
        <v>33978.9</v>
      </c>
      <c r="HA28">
        <v>34985.699999999997</v>
      </c>
      <c r="HB28">
        <v>37913.9</v>
      </c>
      <c r="HC28">
        <v>39763.5</v>
      </c>
      <c r="HD28">
        <v>42549.599999999999</v>
      </c>
      <c r="HE28">
        <v>2.0165999999999999</v>
      </c>
      <c r="HF28">
        <v>1.9992000000000001</v>
      </c>
      <c r="HG28">
        <v>-0.128001</v>
      </c>
      <c r="HH28">
        <v>0</v>
      </c>
      <c r="HI28">
        <v>30.076599999999999</v>
      </c>
      <c r="HJ28">
        <v>999.9</v>
      </c>
      <c r="HK28">
        <v>62.2</v>
      </c>
      <c r="HL28">
        <v>41.8</v>
      </c>
      <c r="HM28">
        <v>52.204099999999997</v>
      </c>
      <c r="HN28">
        <v>61.255899999999997</v>
      </c>
      <c r="HO28">
        <v>-4.8237199999999998</v>
      </c>
      <c r="HP28">
        <v>2</v>
      </c>
      <c r="HQ28">
        <v>1.1135999999999999</v>
      </c>
      <c r="HR28">
        <v>7.2361700000000004</v>
      </c>
      <c r="HS28">
        <v>20.0962</v>
      </c>
      <c r="HT28">
        <v>5.2100999999999997</v>
      </c>
      <c r="HU28">
        <v>11.9153</v>
      </c>
      <c r="HV28">
        <v>4.9836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1.8674900000000001</v>
      </c>
      <c r="IC28">
        <v>1.86313</v>
      </c>
      <c r="ID28">
        <v>1.86267</v>
      </c>
      <c r="IE28">
        <v>1.8621799999999999</v>
      </c>
      <c r="IF28">
        <v>1.8621799999999999</v>
      </c>
      <c r="IG28">
        <v>1.8627</v>
      </c>
      <c r="IH28">
        <v>1.86368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405</v>
      </c>
      <c r="IO28" t="s">
        <v>406</v>
      </c>
      <c r="IP28" t="s">
        <v>407</v>
      </c>
      <c r="IQ28" t="s">
        <v>408</v>
      </c>
      <c r="IR28" t="s">
        <v>408</v>
      </c>
      <c r="IS28" t="s">
        <v>407</v>
      </c>
      <c r="IT28">
        <v>0</v>
      </c>
      <c r="IU28">
        <v>100</v>
      </c>
      <c r="IV28">
        <v>100</v>
      </c>
      <c r="IW28">
        <v>-14</v>
      </c>
      <c r="IX28">
        <v>-1.677</v>
      </c>
      <c r="IY28">
        <v>-11.98598603314983</v>
      </c>
      <c r="IZ28">
        <v>-5.6215304933332991E-3</v>
      </c>
      <c r="JA28">
        <v>2.3979931213773931E-6</v>
      </c>
      <c r="JB28">
        <v>-3.6297174575716598E-10</v>
      </c>
      <c r="JC28">
        <v>-2.1037803940851858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2.2999999999999998</v>
      </c>
      <c r="JL28">
        <v>2.2999999999999998</v>
      </c>
      <c r="JM28">
        <v>1.40015</v>
      </c>
      <c r="JN28">
        <v>2.5647000000000002</v>
      </c>
      <c r="JO28">
        <v>2.1496599999999999</v>
      </c>
      <c r="JP28">
        <v>2.5793499999999998</v>
      </c>
      <c r="JQ28">
        <v>2.1472199999999999</v>
      </c>
      <c r="JR28">
        <v>2.4584999999999999</v>
      </c>
      <c r="JS28">
        <v>46.561500000000002</v>
      </c>
      <c r="JT28">
        <v>23.991199999999999</v>
      </c>
      <c r="JU28">
        <v>18</v>
      </c>
      <c r="JV28">
        <v>631.87</v>
      </c>
      <c r="JW28">
        <v>647.99599999999998</v>
      </c>
      <c r="JX28">
        <v>23.252700000000001</v>
      </c>
      <c r="JY28">
        <v>40.165999999999997</v>
      </c>
      <c r="JZ28">
        <v>30.000499999999999</v>
      </c>
      <c r="KA28">
        <v>40.515300000000003</v>
      </c>
      <c r="KB28">
        <v>40.051600000000001</v>
      </c>
      <c r="KC28">
        <v>28.005500000000001</v>
      </c>
      <c r="KD28">
        <v>53.591099999999997</v>
      </c>
      <c r="KE28">
        <v>0</v>
      </c>
      <c r="KF28">
        <v>23.248200000000001</v>
      </c>
      <c r="KG28">
        <v>420</v>
      </c>
      <c r="KH28">
        <v>23.0807</v>
      </c>
      <c r="KI28">
        <v>99.358199999999997</v>
      </c>
      <c r="KJ28">
        <v>96.289199999999994</v>
      </c>
    </row>
    <row r="29" spans="1:296" x14ac:dyDescent="0.3">
      <c r="A29">
        <v>13</v>
      </c>
      <c r="B29">
        <v>1785167928.5999999</v>
      </c>
      <c r="C29">
        <v>2178.099999904633</v>
      </c>
      <c r="D29" t="s">
        <v>619</v>
      </c>
      <c r="E29" t="s">
        <v>620</v>
      </c>
      <c r="F29">
        <v>15</v>
      </c>
      <c r="H29">
        <v>1785167920.599999</v>
      </c>
      <c r="I29">
        <f t="shared" si="0"/>
        <v>2.707760453724137E-4</v>
      </c>
      <c r="J29">
        <f t="shared" si="1"/>
        <v>0.27077604537241368</v>
      </c>
      <c r="K29">
        <f t="shared" si="2"/>
        <v>-2.9929487474332941</v>
      </c>
      <c r="L29">
        <f t="shared" si="3"/>
        <v>422.88906451612888</v>
      </c>
      <c r="M29">
        <f t="shared" si="4"/>
        <v>696.77153307586957</v>
      </c>
      <c r="N29">
        <f t="shared" si="5"/>
        <v>67.767866455104212</v>
      </c>
      <c r="O29">
        <f t="shared" si="6"/>
        <v>41.13010978353568</v>
      </c>
      <c r="P29">
        <f t="shared" si="7"/>
        <v>1.6644642901130224E-2</v>
      </c>
      <c r="Q29">
        <f t="shared" si="8"/>
        <v>2.8790798150630423</v>
      </c>
      <c r="R29">
        <f t="shared" si="9"/>
        <v>1.6591368428157588E-2</v>
      </c>
      <c r="S29">
        <f t="shared" si="10"/>
        <v>1.0374377476541127E-2</v>
      </c>
      <c r="T29">
        <f t="shared" si="11"/>
        <v>1.5966703903835998E-4</v>
      </c>
      <c r="U29">
        <f t="shared" si="12"/>
        <v>27.557148406283915</v>
      </c>
      <c r="V29">
        <f t="shared" si="13"/>
        <v>28.040177419354841</v>
      </c>
      <c r="W29">
        <f t="shared" si="14"/>
        <v>3.803737060796708</v>
      </c>
      <c r="X29">
        <f t="shared" si="15"/>
        <v>61.020015455551523</v>
      </c>
      <c r="Y29">
        <f t="shared" si="16"/>
        <v>2.2659577828576665</v>
      </c>
      <c r="Z29">
        <f t="shared" si="17"/>
        <v>3.713466419077271</v>
      </c>
      <c r="AA29">
        <f t="shared" si="18"/>
        <v>1.5377792779390416</v>
      </c>
      <c r="AB29">
        <f t="shared" si="19"/>
        <v>-11.941223600923443</v>
      </c>
      <c r="AC29">
        <f t="shared" si="20"/>
        <v>-63.870773932569399</v>
      </c>
      <c r="AD29">
        <f t="shared" si="21"/>
        <v>-4.827724790795366</v>
      </c>
      <c r="AE29">
        <f t="shared" si="22"/>
        <v>-80.639562657249172</v>
      </c>
      <c r="AF29">
        <f t="shared" si="23"/>
        <v>-2.9929487474332941</v>
      </c>
      <c r="AG29">
        <f t="shared" si="24"/>
        <v>0.27077604537241368</v>
      </c>
      <c r="AH29">
        <f t="shared" si="25"/>
        <v>-2.8384574907524134</v>
      </c>
      <c r="AI29">
        <v>429.92738429543118</v>
      </c>
      <c r="AJ29">
        <v>432.94084242424242</v>
      </c>
      <c r="AK29">
        <v>-2.486945877093092E-2</v>
      </c>
      <c r="AL29">
        <v>67.015598465736176</v>
      </c>
      <c r="AM29">
        <f t="shared" si="26"/>
        <v>0.24662855648039406</v>
      </c>
      <c r="AN29">
        <v>23.0375764776722</v>
      </c>
      <c r="AO29">
        <v>23.280472121212131</v>
      </c>
      <c r="AP29">
        <v>-3.9547698002212272E-4</v>
      </c>
      <c r="AQ29">
        <v>78.050847228396748</v>
      </c>
      <c r="AR29">
        <v>22</v>
      </c>
      <c r="AS29">
        <v>4</v>
      </c>
      <c r="AT29">
        <f t="shared" si="27"/>
        <v>1</v>
      </c>
      <c r="AU29">
        <f t="shared" si="28"/>
        <v>0</v>
      </c>
      <c r="AV29">
        <f t="shared" si="29"/>
        <v>51264.07840363904</v>
      </c>
      <c r="AW29" t="s">
        <v>621</v>
      </c>
      <c r="AX29">
        <v>13208.5</v>
      </c>
      <c r="AY29">
        <v>539</v>
      </c>
      <c r="AZ29">
        <v>2198.98</v>
      </c>
      <c r="BA29">
        <f t="shared" si="30"/>
        <v>0.7548863564016044</v>
      </c>
      <c r="BB29">
        <v>-2.9929487474333509</v>
      </c>
      <c r="BC29" t="s">
        <v>402</v>
      </c>
      <c r="BD29" t="s">
        <v>402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-2.9929487474332941</v>
      </c>
      <c r="BK29" t="e">
        <f t="shared" si="34"/>
        <v>#DIV/0!</v>
      </c>
      <c r="BL29">
        <f t="shared" si="35"/>
        <v>6.7642323979959103E-11</v>
      </c>
      <c r="BM29" t="e">
        <f t="shared" si="36"/>
        <v>#DIV/0!</v>
      </c>
      <c r="BN29" t="e">
        <f t="shared" si="37"/>
        <v>#DIV/0!</v>
      </c>
      <c r="BO29" t="s">
        <v>402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1.3247027072615332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403</v>
      </c>
      <c r="DN29">
        <v>2</v>
      </c>
      <c r="DO29" t="b">
        <v>0</v>
      </c>
      <c r="DP29">
        <v>1785167920.599999</v>
      </c>
      <c r="DQ29">
        <v>422.88906451612888</v>
      </c>
      <c r="DR29">
        <v>420.01051612903228</v>
      </c>
      <c r="DS29">
        <v>23.29798709677419</v>
      </c>
      <c r="DT29">
        <v>23.03350967741936</v>
      </c>
      <c r="DU29">
        <v>436.96316129032249</v>
      </c>
      <c r="DV29">
        <v>24.981693548387099</v>
      </c>
      <c r="DW29">
        <v>599.97751612903221</v>
      </c>
      <c r="DX29">
        <v>97.19763870967742</v>
      </c>
      <c r="DY29">
        <v>6.2170622580645173E-2</v>
      </c>
      <c r="DZ29">
        <v>27.628683870967741</v>
      </c>
      <c r="EA29">
        <v>28.040177419354841</v>
      </c>
      <c r="EB29">
        <v>999.90000000000032</v>
      </c>
      <c r="EC29">
        <v>0</v>
      </c>
      <c r="ED29">
        <v>0</v>
      </c>
      <c r="EE29">
        <v>9995.1612903225814</v>
      </c>
      <c r="EF29">
        <v>0</v>
      </c>
      <c r="EG29">
        <v>147.54906451612899</v>
      </c>
      <c r="EH29">
        <v>2.8785038709677422</v>
      </c>
      <c r="EI29">
        <v>432.9764838709678</v>
      </c>
      <c r="EJ29">
        <v>429.91287096774198</v>
      </c>
      <c r="EK29">
        <v>0.26446890322580652</v>
      </c>
      <c r="EL29">
        <v>420.01051612903228</v>
      </c>
      <c r="EM29">
        <v>23.03350967741936</v>
      </c>
      <c r="EN29">
        <v>2.2645080645161291</v>
      </c>
      <c r="EO29">
        <v>2.2388032258064521</v>
      </c>
      <c r="EP29">
        <v>19.426129032258061</v>
      </c>
      <c r="EQ29">
        <v>19.242709677419359</v>
      </c>
      <c r="ER29">
        <v>1.00021E-2</v>
      </c>
      <c r="ES29">
        <v>0</v>
      </c>
      <c r="ET29">
        <v>0</v>
      </c>
      <c r="EU29">
        <v>0</v>
      </c>
      <c r="EV29">
        <v>540.5322580645161</v>
      </c>
      <c r="EW29">
        <v>1.00021E-2</v>
      </c>
      <c r="EX29">
        <v>3391.159677419354</v>
      </c>
      <c r="EY29">
        <v>2.6241935483870971</v>
      </c>
      <c r="EZ29">
        <v>40.811999999999983</v>
      </c>
      <c r="FA29">
        <v>44.983741935483849</v>
      </c>
      <c r="FB29">
        <v>43.125</v>
      </c>
      <c r="FC29">
        <v>44.625</v>
      </c>
      <c r="FD29">
        <v>42.625</v>
      </c>
      <c r="FE29">
        <v>0</v>
      </c>
      <c r="FF29">
        <v>0</v>
      </c>
      <c r="FG29">
        <v>0</v>
      </c>
      <c r="FH29">
        <v>181</v>
      </c>
      <c r="FI29">
        <v>0</v>
      </c>
      <c r="FJ29">
        <v>539</v>
      </c>
      <c r="FK29">
        <v>-8.2352938296495175</v>
      </c>
      <c r="FL29">
        <v>-10.943629313625831</v>
      </c>
      <c r="FM29">
        <v>3395.197058823529</v>
      </c>
      <c r="FN29">
        <v>10</v>
      </c>
      <c r="FO29">
        <v>1785167796.0999999</v>
      </c>
      <c r="FP29" t="s">
        <v>622</v>
      </c>
      <c r="FQ29">
        <v>1785167793.0999999</v>
      </c>
      <c r="FR29">
        <v>1785167796.0999999</v>
      </c>
      <c r="FS29">
        <v>27</v>
      </c>
      <c r="FT29">
        <v>-5.8999999999999997E-2</v>
      </c>
      <c r="FU29">
        <v>0</v>
      </c>
      <c r="FV29">
        <v>-14.063000000000001</v>
      </c>
      <c r="FW29">
        <v>-1.6890000000000001</v>
      </c>
      <c r="FX29">
        <v>420</v>
      </c>
      <c r="FY29">
        <v>23</v>
      </c>
      <c r="FZ29">
        <v>1.45</v>
      </c>
      <c r="GA29">
        <v>0.64</v>
      </c>
      <c r="GB29">
        <v>422.88670967741928</v>
      </c>
      <c r="GC29">
        <v>0.2499193548386264</v>
      </c>
      <c r="GD29">
        <v>5.0265869616302458E-2</v>
      </c>
      <c r="GE29">
        <v>-1</v>
      </c>
      <c r="GF29">
        <v>540.63235294117646</v>
      </c>
      <c r="GG29">
        <v>-9.7280365617282563</v>
      </c>
      <c r="GH29">
        <v>3.973938673572468</v>
      </c>
      <c r="GI29">
        <v>1</v>
      </c>
      <c r="GJ29">
        <v>0.28583878048780492</v>
      </c>
      <c r="GK29">
        <v>-0.38827758188153327</v>
      </c>
      <c r="GL29">
        <v>3.9825029555521432E-2</v>
      </c>
      <c r="GM29">
        <v>1</v>
      </c>
      <c r="GN29">
        <v>2</v>
      </c>
      <c r="GO29">
        <v>2</v>
      </c>
      <c r="GP29" t="s">
        <v>404</v>
      </c>
      <c r="GQ29">
        <v>3.2449300000000001</v>
      </c>
      <c r="GR29">
        <v>2.7382599999999999</v>
      </c>
      <c r="GS29">
        <v>9.1234499999999996E-2</v>
      </c>
      <c r="GT29">
        <v>8.9344300000000001E-2</v>
      </c>
      <c r="GU29">
        <v>0.112694</v>
      </c>
      <c r="GV29">
        <v>0.10692599999999999</v>
      </c>
      <c r="GW29">
        <v>22518.799999999999</v>
      </c>
      <c r="GX29">
        <v>30048.6</v>
      </c>
      <c r="GY29">
        <v>26908.7</v>
      </c>
      <c r="GZ29">
        <v>33973.1</v>
      </c>
      <c r="HA29">
        <v>35015.800000000003</v>
      </c>
      <c r="HB29">
        <v>37935</v>
      </c>
      <c r="HC29">
        <v>39758</v>
      </c>
      <c r="HD29">
        <v>42543</v>
      </c>
      <c r="HE29">
        <v>2.0175999999999998</v>
      </c>
      <c r="HF29">
        <v>1.9976</v>
      </c>
      <c r="HG29">
        <v>-0.127524</v>
      </c>
      <c r="HH29">
        <v>0</v>
      </c>
      <c r="HI29">
        <v>30.113099999999999</v>
      </c>
      <c r="HJ29">
        <v>999.9</v>
      </c>
      <c r="HK29">
        <v>61.8</v>
      </c>
      <c r="HL29">
        <v>41.9</v>
      </c>
      <c r="HM29">
        <v>52.136699999999998</v>
      </c>
      <c r="HN29">
        <v>61.305900000000001</v>
      </c>
      <c r="HO29">
        <v>-4.6754800000000003</v>
      </c>
      <c r="HP29">
        <v>2</v>
      </c>
      <c r="HQ29">
        <v>1.1238999999999999</v>
      </c>
      <c r="HR29">
        <v>7.5255799999999997</v>
      </c>
      <c r="HS29">
        <v>20.085899999999999</v>
      </c>
      <c r="HT29">
        <v>5.2077099999999996</v>
      </c>
      <c r="HU29">
        <v>11.9153</v>
      </c>
      <c r="HV29">
        <v>4.9791999999999996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1.8674299999999999</v>
      </c>
      <c r="IC29">
        <v>1.86313</v>
      </c>
      <c r="ID29">
        <v>1.8626400000000001</v>
      </c>
      <c r="IE29">
        <v>1.8621799999999999</v>
      </c>
      <c r="IF29">
        <v>1.8621799999999999</v>
      </c>
      <c r="IG29">
        <v>1.8626400000000001</v>
      </c>
      <c r="IH29">
        <v>1.86371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405</v>
      </c>
      <c r="IO29" t="s">
        <v>406</v>
      </c>
      <c r="IP29" t="s">
        <v>407</v>
      </c>
      <c r="IQ29" t="s">
        <v>408</v>
      </c>
      <c r="IR29" t="s">
        <v>408</v>
      </c>
      <c r="IS29" t="s">
        <v>407</v>
      </c>
      <c r="IT29">
        <v>0</v>
      </c>
      <c r="IU29">
        <v>100</v>
      </c>
      <c r="IV29">
        <v>100</v>
      </c>
      <c r="IW29">
        <v>-14.074</v>
      </c>
      <c r="IX29">
        <v>-1.6842999999999999</v>
      </c>
      <c r="IY29">
        <v>-12.045250856556709</v>
      </c>
      <c r="IZ29">
        <v>-5.6215304933332991E-3</v>
      </c>
      <c r="JA29">
        <v>2.3979931213773931E-6</v>
      </c>
      <c r="JB29">
        <v>-3.6297174575716598E-10</v>
      </c>
      <c r="JC29">
        <v>-2.1032822551190291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2.2999999999999998</v>
      </c>
      <c r="JL29">
        <v>2.2000000000000002</v>
      </c>
      <c r="JM29">
        <v>1.40015</v>
      </c>
      <c r="JN29">
        <v>2.5610400000000002</v>
      </c>
      <c r="JO29">
        <v>2.1496599999999999</v>
      </c>
      <c r="JP29">
        <v>2.5793499999999998</v>
      </c>
      <c r="JQ29">
        <v>2.1472199999999999</v>
      </c>
      <c r="JR29">
        <v>2.4706999999999999</v>
      </c>
      <c r="JS29">
        <v>46.6496</v>
      </c>
      <c r="JT29">
        <v>23.991199999999999</v>
      </c>
      <c r="JU29">
        <v>18</v>
      </c>
      <c r="JV29">
        <v>633.303</v>
      </c>
      <c r="JW29">
        <v>647.30700000000002</v>
      </c>
      <c r="JX29">
        <v>23.170200000000001</v>
      </c>
      <c r="JY29">
        <v>40.229700000000001</v>
      </c>
      <c r="JZ29">
        <v>30.0001</v>
      </c>
      <c r="KA29">
        <v>40.589599999999997</v>
      </c>
      <c r="KB29">
        <v>40.125399999999999</v>
      </c>
      <c r="KC29">
        <v>28.004200000000001</v>
      </c>
      <c r="KD29">
        <v>53.871000000000002</v>
      </c>
      <c r="KE29">
        <v>0</v>
      </c>
      <c r="KF29">
        <v>23.188500000000001</v>
      </c>
      <c r="KG29">
        <v>420</v>
      </c>
      <c r="KH29">
        <v>23.181799999999999</v>
      </c>
      <c r="KI29">
        <v>99.343500000000006</v>
      </c>
      <c r="KJ29">
        <v>96.273600000000002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E17A-836D-41CB-BA00-93EFEFB36611}">
  <dimension ref="A2:KJ29"/>
  <sheetViews>
    <sheetView workbookViewId="0">
      <selection activeCell="M31" sqref="M3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517</v>
      </c>
      <c r="G13" t="s">
        <v>518</v>
      </c>
      <c r="H13">
        <v>0</v>
      </c>
    </row>
    <row r="14" spans="1:296" x14ac:dyDescent="0.3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57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61</v>
      </c>
      <c r="BK14" t="s">
        <v>61</v>
      </c>
      <c r="BL14" t="s">
        <v>61</v>
      </c>
      <c r="BM14" t="s">
        <v>61</v>
      </c>
      <c r="BN14" t="s">
        <v>61</v>
      </c>
      <c r="BO14" t="s">
        <v>61</v>
      </c>
      <c r="BP14" t="s">
        <v>61</v>
      </c>
      <c r="BQ14" t="s">
        <v>61</v>
      </c>
      <c r="BR14" t="s">
        <v>61</v>
      </c>
      <c r="BS14" t="s">
        <v>61</v>
      </c>
      <c r="BT14" t="s">
        <v>61</v>
      </c>
      <c r="BU14" t="s">
        <v>61</v>
      </c>
      <c r="BV14" t="s">
        <v>61</v>
      </c>
      <c r="BW14" t="s">
        <v>61</v>
      </c>
      <c r="BX14" t="s">
        <v>61</v>
      </c>
      <c r="BY14" t="s">
        <v>62</v>
      </c>
      <c r="BZ14" t="s">
        <v>62</v>
      </c>
      <c r="CA14" t="s">
        <v>62</v>
      </c>
      <c r="CB14" t="s">
        <v>62</v>
      </c>
      <c r="CC14" t="s">
        <v>62</v>
      </c>
      <c r="CD14" t="s">
        <v>62</v>
      </c>
      <c r="CE14" t="s">
        <v>62</v>
      </c>
      <c r="CF14" t="s">
        <v>62</v>
      </c>
      <c r="CG14" t="s">
        <v>62</v>
      </c>
      <c r="CH14" t="s">
        <v>62</v>
      </c>
      <c r="CI14" t="s">
        <v>62</v>
      </c>
      <c r="CJ14" t="s">
        <v>62</v>
      </c>
      <c r="CK14" t="s">
        <v>62</v>
      </c>
      <c r="CL14" t="s">
        <v>62</v>
      </c>
      <c r="CM14" t="s">
        <v>62</v>
      </c>
      <c r="CN14" t="s">
        <v>62</v>
      </c>
      <c r="CO14" t="s">
        <v>62</v>
      </c>
      <c r="CP14" t="s">
        <v>62</v>
      </c>
      <c r="CQ14" t="s">
        <v>62</v>
      </c>
      <c r="CR14" t="s">
        <v>62</v>
      </c>
      <c r="CS14" t="s">
        <v>62</v>
      </c>
      <c r="CT14" t="s">
        <v>63</v>
      </c>
      <c r="CU14" t="s">
        <v>63</v>
      </c>
      <c r="CV14" t="s">
        <v>63</v>
      </c>
      <c r="CW14" t="s">
        <v>63</v>
      </c>
      <c r="CX14" t="s">
        <v>63</v>
      </c>
      <c r="CY14" t="s">
        <v>63</v>
      </c>
      <c r="CZ14" t="s">
        <v>63</v>
      </c>
      <c r="DA14" t="s">
        <v>63</v>
      </c>
      <c r="DB14" t="s">
        <v>63</v>
      </c>
      <c r="DC14" t="s">
        <v>63</v>
      </c>
      <c r="DD14" t="s">
        <v>63</v>
      </c>
      <c r="DE14" t="s">
        <v>63</v>
      </c>
      <c r="DF14" t="s">
        <v>63</v>
      </c>
      <c r="DG14" t="s">
        <v>64</v>
      </c>
      <c r="DH14" t="s">
        <v>64</v>
      </c>
      <c r="DI14" t="s">
        <v>64</v>
      </c>
      <c r="DJ14" t="s">
        <v>64</v>
      </c>
      <c r="DK14" t="s">
        <v>65</v>
      </c>
      <c r="DL14" t="s">
        <v>65</v>
      </c>
      <c r="DM14" t="s">
        <v>65</v>
      </c>
      <c r="DN14" t="s">
        <v>65</v>
      </c>
      <c r="DO14" t="s">
        <v>65</v>
      </c>
      <c r="DP14" t="s">
        <v>66</v>
      </c>
      <c r="DQ14" t="s">
        <v>66</v>
      </c>
      <c r="DR14" t="s">
        <v>66</v>
      </c>
      <c r="DS14" t="s">
        <v>66</v>
      </c>
      <c r="DT14" t="s">
        <v>66</v>
      </c>
      <c r="DU14" t="s">
        <v>66</v>
      </c>
      <c r="DV14" t="s">
        <v>66</v>
      </c>
      <c r="DW14" t="s">
        <v>66</v>
      </c>
      <c r="DX14" t="s">
        <v>66</v>
      </c>
      <c r="DY14" t="s">
        <v>66</v>
      </c>
      <c r="DZ14" t="s">
        <v>66</v>
      </c>
      <c r="EA14" t="s">
        <v>66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s">
        <v>67</v>
      </c>
      <c r="EI14" t="s">
        <v>67</v>
      </c>
      <c r="EJ14" t="s">
        <v>67</v>
      </c>
      <c r="EK14" t="s">
        <v>67</v>
      </c>
      <c r="EL14" t="s">
        <v>67</v>
      </c>
      <c r="EM14" t="s">
        <v>67</v>
      </c>
      <c r="EN14" t="s">
        <v>67</v>
      </c>
      <c r="EO14" t="s">
        <v>67</v>
      </c>
      <c r="EP14" t="s">
        <v>67</v>
      </c>
      <c r="EQ14" t="s">
        <v>67</v>
      </c>
      <c r="ER14" t="s">
        <v>68</v>
      </c>
      <c r="ES14" t="s">
        <v>68</v>
      </c>
      <c r="ET14" t="s">
        <v>68</v>
      </c>
      <c r="EU14" t="s">
        <v>68</v>
      </c>
      <c r="EV14" t="s">
        <v>68</v>
      </c>
      <c r="EW14" t="s">
        <v>68</v>
      </c>
      <c r="EX14" t="s">
        <v>68</v>
      </c>
      <c r="EY14" t="s">
        <v>68</v>
      </c>
      <c r="EZ14" t="s">
        <v>68</v>
      </c>
      <c r="FA14" t="s">
        <v>68</v>
      </c>
      <c r="FB14" t="s">
        <v>68</v>
      </c>
      <c r="FC14" t="s">
        <v>68</v>
      </c>
      <c r="FD14" t="s">
        <v>68</v>
      </c>
      <c r="FE14" t="s">
        <v>68</v>
      </c>
      <c r="FF14" t="s">
        <v>68</v>
      </c>
      <c r="FG14" t="s">
        <v>68</v>
      </c>
      <c r="FH14" t="s">
        <v>68</v>
      </c>
      <c r="FI14" t="s">
        <v>68</v>
      </c>
      <c r="FJ14" t="s">
        <v>69</v>
      </c>
      <c r="FK14" t="s">
        <v>69</v>
      </c>
      <c r="FL14" t="s">
        <v>69</v>
      </c>
      <c r="FM14" t="s">
        <v>69</v>
      </c>
      <c r="FN14" t="s">
        <v>69</v>
      </c>
      <c r="FO14" t="s">
        <v>70</v>
      </c>
      <c r="FP14" t="s">
        <v>70</v>
      </c>
      <c r="FQ14" t="s">
        <v>70</v>
      </c>
      <c r="FR14" t="s">
        <v>70</v>
      </c>
      <c r="FS14" t="s">
        <v>70</v>
      </c>
      <c r="FT14" t="s">
        <v>70</v>
      </c>
      <c r="FU14" t="s">
        <v>70</v>
      </c>
      <c r="FV14" t="s">
        <v>70</v>
      </c>
      <c r="FW14" t="s">
        <v>70</v>
      </c>
      <c r="FX14" t="s">
        <v>70</v>
      </c>
      <c r="FY14" t="s">
        <v>70</v>
      </c>
      <c r="FZ14" t="s">
        <v>70</v>
      </c>
      <c r="GA14" t="s">
        <v>70</v>
      </c>
      <c r="GB14" t="s">
        <v>71</v>
      </c>
      <c r="GC14" t="s">
        <v>71</v>
      </c>
      <c r="GD14" t="s">
        <v>71</v>
      </c>
      <c r="GE14" t="s">
        <v>71</v>
      </c>
      <c r="GF14" t="s">
        <v>71</v>
      </c>
      <c r="GG14" t="s">
        <v>71</v>
      </c>
      <c r="GH14" t="s">
        <v>71</v>
      </c>
      <c r="GI14" t="s">
        <v>71</v>
      </c>
      <c r="GJ14" t="s">
        <v>71</v>
      </c>
      <c r="GK14" t="s">
        <v>71</v>
      </c>
      <c r="GL14" t="s">
        <v>71</v>
      </c>
      <c r="GM14" t="s">
        <v>71</v>
      </c>
      <c r="GN14" t="s">
        <v>71</v>
      </c>
      <c r="GO14" t="s">
        <v>71</v>
      </c>
      <c r="GP14" t="s">
        <v>71</v>
      </c>
      <c r="GQ14" t="s">
        <v>72</v>
      </c>
      <c r="GR14" t="s">
        <v>72</v>
      </c>
      <c r="GS14" t="s">
        <v>72</v>
      </c>
      <c r="GT14" t="s">
        <v>72</v>
      </c>
      <c r="GU14" t="s">
        <v>72</v>
      </c>
      <c r="GV14" t="s">
        <v>72</v>
      </c>
      <c r="GW14" t="s">
        <v>72</v>
      </c>
      <c r="GX14" t="s">
        <v>72</v>
      </c>
      <c r="GY14" t="s">
        <v>72</v>
      </c>
      <c r="GZ14" t="s">
        <v>72</v>
      </c>
      <c r="HA14" t="s">
        <v>72</v>
      </c>
      <c r="HB14" t="s">
        <v>72</v>
      </c>
      <c r="HC14" t="s">
        <v>72</v>
      </c>
      <c r="HD14" t="s">
        <v>72</v>
      </c>
      <c r="HE14" t="s">
        <v>72</v>
      </c>
      <c r="HF14" t="s">
        <v>72</v>
      </c>
      <c r="HG14" t="s">
        <v>72</v>
      </c>
      <c r="HH14" t="s">
        <v>72</v>
      </c>
      <c r="HI14" t="s">
        <v>73</v>
      </c>
      <c r="HJ14" t="s">
        <v>73</v>
      </c>
      <c r="HK14" t="s">
        <v>73</v>
      </c>
      <c r="HL14" t="s">
        <v>73</v>
      </c>
      <c r="HM14" t="s">
        <v>73</v>
      </c>
      <c r="HN14" t="s">
        <v>73</v>
      </c>
      <c r="HO14" t="s">
        <v>73</v>
      </c>
      <c r="HP14" t="s">
        <v>73</v>
      </c>
      <c r="HQ14" t="s">
        <v>73</v>
      </c>
      <c r="HR14" t="s">
        <v>73</v>
      </c>
      <c r="HS14" t="s">
        <v>73</v>
      </c>
      <c r="HT14" t="s">
        <v>73</v>
      </c>
      <c r="HU14" t="s">
        <v>73</v>
      </c>
      <c r="HV14" t="s">
        <v>73</v>
      </c>
      <c r="HW14" t="s">
        <v>73</v>
      </c>
      <c r="HX14" t="s">
        <v>73</v>
      </c>
      <c r="HY14" t="s">
        <v>73</v>
      </c>
      <c r="HZ14" t="s">
        <v>73</v>
      </c>
      <c r="IA14" t="s">
        <v>73</v>
      </c>
      <c r="IB14" t="s">
        <v>74</v>
      </c>
      <c r="IC14" t="s">
        <v>74</v>
      </c>
      <c r="ID14" t="s">
        <v>74</v>
      </c>
      <c r="IE14" t="s">
        <v>74</v>
      </c>
      <c r="IF14" t="s">
        <v>74</v>
      </c>
      <c r="IG14" t="s">
        <v>74</v>
      </c>
      <c r="IH14" t="s">
        <v>74</v>
      </c>
      <c r="II14" t="s">
        <v>74</v>
      </c>
      <c r="IJ14" t="s">
        <v>74</v>
      </c>
      <c r="IK14" t="s">
        <v>74</v>
      </c>
      <c r="IL14" t="s">
        <v>74</v>
      </c>
      <c r="IM14" t="s">
        <v>74</v>
      </c>
      <c r="IN14" t="s">
        <v>74</v>
      </c>
      <c r="IO14" t="s">
        <v>74</v>
      </c>
      <c r="IP14" t="s">
        <v>74</v>
      </c>
      <c r="IQ14" t="s">
        <v>74</v>
      </c>
      <c r="IR14" t="s">
        <v>74</v>
      </c>
      <c r="IS14" t="s">
        <v>74</v>
      </c>
      <c r="IT14" t="s">
        <v>74</v>
      </c>
      <c r="IU14" t="s">
        <v>75</v>
      </c>
      <c r="IV14" t="s">
        <v>75</v>
      </c>
      <c r="IW14" t="s">
        <v>75</v>
      </c>
      <c r="IX14" t="s">
        <v>75</v>
      </c>
      <c r="IY14" t="s">
        <v>75</v>
      </c>
      <c r="IZ14" t="s">
        <v>75</v>
      </c>
      <c r="JA14" t="s">
        <v>75</v>
      </c>
      <c r="JB14" t="s">
        <v>75</v>
      </c>
      <c r="JC14" t="s">
        <v>75</v>
      </c>
      <c r="JD14" t="s">
        <v>75</v>
      </c>
      <c r="JE14" t="s">
        <v>75</v>
      </c>
      <c r="JF14" t="s">
        <v>75</v>
      </c>
      <c r="JG14" t="s">
        <v>75</v>
      </c>
      <c r="JH14" t="s">
        <v>75</v>
      </c>
      <c r="JI14" t="s">
        <v>75</v>
      </c>
      <c r="JJ14" t="s">
        <v>75</v>
      </c>
      <c r="JK14" t="s">
        <v>75</v>
      </c>
      <c r="JL14" t="s">
        <v>75</v>
      </c>
      <c r="JM14" t="s">
        <v>76</v>
      </c>
      <c r="JN14" t="s">
        <v>76</v>
      </c>
      <c r="JO14" t="s">
        <v>76</v>
      </c>
      <c r="JP14" t="s">
        <v>76</v>
      </c>
      <c r="JQ14" t="s">
        <v>76</v>
      </c>
      <c r="JR14" t="s">
        <v>76</v>
      </c>
      <c r="JS14" t="s">
        <v>76</v>
      </c>
      <c r="JT14" t="s">
        <v>76</v>
      </c>
      <c r="JU14" t="s">
        <v>77</v>
      </c>
      <c r="JV14" t="s">
        <v>77</v>
      </c>
      <c r="JW14" t="s">
        <v>77</v>
      </c>
      <c r="JX14" t="s">
        <v>77</v>
      </c>
      <c r="JY14" t="s">
        <v>77</v>
      </c>
      <c r="JZ14" t="s">
        <v>77</v>
      </c>
      <c r="KA14" t="s">
        <v>77</v>
      </c>
      <c r="KB14" t="s">
        <v>77</v>
      </c>
      <c r="KC14" t="s">
        <v>77</v>
      </c>
      <c r="KD14" t="s">
        <v>77</v>
      </c>
      <c r="KE14" t="s">
        <v>77</v>
      </c>
      <c r="KF14" t="s">
        <v>77</v>
      </c>
      <c r="KG14" t="s">
        <v>77</v>
      </c>
      <c r="KH14" t="s">
        <v>77</v>
      </c>
      <c r="KI14" t="s">
        <v>77</v>
      </c>
      <c r="KJ14" t="s">
        <v>77</v>
      </c>
    </row>
    <row r="15" spans="1:296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t="s">
        <v>97</v>
      </c>
      <c r="U15" t="s">
        <v>98</v>
      </c>
      <c r="V15" t="s">
        <v>99</v>
      </c>
      <c r="W15" t="s">
        <v>100</v>
      </c>
      <c r="X15" t="s">
        <v>101</v>
      </c>
      <c r="Y15" t="s">
        <v>102</v>
      </c>
      <c r="Z15" t="s">
        <v>103</v>
      </c>
      <c r="AA15" t="s">
        <v>104</v>
      </c>
      <c r="AB15" t="s">
        <v>105</v>
      </c>
      <c r="AC15" t="s">
        <v>106</v>
      </c>
      <c r="AD15" t="s">
        <v>107</v>
      </c>
      <c r="AE15" t="s">
        <v>108</v>
      </c>
      <c r="AF15" t="s">
        <v>109</v>
      </c>
      <c r="AG15" t="s">
        <v>110</v>
      </c>
      <c r="AH15" t="s">
        <v>111</v>
      </c>
      <c r="AI15" t="s">
        <v>112</v>
      </c>
      <c r="AJ15" t="s">
        <v>113</v>
      </c>
      <c r="AK15" t="s">
        <v>114</v>
      </c>
      <c r="AL15" t="s">
        <v>115</v>
      </c>
      <c r="AM15" t="s">
        <v>116</v>
      </c>
      <c r="AN15" t="s">
        <v>117</v>
      </c>
      <c r="AO15" t="s">
        <v>118</v>
      </c>
      <c r="AP15" t="s">
        <v>119</v>
      </c>
      <c r="AQ15" t="s">
        <v>120</v>
      </c>
      <c r="AR15" t="s">
        <v>60</v>
      </c>
      <c r="AS15" t="s">
        <v>121</v>
      </c>
      <c r="AT15" t="s">
        <v>122</v>
      </c>
      <c r="AU15" t="s">
        <v>123</v>
      </c>
      <c r="AV15" t="s">
        <v>124</v>
      </c>
      <c r="AW15" t="s">
        <v>125</v>
      </c>
      <c r="AX15" t="s">
        <v>126</v>
      </c>
      <c r="AY15" t="s">
        <v>127</v>
      </c>
      <c r="AZ15" t="s">
        <v>128</v>
      </c>
      <c r="BA15" t="s">
        <v>129</v>
      </c>
      <c r="BB15" t="s">
        <v>130</v>
      </c>
      <c r="BC15" t="s">
        <v>131</v>
      </c>
      <c r="BD15" t="s">
        <v>132</v>
      </c>
      <c r="BE15" t="s">
        <v>133</v>
      </c>
      <c r="BF15" t="s">
        <v>134</v>
      </c>
      <c r="BG15" t="s">
        <v>135</v>
      </c>
      <c r="BH15" t="s">
        <v>136</v>
      </c>
      <c r="BI15" t="s">
        <v>137</v>
      </c>
      <c r="BJ15" t="s">
        <v>138</v>
      </c>
      <c r="BK15" t="s">
        <v>139</v>
      </c>
      <c r="BL15" t="s">
        <v>140</v>
      </c>
      <c r="BM15" t="s">
        <v>141</v>
      </c>
      <c r="BN15" t="s">
        <v>142</v>
      </c>
      <c r="BO15" t="s">
        <v>143</v>
      </c>
      <c r="BP15" t="s">
        <v>144</v>
      </c>
      <c r="BQ15" t="s">
        <v>145</v>
      </c>
      <c r="BR15" t="s">
        <v>146</v>
      </c>
      <c r="BS15" t="s">
        <v>147</v>
      </c>
      <c r="BT15" t="s">
        <v>148</v>
      </c>
      <c r="BU15" t="s">
        <v>149</v>
      </c>
      <c r="BV15" t="s">
        <v>150</v>
      </c>
      <c r="BW15" t="s">
        <v>151</v>
      </c>
      <c r="BX15" t="s">
        <v>152</v>
      </c>
      <c r="BY15" t="s">
        <v>153</v>
      </c>
      <c r="BZ15" t="s">
        <v>154</v>
      </c>
      <c r="CA15" t="s">
        <v>155</v>
      </c>
      <c r="CB15" t="s">
        <v>156</v>
      </c>
      <c r="CC15" t="s">
        <v>157</v>
      </c>
      <c r="CD15" t="s">
        <v>158</v>
      </c>
      <c r="CE15" t="s">
        <v>159</v>
      </c>
      <c r="CF15" t="s">
        <v>160</v>
      </c>
      <c r="CG15" t="s">
        <v>161</v>
      </c>
      <c r="CH15" t="s">
        <v>162</v>
      </c>
      <c r="CI15" t="s">
        <v>163</v>
      </c>
      <c r="CJ15" t="s">
        <v>164</v>
      </c>
      <c r="CK15" t="s">
        <v>165</v>
      </c>
      <c r="CL15" t="s">
        <v>166</v>
      </c>
      <c r="CM15" t="s">
        <v>167</v>
      </c>
      <c r="CN15" t="s">
        <v>168</v>
      </c>
      <c r="CO15" t="s">
        <v>169</v>
      </c>
      <c r="CP15" t="s">
        <v>170</v>
      </c>
      <c r="CQ15" t="s">
        <v>171</v>
      </c>
      <c r="CR15" t="s">
        <v>172</v>
      </c>
      <c r="CS15" t="s">
        <v>173</v>
      </c>
      <c r="CT15" t="s">
        <v>153</v>
      </c>
      <c r="CU15" t="s">
        <v>174</v>
      </c>
      <c r="CV15" t="s">
        <v>175</v>
      </c>
      <c r="CW15" t="s">
        <v>176</v>
      </c>
      <c r="CX15" t="s">
        <v>127</v>
      </c>
      <c r="CY15" t="s">
        <v>177</v>
      </c>
      <c r="CZ15" t="s">
        <v>178</v>
      </c>
      <c r="DA15" t="s">
        <v>179</v>
      </c>
      <c r="DB15" t="s">
        <v>180</v>
      </c>
      <c r="DC15" t="s">
        <v>181</v>
      </c>
      <c r="DD15" t="s">
        <v>182</v>
      </c>
      <c r="DE15" t="s">
        <v>183</v>
      </c>
      <c r="DF15" t="s">
        <v>184</v>
      </c>
      <c r="DG15" t="s">
        <v>185</v>
      </c>
      <c r="DH15" t="s">
        <v>186</v>
      </c>
      <c r="DI15" t="s">
        <v>187</v>
      </c>
      <c r="DJ15" t="s">
        <v>188</v>
      </c>
      <c r="DK15" t="s">
        <v>189</v>
      </c>
      <c r="DL15" t="s">
        <v>190</v>
      </c>
      <c r="DM15" t="s">
        <v>191</v>
      </c>
      <c r="DN15" t="s">
        <v>192</v>
      </c>
      <c r="DO15" t="s">
        <v>193</v>
      </c>
      <c r="DP15" t="s">
        <v>85</v>
      </c>
      <c r="DQ15" t="s">
        <v>194</v>
      </c>
      <c r="DR15" t="s">
        <v>195</v>
      </c>
      <c r="DS15" t="s">
        <v>196</v>
      </c>
      <c r="DT15" t="s">
        <v>197</v>
      </c>
      <c r="DU15" t="s">
        <v>198</v>
      </c>
      <c r="DV15" t="s">
        <v>199</v>
      </c>
      <c r="DW15" t="s">
        <v>200</v>
      </c>
      <c r="DX15" t="s">
        <v>201</v>
      </c>
      <c r="DY15" t="s">
        <v>202</v>
      </c>
      <c r="DZ15" t="s">
        <v>203</v>
      </c>
      <c r="EA15" t="s">
        <v>204</v>
      </c>
      <c r="EB15" t="s">
        <v>205</v>
      </c>
      <c r="EC15" t="s">
        <v>206</v>
      </c>
      <c r="ED15" t="s">
        <v>207</v>
      </c>
      <c r="EE15" t="s">
        <v>208</v>
      </c>
      <c r="EF15" t="s">
        <v>209</v>
      </c>
      <c r="EG15" t="s">
        <v>210</v>
      </c>
      <c r="EH15" t="s">
        <v>211</v>
      </c>
      <c r="EI15" t="s">
        <v>212</v>
      </c>
      <c r="EJ15" t="s">
        <v>213</v>
      </c>
      <c r="EK15" t="s">
        <v>214</v>
      </c>
      <c r="EL15" t="s">
        <v>215</v>
      </c>
      <c r="EM15" t="s">
        <v>216</v>
      </c>
      <c r="EN15" t="s">
        <v>217</v>
      </c>
      <c r="EO15" t="s">
        <v>218</v>
      </c>
      <c r="EP15" t="s">
        <v>219</v>
      </c>
      <c r="EQ15" t="s">
        <v>220</v>
      </c>
      <c r="ER15" t="s">
        <v>221</v>
      </c>
      <c r="ES15" t="s">
        <v>222</v>
      </c>
      <c r="ET15" t="s">
        <v>223</v>
      </c>
      <c r="EU15" t="s">
        <v>224</v>
      </c>
      <c r="EV15" t="s">
        <v>225</v>
      </c>
      <c r="EW15" t="s">
        <v>226</v>
      </c>
      <c r="EX15" t="s">
        <v>227</v>
      </c>
      <c r="EY15" t="s">
        <v>228</v>
      </c>
      <c r="EZ15" t="s">
        <v>229</v>
      </c>
      <c r="FA15" t="s">
        <v>230</v>
      </c>
      <c r="FB15" t="s">
        <v>231</v>
      </c>
      <c r="FC15" t="s">
        <v>232</v>
      </c>
      <c r="FD15" t="s">
        <v>233</v>
      </c>
      <c r="FE15" t="s">
        <v>234</v>
      </c>
      <c r="FF15" t="s">
        <v>235</v>
      </c>
      <c r="FG15" t="s">
        <v>236</v>
      </c>
      <c r="FH15" t="s">
        <v>237</v>
      </c>
      <c r="FI15" t="s">
        <v>238</v>
      </c>
      <c r="FJ15" t="s">
        <v>239</v>
      </c>
      <c r="FK15" t="s">
        <v>240</v>
      </c>
      <c r="FL15" t="s">
        <v>241</v>
      </c>
      <c r="FM15" t="s">
        <v>242</v>
      </c>
      <c r="FN15" t="s">
        <v>243</v>
      </c>
      <c r="FO15" t="s">
        <v>79</v>
      </c>
      <c r="FP15" t="s">
        <v>82</v>
      </c>
      <c r="FQ15" t="s">
        <v>244</v>
      </c>
      <c r="FR15" t="s">
        <v>245</v>
      </c>
      <c r="FS15" t="s">
        <v>246</v>
      </c>
      <c r="FT15" t="s">
        <v>247</v>
      </c>
      <c r="FU15" t="s">
        <v>248</v>
      </c>
      <c r="FV15" t="s">
        <v>249</v>
      </c>
      <c r="FW15" t="s">
        <v>250</v>
      </c>
      <c r="FX15" t="s">
        <v>251</v>
      </c>
      <c r="FY15" t="s">
        <v>252</v>
      </c>
      <c r="FZ15" t="s">
        <v>253</v>
      </c>
      <c r="GA15" t="s">
        <v>254</v>
      </c>
      <c r="GB15" t="s">
        <v>255</v>
      </c>
      <c r="GC15" t="s">
        <v>256</v>
      </c>
      <c r="GD15" t="s">
        <v>257</v>
      </c>
      <c r="GE15" t="s">
        <v>258</v>
      </c>
      <c r="GF15" t="s">
        <v>259</v>
      </c>
      <c r="GG15" t="s">
        <v>260</v>
      </c>
      <c r="GH15" t="s">
        <v>261</v>
      </c>
      <c r="GI15" t="s">
        <v>262</v>
      </c>
      <c r="GJ15" t="s">
        <v>263</v>
      </c>
      <c r="GK15" t="s">
        <v>264</v>
      </c>
      <c r="GL15" t="s">
        <v>265</v>
      </c>
      <c r="GM15" t="s">
        <v>266</v>
      </c>
      <c r="GN15" t="s">
        <v>267</v>
      </c>
      <c r="GO15" t="s">
        <v>268</v>
      </c>
      <c r="GP15" t="s">
        <v>269</v>
      </c>
      <c r="GQ15" t="s">
        <v>270</v>
      </c>
      <c r="GR15" t="s">
        <v>271</v>
      </c>
      <c r="GS15" t="s">
        <v>272</v>
      </c>
      <c r="GT15" t="s">
        <v>273</v>
      </c>
      <c r="GU15" t="s">
        <v>274</v>
      </c>
      <c r="GV15" t="s">
        <v>275</v>
      </c>
      <c r="GW15" t="s">
        <v>276</v>
      </c>
      <c r="GX15" t="s">
        <v>277</v>
      </c>
      <c r="GY15" t="s">
        <v>278</v>
      </c>
      <c r="GZ15" t="s">
        <v>279</v>
      </c>
      <c r="HA15" t="s">
        <v>280</v>
      </c>
      <c r="HB15" t="s">
        <v>281</v>
      </c>
      <c r="HC15" t="s">
        <v>282</v>
      </c>
      <c r="HD15" t="s">
        <v>283</v>
      </c>
      <c r="HE15" t="s">
        <v>284</v>
      </c>
      <c r="HF15" t="s">
        <v>285</v>
      </c>
      <c r="HG15" t="s">
        <v>286</v>
      </c>
      <c r="HH15" t="s">
        <v>287</v>
      </c>
      <c r="HI15" t="s">
        <v>288</v>
      </c>
      <c r="HJ15" t="s">
        <v>289</v>
      </c>
      <c r="HK15" t="s">
        <v>290</v>
      </c>
      <c r="HL15" t="s">
        <v>291</v>
      </c>
      <c r="HM15" t="s">
        <v>292</v>
      </c>
      <c r="HN15" t="s">
        <v>293</v>
      </c>
      <c r="HO15" t="s">
        <v>294</v>
      </c>
      <c r="HP15" t="s">
        <v>295</v>
      </c>
      <c r="HQ15" t="s">
        <v>296</v>
      </c>
      <c r="HR15" t="s">
        <v>297</v>
      </c>
      <c r="HS15" t="s">
        <v>298</v>
      </c>
      <c r="HT15" t="s">
        <v>299</v>
      </c>
      <c r="HU15" t="s">
        <v>300</v>
      </c>
      <c r="HV15" t="s">
        <v>301</v>
      </c>
      <c r="HW15" t="s">
        <v>302</v>
      </c>
      <c r="HX15" t="s">
        <v>303</v>
      </c>
      <c r="HY15" t="s">
        <v>304</v>
      </c>
      <c r="HZ15" t="s">
        <v>305</v>
      </c>
      <c r="IA15" t="s">
        <v>306</v>
      </c>
      <c r="IB15" t="s">
        <v>307</v>
      </c>
      <c r="IC15" t="s">
        <v>308</v>
      </c>
      <c r="ID15" t="s">
        <v>309</v>
      </c>
      <c r="IE15" t="s">
        <v>310</v>
      </c>
      <c r="IF15" t="s">
        <v>311</v>
      </c>
      <c r="IG15" t="s">
        <v>312</v>
      </c>
      <c r="IH15" t="s">
        <v>313</v>
      </c>
      <c r="II15" t="s">
        <v>314</v>
      </c>
      <c r="IJ15" t="s">
        <v>315</v>
      </c>
      <c r="IK15" t="s">
        <v>316</v>
      </c>
      <c r="IL15" t="s">
        <v>317</v>
      </c>
      <c r="IM15" t="s">
        <v>318</v>
      </c>
      <c r="IN15" t="s">
        <v>319</v>
      </c>
      <c r="IO15" t="s">
        <v>320</v>
      </c>
      <c r="IP15" t="s">
        <v>321</v>
      </c>
      <c r="IQ15" t="s">
        <v>322</v>
      </c>
      <c r="IR15" t="s">
        <v>323</v>
      </c>
      <c r="IS15" t="s">
        <v>324</v>
      </c>
      <c r="IT15" t="s">
        <v>325</v>
      </c>
      <c r="IU15" t="s">
        <v>326</v>
      </c>
      <c r="IV15" t="s">
        <v>327</v>
      </c>
      <c r="IW15" t="s">
        <v>328</v>
      </c>
      <c r="IX15" t="s">
        <v>329</v>
      </c>
      <c r="IY15" t="s">
        <v>330</v>
      </c>
      <c r="IZ15" t="s">
        <v>331</v>
      </c>
      <c r="JA15" t="s">
        <v>332</v>
      </c>
      <c r="JB15" t="s">
        <v>333</v>
      </c>
      <c r="JC15" t="s">
        <v>334</v>
      </c>
      <c r="JD15" t="s">
        <v>335</v>
      </c>
      <c r="JE15" t="s">
        <v>336</v>
      </c>
      <c r="JF15" t="s">
        <v>337</v>
      </c>
      <c r="JG15" t="s">
        <v>338</v>
      </c>
      <c r="JH15" t="s">
        <v>339</v>
      </c>
      <c r="JI15" t="s">
        <v>340</v>
      </c>
      <c r="JJ15" t="s">
        <v>341</v>
      </c>
      <c r="JK15" t="s">
        <v>342</v>
      </c>
      <c r="JL15" t="s">
        <v>343</v>
      </c>
      <c r="JM15" t="s">
        <v>344</v>
      </c>
      <c r="JN15" t="s">
        <v>345</v>
      </c>
      <c r="JO15" t="s">
        <v>346</v>
      </c>
      <c r="JP15" t="s">
        <v>347</v>
      </c>
      <c r="JQ15" t="s">
        <v>348</v>
      </c>
      <c r="JR15" t="s">
        <v>349</v>
      </c>
      <c r="JS15" t="s">
        <v>350</v>
      </c>
      <c r="JT15" t="s">
        <v>351</v>
      </c>
      <c r="JU15" t="s">
        <v>352</v>
      </c>
      <c r="JV15" t="s">
        <v>353</v>
      </c>
      <c r="JW15" t="s">
        <v>354</v>
      </c>
      <c r="JX15" t="s">
        <v>355</v>
      </c>
      <c r="JY15" t="s">
        <v>356</v>
      </c>
      <c r="JZ15" t="s">
        <v>357</v>
      </c>
      <c r="KA15" t="s">
        <v>358</v>
      </c>
      <c r="KB15" t="s">
        <v>359</v>
      </c>
      <c r="KC15" t="s">
        <v>360</v>
      </c>
      <c r="KD15" t="s">
        <v>361</v>
      </c>
      <c r="KE15" t="s">
        <v>362</v>
      </c>
      <c r="KF15" t="s">
        <v>363</v>
      </c>
      <c r="KG15" t="s">
        <v>364</v>
      </c>
      <c r="KH15" t="s">
        <v>365</v>
      </c>
      <c r="KI15" t="s">
        <v>366</v>
      </c>
      <c r="KJ15" t="s">
        <v>367</v>
      </c>
    </row>
    <row r="16" spans="1:296" x14ac:dyDescent="0.3">
      <c r="B16" t="s">
        <v>368</v>
      </c>
      <c r="C16" t="s">
        <v>368</v>
      </c>
      <c r="F16" t="s">
        <v>368</v>
      </c>
      <c r="H16" t="s">
        <v>368</v>
      </c>
      <c r="I16" t="s">
        <v>369</v>
      </c>
      <c r="J16" t="s">
        <v>370</v>
      </c>
      <c r="K16" t="s">
        <v>371</v>
      </c>
      <c r="L16" t="s">
        <v>372</v>
      </c>
      <c r="M16" t="s">
        <v>372</v>
      </c>
      <c r="N16" t="s">
        <v>201</v>
      </c>
      <c r="O16" t="s">
        <v>201</v>
      </c>
      <c r="P16" t="s">
        <v>369</v>
      </c>
      <c r="Q16" t="s">
        <v>369</v>
      </c>
      <c r="R16" t="s">
        <v>369</v>
      </c>
      <c r="S16" t="s">
        <v>369</v>
      </c>
      <c r="T16" t="s">
        <v>373</v>
      </c>
      <c r="U16" t="s">
        <v>374</v>
      </c>
      <c r="V16" t="s">
        <v>374</v>
      </c>
      <c r="W16" t="s">
        <v>375</v>
      </c>
      <c r="X16" t="s">
        <v>376</v>
      </c>
      <c r="Y16" t="s">
        <v>375</v>
      </c>
      <c r="Z16" t="s">
        <v>375</v>
      </c>
      <c r="AA16" t="s">
        <v>375</v>
      </c>
      <c r="AB16" t="s">
        <v>373</v>
      </c>
      <c r="AC16" t="s">
        <v>373</v>
      </c>
      <c r="AD16" t="s">
        <v>373</v>
      </c>
      <c r="AE16" t="s">
        <v>373</v>
      </c>
      <c r="AF16" t="s">
        <v>371</v>
      </c>
      <c r="AG16" t="s">
        <v>370</v>
      </c>
      <c r="AH16" t="s">
        <v>371</v>
      </c>
      <c r="AI16" t="s">
        <v>372</v>
      </c>
      <c r="AJ16" t="s">
        <v>372</v>
      </c>
      <c r="AK16" t="s">
        <v>377</v>
      </c>
      <c r="AL16" t="s">
        <v>378</v>
      </c>
      <c r="AM16" t="s">
        <v>370</v>
      </c>
      <c r="AN16" t="s">
        <v>379</v>
      </c>
      <c r="AO16" t="s">
        <v>379</v>
      </c>
      <c r="AP16" t="s">
        <v>380</v>
      </c>
      <c r="AQ16" t="s">
        <v>378</v>
      </c>
      <c r="AR16" t="s">
        <v>381</v>
      </c>
      <c r="AS16" t="s">
        <v>376</v>
      </c>
      <c r="AU16" t="s">
        <v>376</v>
      </c>
      <c r="AV16" t="s">
        <v>381</v>
      </c>
      <c r="BB16" t="s">
        <v>371</v>
      </c>
      <c r="BI16" t="s">
        <v>371</v>
      </c>
      <c r="BJ16" t="s">
        <v>371</v>
      </c>
      <c r="BK16" t="s">
        <v>371</v>
      </c>
      <c r="BL16" t="s">
        <v>382</v>
      </c>
      <c r="BZ16" t="s">
        <v>383</v>
      </c>
      <c r="CB16" t="s">
        <v>383</v>
      </c>
      <c r="CC16" t="s">
        <v>371</v>
      </c>
      <c r="CF16" t="s">
        <v>383</v>
      </c>
      <c r="CG16" t="s">
        <v>376</v>
      </c>
      <c r="CJ16" t="s">
        <v>384</v>
      </c>
      <c r="CK16" t="s">
        <v>384</v>
      </c>
      <c r="CM16" t="s">
        <v>385</v>
      </c>
      <c r="CN16" t="s">
        <v>383</v>
      </c>
      <c r="CP16" t="s">
        <v>383</v>
      </c>
      <c r="CQ16" t="s">
        <v>371</v>
      </c>
      <c r="CU16" t="s">
        <v>383</v>
      </c>
      <c r="CW16" t="s">
        <v>386</v>
      </c>
      <c r="CZ16" t="s">
        <v>383</v>
      </c>
      <c r="DA16" t="s">
        <v>383</v>
      </c>
      <c r="DC16" t="s">
        <v>383</v>
      </c>
      <c r="DE16" t="s">
        <v>383</v>
      </c>
      <c r="DG16" t="s">
        <v>371</v>
      </c>
      <c r="DH16" t="s">
        <v>371</v>
      </c>
      <c r="DJ16" t="s">
        <v>387</v>
      </c>
      <c r="DK16" t="s">
        <v>388</v>
      </c>
      <c r="DN16" t="s">
        <v>369</v>
      </c>
      <c r="DP16" t="s">
        <v>368</v>
      </c>
      <c r="DQ16" t="s">
        <v>372</v>
      </c>
      <c r="DR16" t="s">
        <v>372</v>
      </c>
      <c r="DS16" t="s">
        <v>379</v>
      </c>
      <c r="DT16" t="s">
        <v>379</v>
      </c>
      <c r="DU16" t="s">
        <v>372</v>
      </c>
      <c r="DV16" t="s">
        <v>379</v>
      </c>
      <c r="DW16" t="s">
        <v>381</v>
      </c>
      <c r="DX16" t="s">
        <v>375</v>
      </c>
      <c r="DY16" t="s">
        <v>375</v>
      </c>
      <c r="DZ16" t="s">
        <v>374</v>
      </c>
      <c r="EA16" t="s">
        <v>374</v>
      </c>
      <c r="EB16" t="s">
        <v>374</v>
      </c>
      <c r="EC16" t="s">
        <v>374</v>
      </c>
      <c r="ED16" t="s">
        <v>374</v>
      </c>
      <c r="EE16" t="s">
        <v>389</v>
      </c>
      <c r="EF16" t="s">
        <v>371</v>
      </c>
      <c r="EG16" t="s">
        <v>371</v>
      </c>
      <c r="EH16" t="s">
        <v>372</v>
      </c>
      <c r="EI16" t="s">
        <v>372</v>
      </c>
      <c r="EJ16" t="s">
        <v>372</v>
      </c>
      <c r="EK16" t="s">
        <v>379</v>
      </c>
      <c r="EL16" t="s">
        <v>372</v>
      </c>
      <c r="EM16" t="s">
        <v>379</v>
      </c>
      <c r="EN16" t="s">
        <v>375</v>
      </c>
      <c r="EO16" t="s">
        <v>375</v>
      </c>
      <c r="EP16" t="s">
        <v>374</v>
      </c>
      <c r="EQ16" t="s">
        <v>374</v>
      </c>
      <c r="ER16" t="s">
        <v>371</v>
      </c>
      <c r="EW16" t="s">
        <v>371</v>
      </c>
      <c r="EZ16" t="s">
        <v>374</v>
      </c>
      <c r="FA16" t="s">
        <v>374</v>
      </c>
      <c r="FB16" t="s">
        <v>374</v>
      </c>
      <c r="FC16" t="s">
        <v>374</v>
      </c>
      <c r="FD16" t="s">
        <v>374</v>
      </c>
      <c r="FE16" t="s">
        <v>371</v>
      </c>
      <c r="FF16" t="s">
        <v>371</v>
      </c>
      <c r="FG16" t="s">
        <v>371</v>
      </c>
      <c r="FH16" t="s">
        <v>368</v>
      </c>
      <c r="FK16" t="s">
        <v>390</v>
      </c>
      <c r="FL16" t="s">
        <v>390</v>
      </c>
      <c r="FN16" t="s">
        <v>368</v>
      </c>
      <c r="FO16" t="s">
        <v>391</v>
      </c>
      <c r="FQ16" t="s">
        <v>368</v>
      </c>
      <c r="FR16" t="s">
        <v>368</v>
      </c>
      <c r="FT16" t="s">
        <v>392</v>
      </c>
      <c r="FU16" t="s">
        <v>393</v>
      </c>
      <c r="FV16" t="s">
        <v>392</v>
      </c>
      <c r="FW16" t="s">
        <v>393</v>
      </c>
      <c r="FX16" t="s">
        <v>392</v>
      </c>
      <c r="FY16" t="s">
        <v>393</v>
      </c>
      <c r="FZ16" t="s">
        <v>376</v>
      </c>
      <c r="GA16" t="s">
        <v>376</v>
      </c>
      <c r="GB16" t="s">
        <v>372</v>
      </c>
      <c r="GC16" t="s">
        <v>394</v>
      </c>
      <c r="GD16" t="s">
        <v>372</v>
      </c>
      <c r="GG16" t="s">
        <v>395</v>
      </c>
      <c r="GJ16" t="s">
        <v>379</v>
      </c>
      <c r="GK16" t="s">
        <v>396</v>
      </c>
      <c r="GL16" t="s">
        <v>379</v>
      </c>
      <c r="GQ16" t="s">
        <v>397</v>
      </c>
      <c r="GR16" t="s">
        <v>397</v>
      </c>
      <c r="HE16" t="s">
        <v>397</v>
      </c>
      <c r="HF16" t="s">
        <v>397</v>
      </c>
      <c r="HG16" t="s">
        <v>398</v>
      </c>
      <c r="HH16" t="s">
        <v>398</v>
      </c>
      <c r="HI16" t="s">
        <v>374</v>
      </c>
      <c r="HJ16" t="s">
        <v>374</v>
      </c>
      <c r="HK16" t="s">
        <v>376</v>
      </c>
      <c r="HL16" t="s">
        <v>374</v>
      </c>
      <c r="HM16" t="s">
        <v>379</v>
      </c>
      <c r="HN16" t="s">
        <v>376</v>
      </c>
      <c r="HO16" t="s">
        <v>376</v>
      </c>
      <c r="HQ16" t="s">
        <v>397</v>
      </c>
      <c r="HR16" t="s">
        <v>397</v>
      </c>
      <c r="HS16" t="s">
        <v>397</v>
      </c>
      <c r="HT16" t="s">
        <v>397</v>
      </c>
      <c r="HU16" t="s">
        <v>397</v>
      </c>
      <c r="HV16" t="s">
        <v>397</v>
      </c>
      <c r="HW16" t="s">
        <v>397</v>
      </c>
      <c r="HX16" t="s">
        <v>399</v>
      </c>
      <c r="HY16" t="s">
        <v>399</v>
      </c>
      <c r="HZ16" t="s">
        <v>399</v>
      </c>
      <c r="IA16" t="s">
        <v>400</v>
      </c>
      <c r="IB16" t="s">
        <v>397</v>
      </c>
      <c r="IC16" t="s">
        <v>397</v>
      </c>
      <c r="ID16" t="s">
        <v>397</v>
      </c>
      <c r="IE16" t="s">
        <v>397</v>
      </c>
      <c r="IF16" t="s">
        <v>397</v>
      </c>
      <c r="IG16" t="s">
        <v>397</v>
      </c>
      <c r="IH16" t="s">
        <v>397</v>
      </c>
      <c r="II16" t="s">
        <v>397</v>
      </c>
      <c r="IJ16" t="s">
        <v>397</v>
      </c>
      <c r="IK16" t="s">
        <v>397</v>
      </c>
      <c r="IL16" t="s">
        <v>397</v>
      </c>
      <c r="IM16" t="s">
        <v>397</v>
      </c>
      <c r="IT16" t="s">
        <v>397</v>
      </c>
      <c r="IU16" t="s">
        <v>376</v>
      </c>
      <c r="IV16" t="s">
        <v>376</v>
      </c>
      <c r="IW16" t="s">
        <v>392</v>
      </c>
      <c r="IX16" t="s">
        <v>393</v>
      </c>
      <c r="IY16" t="s">
        <v>392</v>
      </c>
      <c r="JC16" t="s">
        <v>393</v>
      </c>
      <c r="JG16" t="s">
        <v>372</v>
      </c>
      <c r="JH16" t="s">
        <v>372</v>
      </c>
      <c r="JI16" t="s">
        <v>379</v>
      </c>
      <c r="JJ16" t="s">
        <v>379</v>
      </c>
      <c r="JK16" t="s">
        <v>401</v>
      </c>
      <c r="JL16" t="s">
        <v>401</v>
      </c>
      <c r="JM16" t="s">
        <v>397</v>
      </c>
      <c r="JN16" t="s">
        <v>397</v>
      </c>
      <c r="JO16" t="s">
        <v>397</v>
      </c>
      <c r="JP16" t="s">
        <v>397</v>
      </c>
      <c r="JQ16" t="s">
        <v>397</v>
      </c>
      <c r="JR16" t="s">
        <v>397</v>
      </c>
      <c r="JS16" t="s">
        <v>374</v>
      </c>
      <c r="JT16" t="s">
        <v>397</v>
      </c>
      <c r="JV16" t="s">
        <v>381</v>
      </c>
      <c r="JW16" t="s">
        <v>381</v>
      </c>
      <c r="JX16" t="s">
        <v>374</v>
      </c>
      <c r="JY16" t="s">
        <v>374</v>
      </c>
      <c r="JZ16" t="s">
        <v>374</v>
      </c>
      <c r="KA16" t="s">
        <v>374</v>
      </c>
      <c r="KB16" t="s">
        <v>374</v>
      </c>
      <c r="KC16" t="s">
        <v>376</v>
      </c>
      <c r="KD16" t="s">
        <v>376</v>
      </c>
      <c r="KE16" t="s">
        <v>376</v>
      </c>
      <c r="KF16" t="s">
        <v>374</v>
      </c>
      <c r="KG16" t="s">
        <v>372</v>
      </c>
      <c r="KH16" t="s">
        <v>379</v>
      </c>
      <c r="KI16" t="s">
        <v>376</v>
      </c>
      <c r="KJ16" t="s">
        <v>376</v>
      </c>
    </row>
    <row r="17" spans="1:296" x14ac:dyDescent="0.3">
      <c r="A17">
        <v>1</v>
      </c>
      <c r="B17">
        <v>1785162293.5</v>
      </c>
      <c r="C17">
        <v>0</v>
      </c>
      <c r="D17" t="s">
        <v>519</v>
      </c>
      <c r="E17" t="s">
        <v>520</v>
      </c>
      <c r="F17">
        <v>15</v>
      </c>
      <c r="H17">
        <v>1785162285.5</v>
      </c>
      <c r="I17">
        <f t="shared" ref="I17:I29" si="0">(J17)/1000</f>
        <v>3.9517598772829711E-3</v>
      </c>
      <c r="J17">
        <f t="shared" ref="J17:J29" si="1">IF(DO17, AM17, AG17)</f>
        <v>3.9517598772829707</v>
      </c>
      <c r="K17">
        <f t="shared" ref="K17:K29" si="2">IF(DO17, AH17, AF17)</f>
        <v>45.310492117619916</v>
      </c>
      <c r="L17">
        <f t="shared" ref="L17:L29" si="3">DQ17 - IF(AT17&gt;1, K17*DK17*100/(AV17), 0)</f>
        <v>419.94099999999997</v>
      </c>
      <c r="M17">
        <f t="shared" ref="M17:M29" si="4">((S17-I17/2)*L17-K17)/(S17+I17/2)</f>
        <v>128.22097391233126</v>
      </c>
      <c r="N17">
        <f t="shared" ref="N17:N29" si="5">M17*(DX17+DY17)/1000</f>
        <v>12.469731477756685</v>
      </c>
      <c r="O17">
        <f t="shared" ref="O17:O29" si="6">(DQ17 - IF(AT17&gt;1, K17*DK17*100/(AV17), 0))*(DX17+DY17)/1000</f>
        <v>40.840054062301967</v>
      </c>
      <c r="P17">
        <f t="shared" ref="P17:P29" si="7">2/((1/R17-1/Q17)+SIGN(R17)*SQRT((1/R17-1/Q17)*(1/R17-1/Q17) + 4*DL17/((DL17+1)*(DL17+1))*(2*1/R17*1/Q17-1/Q17*1/Q17)))</f>
        <v>0.26558745681158707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2.8780483757704434</v>
      </c>
      <c r="R17">
        <f t="shared" ref="R17:R29" si="9">I17*(1000-(1000*0.61365*EXP(17.502*V17/(240.97+V17))/(DX17+DY17)+DS17)/2)/(1000*0.61365*EXP(17.502*V17/(240.97+V17))/(DX17+DY17)-DS17)</f>
        <v>0.25268416288816536</v>
      </c>
      <c r="S17">
        <f t="shared" ref="S17:S29" si="10">1/((DL17+1)/(P17/1.6)+1/(Q17/1.37)) + DL17/((DL17+1)/(P17/1.6) + DL17/(Q17/1.37))</f>
        <v>0.15903465726092125</v>
      </c>
      <c r="T17">
        <f t="shared" ref="T17:T29" si="11">(DG17*DJ17)</f>
        <v>319.77861394891988</v>
      </c>
      <c r="U17">
        <f t="shared" ref="U17:U29" si="12">(DZ17+(T17+2*0.95*0.0000000567*(((DZ17+$B$7)+273)^4-(DZ17+273)^4)-44100*I17)/(1.84*29.3*Q17+8*0.95*0.0000000567*(DZ17+273)^3))</f>
        <v>28.672141073259798</v>
      </c>
      <c r="V17">
        <f t="shared" ref="V17:V29" si="13">($C$7*EA17+$D$7*EB17+$E$7*U17)</f>
        <v>27.97095483870968</v>
      </c>
      <c r="W17">
        <f t="shared" ref="W17:W29" si="14">0.61365*EXP(17.502*V17/(240.97+V17))</f>
        <v>3.7884188753018613</v>
      </c>
      <c r="X17">
        <f t="shared" ref="X17:X29" si="15">(Y17/Z17*100)</f>
        <v>61.72453061964368</v>
      </c>
      <c r="Y17">
        <f t="shared" ref="Y17:Y29" si="16">DS17*(DX17+DY17)/1000</f>
        <v>2.3152119545672312</v>
      </c>
      <c r="Z17">
        <f t="shared" ref="Z17:Z29" si="17">0.61365*EXP(17.502*DZ17/(240.97+DZ17))</f>
        <v>3.7508781862334981</v>
      </c>
      <c r="AA17">
        <f t="shared" ref="AA17:AA29" si="18">(W17-DS17*(DX17+DY17)/1000)</f>
        <v>1.4732069207346301</v>
      </c>
      <c r="AB17">
        <f t="shared" ref="AB17:AB29" si="19">(-I17*44100)</f>
        <v>-174.27261058817902</v>
      </c>
      <c r="AC17">
        <f t="shared" ref="AC17:AC29" si="20">2*29.3*Q17*0.92*(DZ17-V17)</f>
        <v>-26.483538824373412</v>
      </c>
      <c r="AD17">
        <f t="shared" ref="AD17:AD29" si="21">2*0.95*0.0000000567*(((DZ17+$B$7)+273)^4-(V17+273)^4)</f>
        <v>-2.0035188651008875</v>
      </c>
      <c r="AE17">
        <f t="shared" ref="AE17:AE29" si="22">T17+AD17+AB17+AC17</f>
        <v>117.01894567126656</v>
      </c>
      <c r="AF17">
        <f t="shared" ref="AF17:AF29" si="23">DW17*AT17*(DR17-DQ17*(1000-AT17*DT17)/(1000-AT17*DS17))/(100*DK17)</f>
        <v>45.310492117619916</v>
      </c>
      <c r="AG17">
        <f t="shared" ref="AG17:AG29" si="24">1000*DW17*AT17*(DS17-DT17)/(100*DK17*(1000-AT17*DS17))</f>
        <v>3.9517598772829707</v>
      </c>
      <c r="AH17">
        <f t="shared" ref="AH17:AH29" si="25">(AI17 - AJ17 - DX17*1000/(8.314*(DZ17+273.15)) * AL17/DW17 * AK17) * DW17/(100*DK17) * (1000 - DT17)/1000</f>
        <v>45.688835155014004</v>
      </c>
      <c r="AI17">
        <v>476.30333840355831</v>
      </c>
      <c r="AJ17">
        <v>430.07770303030293</v>
      </c>
      <c r="AK17">
        <v>-9.0683294833778266E-2</v>
      </c>
      <c r="AL17">
        <v>67.085548725818626</v>
      </c>
      <c r="AM17">
        <f t="shared" ref="AM17:AM29" si="26">(AO17 - AN17 + DX17*1000/(8.314*(DZ17+273.15)) * AQ17/DW17 * AP17) * DW17/(100*DK17) * 1000/(1000 - AO17)</f>
        <v>3.9551312907770835</v>
      </c>
      <c r="AN17">
        <v>19.95249328471861</v>
      </c>
      <c r="AO17">
        <v>23.813658181818159</v>
      </c>
      <c r="AP17">
        <v>-3.2231789207892963E-5</v>
      </c>
      <c r="AQ17">
        <v>78.55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51205.533324389035</v>
      </c>
      <c r="AW17" t="s">
        <v>515</v>
      </c>
      <c r="AX17">
        <v>13198.7</v>
      </c>
      <c r="AY17">
        <v>614.48529411764707</v>
      </c>
      <c r="AZ17">
        <v>2434.17</v>
      </c>
      <c r="BA17">
        <f t="shared" ref="BA17:BA29" si="30">1-AY17/AZ17</f>
        <v>0.74755859528395829</v>
      </c>
      <c r="BB17">
        <v>-2.566735476432902</v>
      </c>
      <c r="BC17" t="s">
        <v>521</v>
      </c>
      <c r="BD17">
        <v>13194.1</v>
      </c>
      <c r="BE17">
        <v>831.43299999999988</v>
      </c>
      <c r="BF17">
        <v>1088.6500000000001</v>
      </c>
      <c r="BG17">
        <f t="shared" ref="BG17:BG29" si="31">1-BE17/BF17</f>
        <v>0.23627152895788384</v>
      </c>
      <c r="BH17">
        <v>0.5</v>
      </c>
      <c r="BI17">
        <f t="shared" ref="BI17:BI29" si="32">DH17</f>
        <v>1680.3034643559502</v>
      </c>
      <c r="BJ17">
        <f t="shared" ref="BJ17:BJ29" si="33">K17</f>
        <v>45.310492117619916</v>
      </c>
      <c r="BK17">
        <f t="shared" ref="BK17:BK29" si="34">BG17*BH17*BI17</f>
        <v>198.50393431830472</v>
      </c>
      <c r="BL17">
        <f t="shared" ref="BL17:BL29" si="35">(BJ17-BB17)/BI17</f>
        <v>2.8493202930105165E-2</v>
      </c>
      <c r="BM17">
        <f t="shared" ref="BM17:BM29" si="36">(AZ17-BF17)/BF17</f>
        <v>1.2359527855600974</v>
      </c>
      <c r="BN17">
        <f t="shared" ref="BN17:BN29" si="37">AY17/(BA17+AY17/BF17)</f>
        <v>468.35567413560238</v>
      </c>
      <c r="BO17" t="s">
        <v>402</v>
      </c>
      <c r="BP17">
        <v>0</v>
      </c>
      <c r="BQ17">
        <f t="shared" ref="BQ17:BQ29" si="38">IF(BP17&lt;&gt;0, BP17, BN17)</f>
        <v>468.35567413560238</v>
      </c>
      <c r="BR17">
        <f t="shared" ref="BR17:BR29" si="39">1-BQ17/BF17</f>
        <v>0.56978305779120708</v>
      </c>
      <c r="BS17">
        <f t="shared" ref="BS17:BS29" si="40">(BF17-BE17)/(BF17-BQ17)</f>
        <v>0.41466927759102268</v>
      </c>
      <c r="BT17">
        <f t="shared" ref="BT17:BT29" si="41">(AZ17-BF17)/(AZ17-BQ17)</f>
        <v>0.68445935218645582</v>
      </c>
      <c r="BU17">
        <f t="shared" ref="BU17:BU29" si="42">(BF17-BE17)/(BF17-AY17)</f>
        <v>0.54246340313616548</v>
      </c>
      <c r="BV17">
        <f t="shared" ref="BV17:BV29" si="43">(AZ17-BF17)/(AZ17-AY17)</f>
        <v>0.73942480015930356</v>
      </c>
      <c r="BW17">
        <f t="shared" ref="BW17:BW29" si="44">(BS17*BQ17/BE17)</f>
        <v>0.23358792476298956</v>
      </c>
      <c r="BX17">
        <f t="shared" ref="BX17:BX29" si="45">(1-BW17)</f>
        <v>0.76641207523701049</v>
      </c>
      <c r="DG17">
        <f t="shared" ref="DG17:DG29" si="46">$B$11*EF17+$C$11*EG17+$F$11*ER17*(1-EU17)</f>
        <v>2000.004838709677</v>
      </c>
      <c r="DH17">
        <f t="shared" ref="DH17:DH29" si="47">DG17*DI17</f>
        <v>1680.3034643559502</v>
      </c>
      <c r="DI17">
        <f t="shared" ref="DI17:DI29" si="48">($B$11*$D$9+$C$11*$D$9+$F$11*((FE17+EW17)/MAX(FE17+EW17+FF17, 0.1)*$I$9+FF17/MAX(FE17+EW17+FF17, 0.1)*$J$9))/($B$11+$C$11+$F$11)</f>
        <v>0.84014969955773444</v>
      </c>
      <c r="DJ17">
        <f t="shared" ref="DJ17:DJ29" si="49">($B$11*$K$9+$C$11*$K$9+$F$11*((FE17+EW17)/MAX(FE17+EW17+FF17, 0.1)*$P$9+FF17/MAX(FE17+EW17+FF17, 0.1)*$Q$9))/($B$11+$C$11+$F$11)</f>
        <v>0.15988892014642736</v>
      </c>
      <c r="DK17">
        <v>6</v>
      </c>
      <c r="DL17">
        <v>0.5</v>
      </c>
      <c r="DM17" t="s">
        <v>403</v>
      </c>
      <c r="DN17">
        <v>2</v>
      </c>
      <c r="DO17" t="b">
        <v>0</v>
      </c>
      <c r="DP17">
        <v>1785162285.5</v>
      </c>
      <c r="DQ17">
        <v>419.94099999999997</v>
      </c>
      <c r="DR17">
        <v>466.91167741935487</v>
      </c>
      <c r="DS17">
        <v>23.80634516129032</v>
      </c>
      <c r="DT17">
        <v>19.94860645161291</v>
      </c>
      <c r="DU17">
        <v>433.62687096774192</v>
      </c>
      <c r="DV17">
        <v>25.219196774193549</v>
      </c>
      <c r="DW17">
        <v>599.99132258064515</v>
      </c>
      <c r="DX17">
        <v>97.191699999999983</v>
      </c>
      <c r="DY17">
        <v>6.0185532258064521E-2</v>
      </c>
      <c r="DZ17">
        <v>27.80027096774193</v>
      </c>
      <c r="EA17">
        <v>27.97095483870968</v>
      </c>
      <c r="EB17">
        <v>999.90000000000032</v>
      </c>
      <c r="EC17">
        <v>0</v>
      </c>
      <c r="ED17">
        <v>0</v>
      </c>
      <c r="EE17">
        <v>9989.8387096774186</v>
      </c>
      <c r="EF17">
        <v>0</v>
      </c>
      <c r="EG17">
        <v>392.5863870967741</v>
      </c>
      <c r="EH17">
        <v>-46.970499999999987</v>
      </c>
      <c r="EI17">
        <v>430.18209677419361</v>
      </c>
      <c r="EJ17">
        <v>476.41538709677423</v>
      </c>
      <c r="EK17">
        <v>3.857748387096775</v>
      </c>
      <c r="EL17">
        <v>466.91167741935487</v>
      </c>
      <c r="EM17">
        <v>19.94860645161291</v>
      </c>
      <c r="EN17">
        <v>2.3137787096774192</v>
      </c>
      <c r="EO17">
        <v>1.9388377419354841</v>
      </c>
      <c r="EP17">
        <v>19.772645161290331</v>
      </c>
      <c r="EQ17">
        <v>16.953499999999991</v>
      </c>
      <c r="ER17">
        <v>2000.004838709677</v>
      </c>
      <c r="ES17">
        <v>0.99499890322580642</v>
      </c>
      <c r="ET17">
        <v>5.0012651612903209E-3</v>
      </c>
      <c r="EU17">
        <v>0</v>
      </c>
      <c r="EV17">
        <v>831.43838709677436</v>
      </c>
      <c r="EW17">
        <v>5.0010700000000003</v>
      </c>
      <c r="EX17">
        <v>21685.370967741939</v>
      </c>
      <c r="EY17">
        <v>18241.674193548391</v>
      </c>
      <c r="EZ17">
        <v>43.870935483870973</v>
      </c>
      <c r="FA17">
        <v>45.436999999999969</v>
      </c>
      <c r="FB17">
        <v>44.495935483870973</v>
      </c>
      <c r="FC17">
        <v>44.811999999999969</v>
      </c>
      <c r="FD17">
        <v>44.866870967741939</v>
      </c>
      <c r="FE17">
        <v>1985.0248387096769</v>
      </c>
      <c r="FF17">
        <v>9.980000000000004</v>
      </c>
      <c r="FG17">
        <v>0</v>
      </c>
      <c r="FH17">
        <v>1785162294.5</v>
      </c>
      <c r="FI17">
        <v>0</v>
      </c>
      <c r="FJ17">
        <v>831.43299999999988</v>
      </c>
      <c r="FK17">
        <v>0.95049019223933928</v>
      </c>
      <c r="FL17">
        <v>-288.06373168642477</v>
      </c>
      <c r="FM17">
        <v>21694.97058823529</v>
      </c>
      <c r="FN17">
        <v>10</v>
      </c>
      <c r="FO17">
        <v>1785162184</v>
      </c>
      <c r="FP17" t="s">
        <v>522</v>
      </c>
      <c r="FQ17">
        <v>1785162184</v>
      </c>
      <c r="FR17">
        <v>1785162179.5</v>
      </c>
      <c r="FS17">
        <v>2</v>
      </c>
      <c r="FT17">
        <v>-2.508</v>
      </c>
      <c r="FU17">
        <v>8.4000000000000005E-2</v>
      </c>
      <c r="FV17">
        <v>-13.845000000000001</v>
      </c>
      <c r="FW17">
        <v>-1.5009999999999999</v>
      </c>
      <c r="FX17">
        <v>463</v>
      </c>
      <c r="FY17">
        <v>21</v>
      </c>
      <c r="FZ17">
        <v>0.19</v>
      </c>
      <c r="GA17">
        <v>0.09</v>
      </c>
      <c r="GB17">
        <v>419.94099999999997</v>
      </c>
      <c r="GC17">
        <v>0.2342419354816753</v>
      </c>
      <c r="GD17">
        <v>6.5245442307761886E-2</v>
      </c>
      <c r="GE17">
        <v>-1</v>
      </c>
      <c r="GF17">
        <v>831.50273529411766</v>
      </c>
      <c r="GG17">
        <v>-0.90036669301996031</v>
      </c>
      <c r="GH17">
        <v>0.25441690066220313</v>
      </c>
      <c r="GI17">
        <v>1</v>
      </c>
      <c r="GJ17">
        <v>3.858202195121951</v>
      </c>
      <c r="GK17">
        <v>-3.2805574912900311E-3</v>
      </c>
      <c r="GL17">
        <v>3.1874919509760628E-3</v>
      </c>
      <c r="GM17">
        <v>1</v>
      </c>
      <c r="GN17">
        <v>2</v>
      </c>
      <c r="GO17">
        <v>2</v>
      </c>
      <c r="GP17" t="s">
        <v>404</v>
      </c>
      <c r="GQ17">
        <v>3.2442899999999999</v>
      </c>
      <c r="GR17">
        <v>2.7369599999999998</v>
      </c>
      <c r="GS17">
        <v>9.1719200000000001E-2</v>
      </c>
      <c r="GT17">
        <v>9.7776600000000005E-2</v>
      </c>
      <c r="GU17">
        <v>0.114708</v>
      </c>
      <c r="GV17">
        <v>9.7560900000000006E-2</v>
      </c>
      <c r="GW17">
        <v>22688.9</v>
      </c>
      <c r="GX17">
        <v>30038.799999999999</v>
      </c>
      <c r="GY17">
        <v>27105.3</v>
      </c>
      <c r="GZ17">
        <v>34248.699999999997</v>
      </c>
      <c r="HA17">
        <v>35155.5</v>
      </c>
      <c r="HB17">
        <v>38623.4</v>
      </c>
      <c r="HC17">
        <v>40029.5</v>
      </c>
      <c r="HD17">
        <v>42874.5</v>
      </c>
      <c r="HE17">
        <v>2.1194000000000002</v>
      </c>
      <c r="HF17">
        <v>1.536</v>
      </c>
      <c r="HG17">
        <v>-6.8426100000000004E-2</v>
      </c>
      <c r="HH17">
        <v>0</v>
      </c>
      <c r="HI17">
        <v>29.0992</v>
      </c>
      <c r="HJ17">
        <v>999.9</v>
      </c>
      <c r="HK17">
        <v>71.2</v>
      </c>
      <c r="HL17">
        <v>35.5</v>
      </c>
      <c r="HM17">
        <v>42.539400000000001</v>
      </c>
      <c r="HN17">
        <v>61.380299999999998</v>
      </c>
      <c r="HO17">
        <v>10.4247</v>
      </c>
      <c r="HP17">
        <v>1</v>
      </c>
      <c r="HQ17">
        <v>0.70012200000000002</v>
      </c>
      <c r="HR17">
        <v>5.4205399999999999</v>
      </c>
      <c r="HS17">
        <v>20.150500000000001</v>
      </c>
      <c r="HT17">
        <v>5.2088999999999999</v>
      </c>
      <c r="HU17">
        <v>11.9129</v>
      </c>
      <c r="HV17">
        <v>4.9836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1.8675200000000001</v>
      </c>
      <c r="IC17">
        <v>1.8631</v>
      </c>
      <c r="ID17">
        <v>1.8626400000000001</v>
      </c>
      <c r="IE17">
        <v>1.8621799999999999</v>
      </c>
      <c r="IF17">
        <v>1.8621799999999999</v>
      </c>
      <c r="IG17">
        <v>1.8627899999999999</v>
      </c>
      <c r="IH17">
        <v>1.86371</v>
      </c>
      <c r="II17">
        <v>1.8616900000000001</v>
      </c>
      <c r="IJ17">
        <v>0</v>
      </c>
      <c r="IK17">
        <v>0</v>
      </c>
      <c r="IL17">
        <v>0</v>
      </c>
      <c r="IM17">
        <v>4.5</v>
      </c>
      <c r="IN17" t="s">
        <v>405</v>
      </c>
      <c r="IO17" t="s">
        <v>406</v>
      </c>
      <c r="IP17" t="s">
        <v>407</v>
      </c>
      <c r="IQ17" t="s">
        <v>408</v>
      </c>
      <c r="IR17" t="s">
        <v>408</v>
      </c>
      <c r="IS17" t="s">
        <v>407</v>
      </c>
      <c r="IT17">
        <v>0</v>
      </c>
      <c r="IU17">
        <v>100</v>
      </c>
      <c r="IV17">
        <v>100</v>
      </c>
      <c r="IW17">
        <v>-13.686</v>
      </c>
      <c r="IX17">
        <v>-1.4127000000000001</v>
      </c>
      <c r="IY17">
        <v>-11.66941394010872</v>
      </c>
      <c r="IZ17">
        <v>-5.6215304933332991E-3</v>
      </c>
      <c r="JA17">
        <v>2.3979931213773931E-6</v>
      </c>
      <c r="JB17">
        <v>-3.6297174575716598E-10</v>
      </c>
      <c r="JC17">
        <v>-1.839130506554677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1.8</v>
      </c>
      <c r="JL17">
        <v>1.9</v>
      </c>
      <c r="JM17">
        <v>1.18896</v>
      </c>
      <c r="JN17">
        <v>2.5134300000000001</v>
      </c>
      <c r="JO17">
        <v>1.50024</v>
      </c>
      <c r="JP17">
        <v>2.2778299999999998</v>
      </c>
      <c r="JQ17">
        <v>1.4477500000000001</v>
      </c>
      <c r="JR17">
        <v>2.36084</v>
      </c>
      <c r="JS17">
        <v>40.835000000000001</v>
      </c>
      <c r="JT17">
        <v>23.842300000000002</v>
      </c>
      <c r="JU17">
        <v>18</v>
      </c>
      <c r="JV17">
        <v>669.59500000000003</v>
      </c>
      <c r="JW17">
        <v>309.37</v>
      </c>
      <c r="JX17">
        <v>23.206299999999999</v>
      </c>
      <c r="JY17">
        <v>35.598999999999997</v>
      </c>
      <c r="JZ17">
        <v>30.0001</v>
      </c>
      <c r="KA17">
        <v>36.015799999999999</v>
      </c>
      <c r="KB17">
        <v>35.596899999999998</v>
      </c>
      <c r="KC17">
        <v>23.7852</v>
      </c>
      <c r="KD17">
        <v>52.595799999999997</v>
      </c>
      <c r="KE17">
        <v>0</v>
      </c>
      <c r="KF17">
        <v>23.201000000000001</v>
      </c>
      <c r="KG17">
        <v>466.983</v>
      </c>
      <c r="KH17">
        <v>19.944600000000001</v>
      </c>
      <c r="KI17">
        <v>100.041</v>
      </c>
      <c r="KJ17">
        <v>97.037499999999994</v>
      </c>
    </row>
    <row r="18" spans="1:296" x14ac:dyDescent="0.3">
      <c r="A18">
        <v>2</v>
      </c>
      <c r="B18">
        <v>1785162475</v>
      </c>
      <c r="C18">
        <v>181.5</v>
      </c>
      <c r="D18" t="s">
        <v>523</v>
      </c>
      <c r="E18" t="s">
        <v>524</v>
      </c>
      <c r="F18">
        <v>15</v>
      </c>
      <c r="H18">
        <v>1785162467</v>
      </c>
      <c r="I18">
        <f t="shared" si="0"/>
        <v>3.711587645027888E-3</v>
      </c>
      <c r="J18">
        <f t="shared" si="1"/>
        <v>3.7115876450278882</v>
      </c>
      <c r="K18">
        <f t="shared" si="2"/>
        <v>44.604810570244915</v>
      </c>
      <c r="L18">
        <f t="shared" si="3"/>
        <v>419.96709677419358</v>
      </c>
      <c r="M18">
        <f t="shared" si="4"/>
        <v>114.08992985598819</v>
      </c>
      <c r="N18">
        <f t="shared" si="5"/>
        <v>11.095291666305416</v>
      </c>
      <c r="O18">
        <f t="shared" si="6"/>
        <v>40.841969443253376</v>
      </c>
      <c r="P18">
        <f t="shared" si="7"/>
        <v>0.24825505780797422</v>
      </c>
      <c r="Q18">
        <f t="shared" si="8"/>
        <v>2.8798414840810049</v>
      </c>
      <c r="R18">
        <f t="shared" si="9"/>
        <v>0.23694911894144483</v>
      </c>
      <c r="S18">
        <f t="shared" si="10"/>
        <v>0.14906608021947637</v>
      </c>
      <c r="T18">
        <f t="shared" si="11"/>
        <v>271.90656466199556</v>
      </c>
      <c r="U18">
        <f t="shared" si="12"/>
        <v>28.534016946604201</v>
      </c>
      <c r="V18">
        <f t="shared" si="13"/>
        <v>28.011625806451619</v>
      </c>
      <c r="W18">
        <f t="shared" si="14"/>
        <v>3.7974123721105002</v>
      </c>
      <c r="X18">
        <f t="shared" si="15"/>
        <v>61.596798289432506</v>
      </c>
      <c r="Y18">
        <f t="shared" si="16"/>
        <v>2.3220027000527996</v>
      </c>
      <c r="Z18">
        <f t="shared" si="17"/>
        <v>3.7696808349390465</v>
      </c>
      <c r="AA18">
        <f t="shared" si="18"/>
        <v>1.4754096720577006</v>
      </c>
      <c r="AB18">
        <f t="shared" si="19"/>
        <v>-163.68101514572987</v>
      </c>
      <c r="AC18">
        <f t="shared" si="20"/>
        <v>-19.512927377265068</v>
      </c>
      <c r="AD18">
        <f t="shared" si="21"/>
        <v>-1.4761920311650738</v>
      </c>
      <c r="AE18">
        <f t="shared" si="22"/>
        <v>87.23643010783556</v>
      </c>
      <c r="AF18">
        <f t="shared" si="23"/>
        <v>44.604810570244915</v>
      </c>
      <c r="AG18">
        <f t="shared" si="24"/>
        <v>3.7115876450278882</v>
      </c>
      <c r="AH18">
        <f t="shared" si="25"/>
        <v>44.519150315227812</v>
      </c>
      <c r="AI18">
        <v>475.83441447775078</v>
      </c>
      <c r="AJ18">
        <v>430.28636969696959</v>
      </c>
      <c r="AK18">
        <v>2.449765396780763E-2</v>
      </c>
      <c r="AL18">
        <v>67.10940362968654</v>
      </c>
      <c r="AM18">
        <f t="shared" si="26"/>
        <v>3.7244911001933474</v>
      </c>
      <c r="AN18">
        <v>20.222547729350659</v>
      </c>
      <c r="AO18">
        <v>23.863669090909081</v>
      </c>
      <c r="AP18">
        <v>-1.0494660894641811E-3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51241.626199977705</v>
      </c>
      <c r="AW18" t="s">
        <v>515</v>
      </c>
      <c r="AX18">
        <v>13198.7</v>
      </c>
      <c r="AY18">
        <v>614.48529411764707</v>
      </c>
      <c r="AZ18">
        <v>2434.17</v>
      </c>
      <c r="BA18">
        <f t="shared" si="30"/>
        <v>0.74755859528395829</v>
      </c>
      <c r="BB18">
        <v>-2.566735476432902</v>
      </c>
      <c r="BC18" t="s">
        <v>525</v>
      </c>
      <c r="BD18">
        <v>13191.8</v>
      </c>
      <c r="BE18">
        <v>817.52994117647063</v>
      </c>
      <c r="BF18">
        <v>1133.24</v>
      </c>
      <c r="BG18">
        <f t="shared" si="31"/>
        <v>0.27859064172066761</v>
      </c>
      <c r="BH18">
        <v>0.5</v>
      </c>
      <c r="BI18">
        <f t="shared" si="32"/>
        <v>1428.2958578726696</v>
      </c>
      <c r="BJ18">
        <f t="shared" si="33"/>
        <v>44.604810570244915</v>
      </c>
      <c r="BK18">
        <f t="shared" si="34"/>
        <v>198.95492980585922</v>
      </c>
      <c r="BL18">
        <f t="shared" si="35"/>
        <v>3.3026453018589579E-2</v>
      </c>
      <c r="BM18">
        <f t="shared" si="36"/>
        <v>1.1479739507959479</v>
      </c>
      <c r="BN18">
        <f t="shared" si="37"/>
        <v>476.42047227217955</v>
      </c>
      <c r="BO18" t="s">
        <v>402</v>
      </c>
      <c r="BP18">
        <v>0</v>
      </c>
      <c r="BQ18">
        <f t="shared" si="38"/>
        <v>476.42047227217955</v>
      </c>
      <c r="BR18">
        <f t="shared" si="39"/>
        <v>0.57959437341412268</v>
      </c>
      <c r="BS18">
        <f t="shared" si="40"/>
        <v>0.48066484855541092</v>
      </c>
      <c r="BT18">
        <f t="shared" si="41"/>
        <v>0.66450277810045988</v>
      </c>
      <c r="BU18">
        <f t="shared" si="42"/>
        <v>0.60859218286325956</v>
      </c>
      <c r="BV18">
        <f t="shared" si="43"/>
        <v>0.71492055508000096</v>
      </c>
      <c r="BW18">
        <f t="shared" si="44"/>
        <v>0.28011032088178073</v>
      </c>
      <c r="BX18">
        <f t="shared" si="45"/>
        <v>0.71988967911821922</v>
      </c>
      <c r="DG18">
        <f t="shared" si="46"/>
        <v>1699.989354838709</v>
      </c>
      <c r="DH18">
        <f t="shared" si="47"/>
        <v>1428.2958578726696</v>
      </c>
      <c r="DI18">
        <f t="shared" si="48"/>
        <v>0.84017929512751732</v>
      </c>
      <c r="DJ18">
        <f t="shared" si="49"/>
        <v>0.15994603959610876</v>
      </c>
      <c r="DK18">
        <v>6</v>
      </c>
      <c r="DL18">
        <v>0.5</v>
      </c>
      <c r="DM18" t="s">
        <v>403</v>
      </c>
      <c r="DN18">
        <v>2</v>
      </c>
      <c r="DO18" t="b">
        <v>0</v>
      </c>
      <c r="DP18">
        <v>1785162467</v>
      </c>
      <c r="DQ18">
        <v>419.96709677419358</v>
      </c>
      <c r="DR18">
        <v>466.13287096774212</v>
      </c>
      <c r="DS18">
        <v>23.87653548387097</v>
      </c>
      <c r="DT18">
        <v>20.253393548387091</v>
      </c>
      <c r="DU18">
        <v>433.66448387096767</v>
      </c>
      <c r="DV18">
        <v>25.273251612903231</v>
      </c>
      <c r="DW18">
        <v>599.97116129032258</v>
      </c>
      <c r="DX18">
        <v>97.190070967741931</v>
      </c>
      <c r="DY18">
        <v>6.0332116129032262E-2</v>
      </c>
      <c r="DZ18">
        <v>27.885945161290319</v>
      </c>
      <c r="EA18">
        <v>28.011625806451619</v>
      </c>
      <c r="EB18">
        <v>999.90000000000032</v>
      </c>
      <c r="EC18">
        <v>0</v>
      </c>
      <c r="ED18">
        <v>0</v>
      </c>
      <c r="EE18">
        <v>10000.322580645159</v>
      </c>
      <c r="EF18">
        <v>0</v>
      </c>
      <c r="EG18">
        <v>318.81429032258058</v>
      </c>
      <c r="EH18">
        <v>-46.165735483870968</v>
      </c>
      <c r="EI18">
        <v>430.23967741935479</v>
      </c>
      <c r="EJ18">
        <v>475.76877419354832</v>
      </c>
      <c r="EK18">
        <v>3.6231403225806451</v>
      </c>
      <c r="EL18">
        <v>466.13287096774212</v>
      </c>
      <c r="EM18">
        <v>20.253393548387091</v>
      </c>
      <c r="EN18">
        <v>2.320561612903226</v>
      </c>
      <c r="EO18">
        <v>1.968428387096774</v>
      </c>
      <c r="EP18">
        <v>19.819861290322581</v>
      </c>
      <c r="EQ18">
        <v>17.19263225806451</v>
      </c>
      <c r="ER18">
        <v>1699.989354838709</v>
      </c>
      <c r="ES18">
        <v>0.99400712903225807</v>
      </c>
      <c r="ET18">
        <v>5.9933422580645164E-3</v>
      </c>
      <c r="EU18">
        <v>0</v>
      </c>
      <c r="EV18">
        <v>817.51558064516132</v>
      </c>
      <c r="EW18">
        <v>5.0010700000000003</v>
      </c>
      <c r="EX18">
        <v>18824.241935483871</v>
      </c>
      <c r="EY18">
        <v>15492.46451612903</v>
      </c>
      <c r="EZ18">
        <v>43.628999999999998</v>
      </c>
      <c r="FA18">
        <v>45.561999999999969</v>
      </c>
      <c r="FB18">
        <v>44.5</v>
      </c>
      <c r="FC18">
        <v>44.936999999999969</v>
      </c>
      <c r="FD18">
        <v>44.807999999999971</v>
      </c>
      <c r="FE18">
        <v>1684.8293548387101</v>
      </c>
      <c r="FF18">
        <v>10.160000000000011</v>
      </c>
      <c r="FG18">
        <v>0</v>
      </c>
      <c r="FH18">
        <v>180.70000004768369</v>
      </c>
      <c r="FI18">
        <v>0</v>
      </c>
      <c r="FJ18">
        <v>817.52994117647063</v>
      </c>
      <c r="FK18">
        <v>1.5269607883731839</v>
      </c>
      <c r="FL18">
        <v>843.60293591390348</v>
      </c>
      <c r="FM18">
        <v>18807.570588235289</v>
      </c>
      <c r="FN18">
        <v>10</v>
      </c>
      <c r="FO18">
        <v>1785162360.5</v>
      </c>
      <c r="FP18" t="s">
        <v>526</v>
      </c>
      <c r="FQ18">
        <v>1785162351.5</v>
      </c>
      <c r="FR18">
        <v>1785162360.5</v>
      </c>
      <c r="FS18">
        <v>3</v>
      </c>
      <c r="FT18">
        <v>-1.2E-2</v>
      </c>
      <c r="FU18">
        <v>1.4999999999999999E-2</v>
      </c>
      <c r="FV18">
        <v>-13.869</v>
      </c>
      <c r="FW18">
        <v>-1.502</v>
      </c>
      <c r="FX18">
        <v>467</v>
      </c>
      <c r="FY18">
        <v>20</v>
      </c>
      <c r="FZ18">
        <v>0.22</v>
      </c>
      <c r="GA18">
        <v>0.1</v>
      </c>
      <c r="GB18">
        <v>419.96664516129039</v>
      </c>
      <c r="GC18">
        <v>4.8629032258046143E-2</v>
      </c>
      <c r="GD18">
        <v>5.1512947565726511E-2</v>
      </c>
      <c r="GE18">
        <v>-1</v>
      </c>
      <c r="GF18">
        <v>817.58252941176488</v>
      </c>
      <c r="GG18">
        <v>-0.47373567190507471</v>
      </c>
      <c r="GH18">
        <v>0.25759740993561903</v>
      </c>
      <c r="GI18">
        <v>1</v>
      </c>
      <c r="GJ18">
        <v>3.617211707317074</v>
      </c>
      <c r="GK18">
        <v>0.19581470383274241</v>
      </c>
      <c r="GL18">
        <v>2.6426567831047819E-2</v>
      </c>
      <c r="GM18">
        <v>1</v>
      </c>
      <c r="GN18">
        <v>2</v>
      </c>
      <c r="GO18">
        <v>2</v>
      </c>
      <c r="GP18" t="s">
        <v>404</v>
      </c>
      <c r="GQ18">
        <v>3.2445200000000001</v>
      </c>
      <c r="GR18">
        <v>2.73685</v>
      </c>
      <c r="GS18">
        <v>9.1739899999999999E-2</v>
      </c>
      <c r="GT18">
        <v>9.7668599999999994E-2</v>
      </c>
      <c r="GU18">
        <v>0.114813</v>
      </c>
      <c r="GV18">
        <v>9.8479399999999995E-2</v>
      </c>
      <c r="GW18">
        <v>22687.3</v>
      </c>
      <c r="GX18">
        <v>30042</v>
      </c>
      <c r="GY18">
        <v>27103.8</v>
      </c>
      <c r="GZ18">
        <v>34248.199999999997</v>
      </c>
      <c r="HA18">
        <v>35150.5</v>
      </c>
      <c r="HB18">
        <v>38580.300000000003</v>
      </c>
      <c r="HC18">
        <v>40028.699999999997</v>
      </c>
      <c r="HD18">
        <v>42870.2</v>
      </c>
      <c r="HE18">
        <v>2.1196000000000002</v>
      </c>
      <c r="HF18">
        <v>1.5314000000000001</v>
      </c>
      <c r="HG18">
        <v>-7.3909799999999998E-2</v>
      </c>
      <c r="HH18">
        <v>0</v>
      </c>
      <c r="HI18">
        <v>29.1919</v>
      </c>
      <c r="HJ18">
        <v>999.9</v>
      </c>
      <c r="HK18">
        <v>70.900000000000006</v>
      </c>
      <c r="HL18">
        <v>35.700000000000003</v>
      </c>
      <c r="HM18">
        <v>42.830199999999998</v>
      </c>
      <c r="HN18">
        <v>61.180300000000003</v>
      </c>
      <c r="HO18">
        <v>10.5008</v>
      </c>
      <c r="HP18">
        <v>1</v>
      </c>
      <c r="HQ18">
        <v>0.70182900000000004</v>
      </c>
      <c r="HR18">
        <v>5.7460800000000001</v>
      </c>
      <c r="HS18">
        <v>20.1418</v>
      </c>
      <c r="HT18">
        <v>5.2100999999999997</v>
      </c>
      <c r="HU18">
        <v>11.914099999999999</v>
      </c>
      <c r="HV18">
        <v>4.984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1.86755</v>
      </c>
      <c r="IC18">
        <v>1.8631899999999999</v>
      </c>
      <c r="ID18">
        <v>1.86267</v>
      </c>
      <c r="IE18">
        <v>1.8621799999999999</v>
      </c>
      <c r="IF18">
        <v>1.8621799999999999</v>
      </c>
      <c r="IG18">
        <v>1.8627899999999999</v>
      </c>
      <c r="IH18">
        <v>1.86371</v>
      </c>
      <c r="II18">
        <v>1.8616900000000001</v>
      </c>
      <c r="IJ18">
        <v>0</v>
      </c>
      <c r="IK18">
        <v>0</v>
      </c>
      <c r="IL18">
        <v>0</v>
      </c>
      <c r="IM18">
        <v>4.5</v>
      </c>
      <c r="IN18" t="s">
        <v>405</v>
      </c>
      <c r="IO18" t="s">
        <v>406</v>
      </c>
      <c r="IP18" t="s">
        <v>407</v>
      </c>
      <c r="IQ18" t="s">
        <v>408</v>
      </c>
      <c r="IR18" t="s">
        <v>408</v>
      </c>
      <c r="IS18" t="s">
        <v>407</v>
      </c>
      <c r="IT18">
        <v>0</v>
      </c>
      <c r="IU18">
        <v>100</v>
      </c>
      <c r="IV18">
        <v>100</v>
      </c>
      <c r="IW18">
        <v>-13.698</v>
      </c>
      <c r="IX18">
        <v>-1.3972</v>
      </c>
      <c r="IY18">
        <v>-11.68100396888525</v>
      </c>
      <c r="IZ18">
        <v>-5.6215304933332991E-3</v>
      </c>
      <c r="JA18">
        <v>2.3979931213773931E-6</v>
      </c>
      <c r="JB18">
        <v>-3.6297174575716598E-10</v>
      </c>
      <c r="JC18">
        <v>-1.824520405159455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2.1</v>
      </c>
      <c r="JL18">
        <v>1.9</v>
      </c>
      <c r="JM18">
        <v>1.18652</v>
      </c>
      <c r="JN18">
        <v>2.52197</v>
      </c>
      <c r="JO18">
        <v>1.50024</v>
      </c>
      <c r="JP18">
        <v>2.2766099999999998</v>
      </c>
      <c r="JQ18">
        <v>1.4477500000000001</v>
      </c>
      <c r="JR18">
        <v>2.36938</v>
      </c>
      <c r="JS18">
        <v>41.3521</v>
      </c>
      <c r="JT18">
        <v>23.8248</v>
      </c>
      <c r="JU18">
        <v>18</v>
      </c>
      <c r="JV18">
        <v>669.72299999999996</v>
      </c>
      <c r="JW18">
        <v>307.11099999999999</v>
      </c>
      <c r="JX18">
        <v>23.100899999999999</v>
      </c>
      <c r="JY18">
        <v>35.576000000000001</v>
      </c>
      <c r="JZ18">
        <v>29.9999</v>
      </c>
      <c r="KA18">
        <v>36.012500000000003</v>
      </c>
      <c r="KB18">
        <v>35.593699999999998</v>
      </c>
      <c r="KC18">
        <v>23.742899999999999</v>
      </c>
      <c r="KD18">
        <v>52.516399999999997</v>
      </c>
      <c r="KE18">
        <v>0</v>
      </c>
      <c r="KF18">
        <v>23.104500000000002</v>
      </c>
      <c r="KG18">
        <v>466.10700000000003</v>
      </c>
      <c r="KH18">
        <v>20.1996</v>
      </c>
      <c r="KI18">
        <v>100.038</v>
      </c>
      <c r="KJ18">
        <v>97.031400000000005</v>
      </c>
    </row>
    <row r="19" spans="1:296" x14ac:dyDescent="0.3">
      <c r="A19">
        <v>3</v>
      </c>
      <c r="B19">
        <v>1785162656.5</v>
      </c>
      <c r="C19">
        <v>363</v>
      </c>
      <c r="D19" t="s">
        <v>527</v>
      </c>
      <c r="E19" t="s">
        <v>528</v>
      </c>
      <c r="F19">
        <v>15</v>
      </c>
      <c r="H19">
        <v>1785162648.75</v>
      </c>
      <c r="I19">
        <f t="shared" si="0"/>
        <v>3.7908400701835163E-3</v>
      </c>
      <c r="J19">
        <f t="shared" si="1"/>
        <v>3.7908400701835161</v>
      </c>
      <c r="K19">
        <f t="shared" si="2"/>
        <v>44.76693993131277</v>
      </c>
      <c r="L19">
        <f t="shared" si="3"/>
        <v>420.01306666666659</v>
      </c>
      <c r="M19">
        <f t="shared" si="4"/>
        <v>119.7104852247863</v>
      </c>
      <c r="N19">
        <f t="shared" si="5"/>
        <v>11.641894572267729</v>
      </c>
      <c r="O19">
        <f t="shared" si="6"/>
        <v>40.846445755578287</v>
      </c>
      <c r="P19">
        <f t="shared" si="7"/>
        <v>0.25417579634124576</v>
      </c>
      <c r="Q19">
        <f t="shared" si="8"/>
        <v>2.8800739224903316</v>
      </c>
      <c r="R19">
        <f t="shared" si="9"/>
        <v>0.24233887214014291</v>
      </c>
      <c r="S19">
        <f t="shared" si="10"/>
        <v>0.15247935114350916</v>
      </c>
      <c r="T19">
        <f t="shared" si="11"/>
        <v>255.91378962983137</v>
      </c>
      <c r="U19">
        <f t="shared" si="12"/>
        <v>28.36328593972776</v>
      </c>
      <c r="V19">
        <f t="shared" si="13"/>
        <v>27.976853333333331</v>
      </c>
      <c r="W19">
        <f t="shared" si="14"/>
        <v>3.7897220454178515</v>
      </c>
      <c r="X19">
        <f t="shared" si="15"/>
        <v>61.637316253634047</v>
      </c>
      <c r="Y19">
        <f t="shared" si="16"/>
        <v>2.3162173888874036</v>
      </c>
      <c r="Z19">
        <f t="shared" si="17"/>
        <v>3.7578167410084844</v>
      </c>
      <c r="AA19">
        <f t="shared" si="18"/>
        <v>1.4735046565304479</v>
      </c>
      <c r="AB19">
        <f t="shared" si="19"/>
        <v>-167.17604709509308</v>
      </c>
      <c r="AC19">
        <f t="shared" si="20"/>
        <v>-22.502324994707593</v>
      </c>
      <c r="AD19">
        <f t="shared" si="21"/>
        <v>-1.7014554008446532</v>
      </c>
      <c r="AE19">
        <f t="shared" si="22"/>
        <v>64.533962139186045</v>
      </c>
      <c r="AF19">
        <f t="shared" si="23"/>
        <v>44.76693993131277</v>
      </c>
      <c r="AG19">
        <f t="shared" si="24"/>
        <v>3.7908400701835161</v>
      </c>
      <c r="AH19">
        <f t="shared" si="25"/>
        <v>44.855959653467757</v>
      </c>
      <c r="AI19">
        <v>476.01614086450428</v>
      </c>
      <c r="AJ19">
        <v>430.25510909090889</v>
      </c>
      <c r="AK19">
        <v>-4.6002913081193229E-3</v>
      </c>
      <c r="AL19">
        <v>67.106771064371998</v>
      </c>
      <c r="AM19">
        <f t="shared" si="26"/>
        <v>3.777529555878242</v>
      </c>
      <c r="AN19">
        <v>20.119721444545458</v>
      </c>
      <c r="AO19">
        <v>23.807724242424239</v>
      </c>
      <c r="AP19">
        <v>-1.3558768275787391E-5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51257.401216133148</v>
      </c>
      <c r="AW19" t="s">
        <v>515</v>
      </c>
      <c r="AX19">
        <v>13198.7</v>
      </c>
      <c r="AY19">
        <v>614.48529411764707</v>
      </c>
      <c r="AZ19">
        <v>2434.17</v>
      </c>
      <c r="BA19">
        <f t="shared" si="30"/>
        <v>0.74755859528395829</v>
      </c>
      <c r="BB19">
        <v>-2.566735476432902</v>
      </c>
      <c r="BC19" t="s">
        <v>529</v>
      </c>
      <c r="BD19">
        <v>13213</v>
      </c>
      <c r="BE19">
        <v>815.65005882352943</v>
      </c>
      <c r="BF19">
        <v>1164.94</v>
      </c>
      <c r="BG19">
        <f t="shared" si="31"/>
        <v>0.29983513414980223</v>
      </c>
      <c r="BH19">
        <v>0.5</v>
      </c>
      <c r="BI19">
        <f t="shared" si="32"/>
        <v>1344.2881998082025</v>
      </c>
      <c r="BJ19">
        <f t="shared" si="33"/>
        <v>44.76693993131277</v>
      </c>
      <c r="BK19">
        <f t="shared" si="34"/>
        <v>201.53241636274427</v>
      </c>
      <c r="BL19">
        <f t="shared" si="35"/>
        <v>3.5210958047908955E-2</v>
      </c>
      <c r="BM19">
        <f t="shared" si="36"/>
        <v>1.0895239239789174</v>
      </c>
      <c r="BN19">
        <f t="shared" si="37"/>
        <v>481.93377176967391</v>
      </c>
      <c r="BO19" t="s">
        <v>402</v>
      </c>
      <c r="BP19">
        <v>0</v>
      </c>
      <c r="BQ19">
        <f t="shared" si="38"/>
        <v>481.93377176967391</v>
      </c>
      <c r="BR19">
        <f t="shared" si="39"/>
        <v>0.58630163633348165</v>
      </c>
      <c r="BS19">
        <f t="shared" si="40"/>
        <v>0.51140081413530192</v>
      </c>
      <c r="BT19">
        <f t="shared" si="41"/>
        <v>0.65014160768368623</v>
      </c>
      <c r="BU19">
        <f t="shared" si="42"/>
        <v>0.63454801538407291</v>
      </c>
      <c r="BV19">
        <f t="shared" si="43"/>
        <v>0.69749995474329096</v>
      </c>
      <c r="BW19">
        <f t="shared" si="44"/>
        <v>0.30216551887190063</v>
      </c>
      <c r="BX19">
        <f t="shared" si="45"/>
        <v>0.69783448112809943</v>
      </c>
      <c r="DG19">
        <f t="shared" si="46"/>
        <v>1600.0016666666661</v>
      </c>
      <c r="DH19">
        <f t="shared" si="47"/>
        <v>1344.2881998082025</v>
      </c>
      <c r="DI19">
        <f t="shared" si="48"/>
        <v>0.8401792496934084</v>
      </c>
      <c r="DJ19">
        <f t="shared" si="49"/>
        <v>0.15994595190827809</v>
      </c>
      <c r="DK19">
        <v>6</v>
      </c>
      <c r="DL19">
        <v>0.5</v>
      </c>
      <c r="DM19" t="s">
        <v>403</v>
      </c>
      <c r="DN19">
        <v>2</v>
      </c>
      <c r="DO19" t="b">
        <v>0</v>
      </c>
      <c r="DP19">
        <v>1785162648.75</v>
      </c>
      <c r="DQ19">
        <v>420.01306666666659</v>
      </c>
      <c r="DR19">
        <v>466.37646666666672</v>
      </c>
      <c r="DS19">
        <v>23.817043333333331</v>
      </c>
      <c r="DT19">
        <v>20.116150000000001</v>
      </c>
      <c r="DU19">
        <v>433.68459999999999</v>
      </c>
      <c r="DV19">
        <v>25.2349</v>
      </c>
      <c r="DW19">
        <v>599.94490000000008</v>
      </c>
      <c r="DX19">
        <v>97.190009999999987</v>
      </c>
      <c r="DY19">
        <v>6.0406706666666671E-2</v>
      </c>
      <c r="DZ19">
        <v>27.83193</v>
      </c>
      <c r="EA19">
        <v>27.976853333333331</v>
      </c>
      <c r="EB19">
        <v>999.9000000000002</v>
      </c>
      <c r="EC19">
        <v>0</v>
      </c>
      <c r="ED19">
        <v>0</v>
      </c>
      <c r="EE19">
        <v>10001.66666666667</v>
      </c>
      <c r="EF19">
        <v>0</v>
      </c>
      <c r="EG19">
        <v>332.42563333333339</v>
      </c>
      <c r="EH19">
        <v>-46.363419999999998</v>
      </c>
      <c r="EI19">
        <v>430.2605666666667</v>
      </c>
      <c r="EJ19">
        <v>475.95076666666671</v>
      </c>
      <c r="EK19">
        <v>3.700893333333334</v>
      </c>
      <c r="EL19">
        <v>466.37646666666672</v>
      </c>
      <c r="EM19">
        <v>20.116150000000001</v>
      </c>
      <c r="EN19">
        <v>2.3147790000000001</v>
      </c>
      <c r="EO19">
        <v>1.955088666666666</v>
      </c>
      <c r="EP19">
        <v>19.77961333333333</v>
      </c>
      <c r="EQ19">
        <v>17.085223333333339</v>
      </c>
      <c r="ER19">
        <v>1600.0016666666661</v>
      </c>
      <c r="ES19">
        <v>0.99400916666666639</v>
      </c>
      <c r="ET19">
        <v>5.9913223333333343E-3</v>
      </c>
      <c r="EU19">
        <v>0</v>
      </c>
      <c r="EV19">
        <v>815.61916666666662</v>
      </c>
      <c r="EW19">
        <v>5.0010700000000003</v>
      </c>
      <c r="EX19">
        <v>17940.626666666671</v>
      </c>
      <c r="EY19">
        <v>14578.56666666666</v>
      </c>
      <c r="EZ19">
        <v>43.455899999999978</v>
      </c>
      <c r="FA19">
        <v>45.561999999999983</v>
      </c>
      <c r="FB19">
        <v>44.436999999999983</v>
      </c>
      <c r="FC19">
        <v>44.936999999999983</v>
      </c>
      <c r="FD19">
        <v>44.686999999999983</v>
      </c>
      <c r="FE19">
        <v>1585.4416666666671</v>
      </c>
      <c r="FF19">
        <v>9.56</v>
      </c>
      <c r="FG19">
        <v>0</v>
      </c>
      <c r="FH19">
        <v>180.9000000953674</v>
      </c>
      <c r="FI19">
        <v>0</v>
      </c>
      <c r="FJ19">
        <v>815.65005882352943</v>
      </c>
      <c r="FK19">
        <v>-1.8813725032732469</v>
      </c>
      <c r="FL19">
        <v>-257.23039271527142</v>
      </c>
      <c r="FM19">
        <v>17923.2705882353</v>
      </c>
      <c r="FN19">
        <v>10</v>
      </c>
      <c r="FO19">
        <v>1785162533.5</v>
      </c>
      <c r="FP19" t="s">
        <v>530</v>
      </c>
      <c r="FQ19">
        <v>1785162531</v>
      </c>
      <c r="FR19">
        <v>1785162533.5</v>
      </c>
      <c r="FS19">
        <v>4</v>
      </c>
      <c r="FT19">
        <v>2.5999999999999999E-2</v>
      </c>
      <c r="FU19">
        <v>-0.02</v>
      </c>
      <c r="FV19">
        <v>-13.84</v>
      </c>
      <c r="FW19">
        <v>-1.512</v>
      </c>
      <c r="FX19">
        <v>466</v>
      </c>
      <c r="FY19">
        <v>20</v>
      </c>
      <c r="FZ19">
        <v>0.17</v>
      </c>
      <c r="GA19">
        <v>7.0000000000000007E-2</v>
      </c>
      <c r="GB19">
        <v>420.01138709677411</v>
      </c>
      <c r="GC19">
        <v>0.24290322580519691</v>
      </c>
      <c r="GD19">
        <v>5.0464728927881633E-2</v>
      </c>
      <c r="GE19">
        <v>-1</v>
      </c>
      <c r="GF19">
        <v>815.62261764705875</v>
      </c>
      <c r="GG19">
        <v>-0.2493659303796619</v>
      </c>
      <c r="GH19">
        <v>0.24254108380981171</v>
      </c>
      <c r="GI19">
        <v>1</v>
      </c>
      <c r="GJ19">
        <v>3.708518048780487</v>
      </c>
      <c r="GK19">
        <v>-0.14141832752612929</v>
      </c>
      <c r="GL19">
        <v>1.467657237506589E-2</v>
      </c>
      <c r="GM19">
        <v>1</v>
      </c>
      <c r="GN19">
        <v>2</v>
      </c>
      <c r="GO19">
        <v>2</v>
      </c>
      <c r="GP19" t="s">
        <v>404</v>
      </c>
      <c r="GQ19">
        <v>3.2439399999999998</v>
      </c>
      <c r="GR19">
        <v>2.7379899999999999</v>
      </c>
      <c r="GS19">
        <v>9.1735399999999995E-2</v>
      </c>
      <c r="GT19">
        <v>9.7698499999999994E-2</v>
      </c>
      <c r="GU19">
        <v>0.114708</v>
      </c>
      <c r="GV19">
        <v>9.8145300000000005E-2</v>
      </c>
      <c r="GW19">
        <v>22685.4</v>
      </c>
      <c r="GX19">
        <v>30039.8</v>
      </c>
      <c r="GY19">
        <v>27101.5</v>
      </c>
      <c r="GZ19">
        <v>34247</v>
      </c>
      <c r="HA19">
        <v>35152.400000000001</v>
      </c>
      <c r="HB19">
        <v>38592.1</v>
      </c>
      <c r="HC19">
        <v>40026</v>
      </c>
      <c r="HD19">
        <v>42867.4</v>
      </c>
      <c r="HE19">
        <v>2.1185999999999998</v>
      </c>
      <c r="HF19">
        <v>1.5284</v>
      </c>
      <c r="HG19">
        <v>-7.8976199999999996E-2</v>
      </c>
      <c r="HH19">
        <v>0</v>
      </c>
      <c r="HI19">
        <v>29.2498</v>
      </c>
      <c r="HJ19">
        <v>999.9</v>
      </c>
      <c r="HK19">
        <v>70.7</v>
      </c>
      <c r="HL19">
        <v>36</v>
      </c>
      <c r="HM19">
        <v>43.416699999999999</v>
      </c>
      <c r="HN19">
        <v>61.200400000000002</v>
      </c>
      <c r="HO19">
        <v>10.9175</v>
      </c>
      <c r="HP19">
        <v>1</v>
      </c>
      <c r="HQ19">
        <v>0.70317099999999999</v>
      </c>
      <c r="HR19">
        <v>5.5937000000000001</v>
      </c>
      <c r="HS19">
        <v>20.1477</v>
      </c>
      <c r="HT19">
        <v>5.2100999999999997</v>
      </c>
      <c r="HU19">
        <v>11.914099999999999</v>
      </c>
      <c r="HV19">
        <v>4.9836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1.8631899999999999</v>
      </c>
      <c r="ID19">
        <v>1.86267</v>
      </c>
      <c r="IE19">
        <v>1.8621799999999999</v>
      </c>
      <c r="IF19">
        <v>1.8621799999999999</v>
      </c>
      <c r="IG19">
        <v>1.8627899999999999</v>
      </c>
      <c r="IH19">
        <v>1.86371</v>
      </c>
      <c r="II19">
        <v>1.86172</v>
      </c>
      <c r="IJ19">
        <v>0</v>
      </c>
      <c r="IK19">
        <v>0</v>
      </c>
      <c r="IL19">
        <v>0</v>
      </c>
      <c r="IM19">
        <v>4.5</v>
      </c>
      <c r="IN19" t="s">
        <v>405</v>
      </c>
      <c r="IO19" t="s">
        <v>406</v>
      </c>
      <c r="IP19" t="s">
        <v>407</v>
      </c>
      <c r="IQ19" t="s">
        <v>408</v>
      </c>
      <c r="IR19" t="s">
        <v>408</v>
      </c>
      <c r="IS19" t="s">
        <v>407</v>
      </c>
      <c r="IT19">
        <v>0</v>
      </c>
      <c r="IU19">
        <v>100</v>
      </c>
      <c r="IV19">
        <v>100</v>
      </c>
      <c r="IW19">
        <v>-13.672000000000001</v>
      </c>
      <c r="IX19">
        <v>-1.4181999999999999</v>
      </c>
      <c r="IY19">
        <v>-11.65493094465951</v>
      </c>
      <c r="IZ19">
        <v>-5.6215304933332991E-3</v>
      </c>
      <c r="JA19">
        <v>2.3979931213773931E-6</v>
      </c>
      <c r="JB19">
        <v>-3.6297174575716598E-10</v>
      </c>
      <c r="JC19">
        <v>-1.844573859570434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</v>
      </c>
      <c r="JM19">
        <v>1.18774</v>
      </c>
      <c r="JN19">
        <v>2.5158700000000001</v>
      </c>
      <c r="JO19">
        <v>1.50024</v>
      </c>
      <c r="JP19">
        <v>2.2766099999999998</v>
      </c>
      <c r="JQ19">
        <v>1.4477500000000001</v>
      </c>
      <c r="JR19">
        <v>2.4731399999999999</v>
      </c>
      <c r="JS19">
        <v>41.7699</v>
      </c>
      <c r="JT19">
        <v>23.842300000000002</v>
      </c>
      <c r="JU19">
        <v>18</v>
      </c>
      <c r="JV19">
        <v>669.09199999999998</v>
      </c>
      <c r="JW19">
        <v>305.738</v>
      </c>
      <c r="JX19">
        <v>23.177</v>
      </c>
      <c r="JY19">
        <v>35.6023</v>
      </c>
      <c r="JZ19">
        <v>30.0001</v>
      </c>
      <c r="KA19">
        <v>36.028700000000001</v>
      </c>
      <c r="KB19">
        <v>35.613</v>
      </c>
      <c r="KC19">
        <v>23.744599999999998</v>
      </c>
      <c r="KD19">
        <v>52.962899999999998</v>
      </c>
      <c r="KE19">
        <v>0</v>
      </c>
      <c r="KF19">
        <v>23.1752</v>
      </c>
      <c r="KG19">
        <v>466.31599999999997</v>
      </c>
      <c r="KH19">
        <v>20.111899999999999</v>
      </c>
      <c r="KI19">
        <v>100.03</v>
      </c>
      <c r="KJ19">
        <v>97.026399999999995</v>
      </c>
    </row>
    <row r="20" spans="1:296" x14ac:dyDescent="0.3">
      <c r="A20">
        <v>4</v>
      </c>
      <c r="B20">
        <v>1785162838</v>
      </c>
      <c r="C20">
        <v>544.5</v>
      </c>
      <c r="D20" t="s">
        <v>531</v>
      </c>
      <c r="E20" t="s">
        <v>532</v>
      </c>
      <c r="F20">
        <v>15</v>
      </c>
      <c r="H20">
        <v>1785162830.25</v>
      </c>
      <c r="I20">
        <f t="shared" si="0"/>
        <v>3.5256349293038367E-3</v>
      </c>
      <c r="J20">
        <f t="shared" si="1"/>
        <v>3.5256349293038367</v>
      </c>
      <c r="K20">
        <f t="shared" si="2"/>
        <v>43.303050963894606</v>
      </c>
      <c r="L20">
        <f t="shared" si="3"/>
        <v>419.92759999999998</v>
      </c>
      <c r="M20">
        <f t="shared" si="4"/>
        <v>106.91091788061156</v>
      </c>
      <c r="N20">
        <f t="shared" si="5"/>
        <v>10.397936356087925</v>
      </c>
      <c r="O20">
        <f t="shared" si="6"/>
        <v>40.841296151256749</v>
      </c>
      <c r="P20">
        <f t="shared" si="7"/>
        <v>0.23484121058249727</v>
      </c>
      <c r="Q20">
        <f t="shared" si="8"/>
        <v>2.878410702753198</v>
      </c>
      <c r="R20">
        <f t="shared" si="9"/>
        <v>0.22469240160114884</v>
      </c>
      <c r="S20">
        <f t="shared" si="10"/>
        <v>0.14130803126778829</v>
      </c>
      <c r="T20">
        <f t="shared" si="11"/>
        <v>224.00664016765879</v>
      </c>
      <c r="U20">
        <f t="shared" si="12"/>
        <v>28.294645568582684</v>
      </c>
      <c r="V20">
        <f t="shared" si="13"/>
        <v>27.994009999999999</v>
      </c>
      <c r="W20">
        <f t="shared" si="14"/>
        <v>3.7935147369072646</v>
      </c>
      <c r="X20">
        <f t="shared" si="15"/>
        <v>61.427513031571159</v>
      </c>
      <c r="Y20">
        <f t="shared" si="16"/>
        <v>2.3153732539866798</v>
      </c>
      <c r="Z20">
        <f t="shared" si="17"/>
        <v>3.7692772175176215</v>
      </c>
      <c r="AA20">
        <f t="shared" si="18"/>
        <v>1.4781414829205848</v>
      </c>
      <c r="AB20">
        <f t="shared" si="19"/>
        <v>-155.4805003822992</v>
      </c>
      <c r="AC20">
        <f t="shared" si="20"/>
        <v>-17.054378470970612</v>
      </c>
      <c r="AD20">
        <f t="shared" si="21"/>
        <v>-1.2907140523503855</v>
      </c>
      <c r="AE20">
        <f t="shared" si="22"/>
        <v>50.181047262038597</v>
      </c>
      <c r="AF20">
        <f t="shared" si="23"/>
        <v>43.303050963894606</v>
      </c>
      <c r="AG20">
        <f t="shared" si="24"/>
        <v>3.5256349293038367</v>
      </c>
      <c r="AH20">
        <f t="shared" si="25"/>
        <v>43.199735972240049</v>
      </c>
      <c r="AI20">
        <v>474.37096616428732</v>
      </c>
      <c r="AJ20">
        <v>430.18043030303028</v>
      </c>
      <c r="AK20">
        <v>2.1007648633865231E-2</v>
      </c>
      <c r="AL20">
        <v>67.10464687958212</v>
      </c>
      <c r="AM20">
        <f t="shared" si="26"/>
        <v>3.5305198412537728</v>
      </c>
      <c r="AN20">
        <v>20.370377957748921</v>
      </c>
      <c r="AO20">
        <v>23.816193333333342</v>
      </c>
      <c r="AP20">
        <v>1.4539682539697459E-4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51201.63312440383</v>
      </c>
      <c r="AW20" t="s">
        <v>515</v>
      </c>
      <c r="AX20">
        <v>13198.7</v>
      </c>
      <c r="AY20">
        <v>614.48529411764707</v>
      </c>
      <c r="AZ20">
        <v>2434.17</v>
      </c>
      <c r="BA20">
        <f t="shared" si="30"/>
        <v>0.74755859528395829</v>
      </c>
      <c r="BB20">
        <v>-2.566735476432902</v>
      </c>
      <c r="BC20" t="s">
        <v>533</v>
      </c>
      <c r="BD20">
        <v>13201.5</v>
      </c>
      <c r="BE20">
        <v>806.62576470588226</v>
      </c>
      <c r="BF20">
        <v>1214.3599999999999</v>
      </c>
      <c r="BG20">
        <f t="shared" si="31"/>
        <v>0.33576059429997507</v>
      </c>
      <c r="BH20">
        <v>0.5</v>
      </c>
      <c r="BI20">
        <f t="shared" si="32"/>
        <v>1176.2981397759891</v>
      </c>
      <c r="BJ20">
        <f t="shared" si="33"/>
        <v>43.303050963894606</v>
      </c>
      <c r="BK20">
        <f t="shared" si="34"/>
        <v>197.47728124257063</v>
      </c>
      <c r="BL20">
        <f t="shared" si="35"/>
        <v>3.8995034412842668E-2</v>
      </c>
      <c r="BM20">
        <f t="shared" si="36"/>
        <v>1.0044879607365198</v>
      </c>
      <c r="BN20">
        <f t="shared" si="37"/>
        <v>490.18655592406878</v>
      </c>
      <c r="BO20" t="s">
        <v>402</v>
      </c>
      <c r="BP20">
        <v>0</v>
      </c>
      <c r="BQ20">
        <f t="shared" si="38"/>
        <v>490.18655592406878</v>
      </c>
      <c r="BR20">
        <f t="shared" si="39"/>
        <v>0.59634164833816261</v>
      </c>
      <c r="BS20">
        <f t="shared" si="40"/>
        <v>0.56303395081602281</v>
      </c>
      <c r="BT20">
        <f t="shared" si="41"/>
        <v>0.6274796237165664</v>
      </c>
      <c r="BU20">
        <f t="shared" si="42"/>
        <v>0.67969899596680494</v>
      </c>
      <c r="BV20">
        <f t="shared" si="43"/>
        <v>0.67034140368208595</v>
      </c>
      <c r="BW20">
        <f t="shared" si="44"/>
        <v>0.34215578685297993</v>
      </c>
      <c r="BX20">
        <f t="shared" si="45"/>
        <v>0.65784421314702013</v>
      </c>
      <c r="DG20">
        <f t="shared" si="46"/>
        <v>1400.0060000000001</v>
      </c>
      <c r="DH20">
        <f t="shared" si="47"/>
        <v>1176.2981397759891</v>
      </c>
      <c r="DI20">
        <f t="shared" si="48"/>
        <v>0.84020935608560887</v>
      </c>
      <c r="DJ20">
        <f t="shared" si="49"/>
        <v>0.16000405724522521</v>
      </c>
      <c r="DK20">
        <v>6</v>
      </c>
      <c r="DL20">
        <v>0.5</v>
      </c>
      <c r="DM20" t="s">
        <v>403</v>
      </c>
      <c r="DN20">
        <v>2</v>
      </c>
      <c r="DO20" t="b">
        <v>0</v>
      </c>
      <c r="DP20">
        <v>1785162830.25</v>
      </c>
      <c r="DQ20">
        <v>419.92759999999998</v>
      </c>
      <c r="DR20">
        <v>464.71269999999998</v>
      </c>
      <c r="DS20">
        <v>23.806519999999999</v>
      </c>
      <c r="DT20">
        <v>20.364699999999999</v>
      </c>
      <c r="DU20">
        <v>433.66566666666671</v>
      </c>
      <c r="DV20">
        <v>25.22084666666667</v>
      </c>
      <c r="DW20">
        <v>599.97939999999994</v>
      </c>
      <c r="DX20">
        <v>97.197433333333336</v>
      </c>
      <c r="DY20">
        <v>6.0513396666666677E-2</v>
      </c>
      <c r="DZ20">
        <v>27.88411</v>
      </c>
      <c r="EA20">
        <v>27.994009999999999</v>
      </c>
      <c r="EB20">
        <v>999.9000000000002</v>
      </c>
      <c r="EC20">
        <v>0</v>
      </c>
      <c r="ED20">
        <v>0</v>
      </c>
      <c r="EE20">
        <v>9991.3333333333339</v>
      </c>
      <c r="EF20">
        <v>0</v>
      </c>
      <c r="EG20">
        <v>314.4051</v>
      </c>
      <c r="EH20">
        <v>-44.785059999999987</v>
      </c>
      <c r="EI20">
        <v>430.16846666666669</v>
      </c>
      <c r="EJ20">
        <v>474.37316666666658</v>
      </c>
      <c r="EK20">
        <v>3.4418176666666671</v>
      </c>
      <c r="EL20">
        <v>464.71269999999998</v>
      </c>
      <c r="EM20">
        <v>20.364699999999999</v>
      </c>
      <c r="EN20">
        <v>2.3139326666666671</v>
      </c>
      <c r="EO20">
        <v>1.9793970000000001</v>
      </c>
      <c r="EP20">
        <v>19.773703333333341</v>
      </c>
      <c r="EQ20">
        <v>17.280480000000001</v>
      </c>
      <c r="ER20">
        <v>1400.0060000000001</v>
      </c>
      <c r="ES20">
        <v>0.99299476666666675</v>
      </c>
      <c r="ET20">
        <v>7.0049723333333314E-3</v>
      </c>
      <c r="EU20">
        <v>0</v>
      </c>
      <c r="EV20">
        <v>806.69343333333336</v>
      </c>
      <c r="EW20">
        <v>5.0010700000000003</v>
      </c>
      <c r="EX20">
        <v>16115.11</v>
      </c>
      <c r="EY20">
        <v>12745.55333333333</v>
      </c>
      <c r="EZ20">
        <v>43.245800000000003</v>
      </c>
      <c r="FA20">
        <v>45.686999999999983</v>
      </c>
      <c r="FB20">
        <v>44.375</v>
      </c>
      <c r="FC20">
        <v>45.061999999999983</v>
      </c>
      <c r="FD20">
        <v>44.557866666666648</v>
      </c>
      <c r="FE20">
        <v>1385.2360000000001</v>
      </c>
      <c r="FF20">
        <v>9.77</v>
      </c>
      <c r="FG20">
        <v>0</v>
      </c>
      <c r="FH20">
        <v>180.70000004768369</v>
      </c>
      <c r="FI20">
        <v>0</v>
      </c>
      <c r="FJ20">
        <v>806.62576470588226</v>
      </c>
      <c r="FK20">
        <v>0.55857840202881204</v>
      </c>
      <c r="FL20">
        <v>-179.09313334896211</v>
      </c>
      <c r="FM20">
        <v>16118.38235294118</v>
      </c>
      <c r="FN20">
        <v>10</v>
      </c>
      <c r="FO20">
        <v>1785162734</v>
      </c>
      <c r="FP20" t="s">
        <v>534</v>
      </c>
      <c r="FQ20">
        <v>1785162728.5</v>
      </c>
      <c r="FR20">
        <v>1785162734</v>
      </c>
      <c r="FS20">
        <v>5</v>
      </c>
      <c r="FT20">
        <v>-6.7000000000000004E-2</v>
      </c>
      <c r="FU20">
        <v>4.0000000000000001E-3</v>
      </c>
      <c r="FV20">
        <v>-13.904999999999999</v>
      </c>
      <c r="FW20">
        <v>-1.5129999999999999</v>
      </c>
      <c r="FX20">
        <v>466</v>
      </c>
      <c r="FY20">
        <v>20</v>
      </c>
      <c r="FZ20">
        <v>0.16</v>
      </c>
      <c r="GA20">
        <v>0.11</v>
      </c>
      <c r="GB20">
        <v>419.93123333333341</v>
      </c>
      <c r="GC20">
        <v>-0.12218909899837981</v>
      </c>
      <c r="GD20">
        <v>6.1889516254552711E-2</v>
      </c>
      <c r="GE20">
        <v>-1</v>
      </c>
      <c r="GF20">
        <v>806.62332352941178</v>
      </c>
      <c r="GG20">
        <v>0.26806722750580803</v>
      </c>
      <c r="GH20">
        <v>0.22429598624667341</v>
      </c>
      <c r="GI20">
        <v>1</v>
      </c>
      <c r="GJ20">
        <v>3.4389707500000002</v>
      </c>
      <c r="GK20">
        <v>4.2976097560968769E-2</v>
      </c>
      <c r="GL20">
        <v>6.1084831945009263E-3</v>
      </c>
      <c r="GM20">
        <v>1</v>
      </c>
      <c r="GN20">
        <v>2</v>
      </c>
      <c r="GO20">
        <v>2</v>
      </c>
      <c r="GP20" t="s">
        <v>404</v>
      </c>
      <c r="GQ20">
        <v>3.24438</v>
      </c>
      <c r="GR20">
        <v>2.7374800000000001</v>
      </c>
      <c r="GS20">
        <v>9.1725399999999999E-2</v>
      </c>
      <c r="GT20">
        <v>9.7401500000000002E-2</v>
      </c>
      <c r="GU20">
        <v>0.114721</v>
      </c>
      <c r="GV20">
        <v>9.9000599999999994E-2</v>
      </c>
      <c r="GW20">
        <v>22684.1</v>
      </c>
      <c r="GX20">
        <v>30043.8</v>
      </c>
      <c r="GY20">
        <v>27100</v>
      </c>
      <c r="GZ20">
        <v>34240.6</v>
      </c>
      <c r="HA20">
        <v>35149.9</v>
      </c>
      <c r="HB20">
        <v>38548.199999999997</v>
      </c>
      <c r="HC20">
        <v>40023.4</v>
      </c>
      <c r="HD20">
        <v>42859.3</v>
      </c>
      <c r="HE20">
        <v>2.117</v>
      </c>
      <c r="HF20">
        <v>1.5258</v>
      </c>
      <c r="HG20">
        <v>-7.7337000000000003E-2</v>
      </c>
      <c r="HH20">
        <v>0</v>
      </c>
      <c r="HI20">
        <v>29.28</v>
      </c>
      <c r="HJ20">
        <v>999.9</v>
      </c>
      <c r="HK20">
        <v>70.400000000000006</v>
      </c>
      <c r="HL20">
        <v>36.200000000000003</v>
      </c>
      <c r="HM20">
        <v>43.7117</v>
      </c>
      <c r="HN20">
        <v>61.2104</v>
      </c>
      <c r="HO20">
        <v>10.556900000000001</v>
      </c>
      <c r="HP20">
        <v>1</v>
      </c>
      <c r="HQ20">
        <v>0.70530499999999996</v>
      </c>
      <c r="HR20">
        <v>5.2095900000000004</v>
      </c>
      <c r="HS20">
        <v>20.159800000000001</v>
      </c>
      <c r="HT20">
        <v>5.2112999999999996</v>
      </c>
      <c r="HU20">
        <v>11.9129</v>
      </c>
      <c r="HV20">
        <v>4.9824000000000002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1.8675200000000001</v>
      </c>
      <c r="IC20">
        <v>1.8632500000000001</v>
      </c>
      <c r="ID20">
        <v>1.86267</v>
      </c>
      <c r="IE20">
        <v>1.8621799999999999</v>
      </c>
      <c r="IF20">
        <v>1.8622099999999999</v>
      </c>
      <c r="IG20">
        <v>1.8627899999999999</v>
      </c>
      <c r="IH20">
        <v>1.86374</v>
      </c>
      <c r="II20">
        <v>1.86172</v>
      </c>
      <c r="IJ20">
        <v>0</v>
      </c>
      <c r="IK20">
        <v>0</v>
      </c>
      <c r="IL20">
        <v>0</v>
      </c>
      <c r="IM20">
        <v>4.5</v>
      </c>
      <c r="IN20" t="s">
        <v>405</v>
      </c>
      <c r="IO20" t="s">
        <v>406</v>
      </c>
      <c r="IP20" t="s">
        <v>407</v>
      </c>
      <c r="IQ20" t="s">
        <v>408</v>
      </c>
      <c r="IR20" t="s">
        <v>408</v>
      </c>
      <c r="IS20" t="s">
        <v>407</v>
      </c>
      <c r="IT20">
        <v>0</v>
      </c>
      <c r="IU20">
        <v>100</v>
      </c>
      <c r="IV20">
        <v>100</v>
      </c>
      <c r="IW20">
        <v>-13.738</v>
      </c>
      <c r="IX20">
        <v>-1.4139999999999999</v>
      </c>
      <c r="IY20">
        <v>-11.72150741475172</v>
      </c>
      <c r="IZ20">
        <v>-5.6215304933332991E-3</v>
      </c>
      <c r="JA20">
        <v>2.3979931213773931E-6</v>
      </c>
      <c r="JB20">
        <v>-3.6297174575716598E-10</v>
      </c>
      <c r="JC20">
        <v>-1.8406615399504871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1.8</v>
      </c>
      <c r="JL20">
        <v>1.7</v>
      </c>
      <c r="JM20">
        <v>1.18408</v>
      </c>
      <c r="JN20">
        <v>2.52075</v>
      </c>
      <c r="JO20">
        <v>1.50024</v>
      </c>
      <c r="JP20">
        <v>2.2766099999999998</v>
      </c>
      <c r="JQ20">
        <v>1.4477500000000001</v>
      </c>
      <c r="JR20">
        <v>2.33887</v>
      </c>
      <c r="JS20">
        <v>42.112099999999998</v>
      </c>
      <c r="JT20">
        <v>23.842300000000002</v>
      </c>
      <c r="JU20">
        <v>18</v>
      </c>
      <c r="JV20">
        <v>668.35400000000004</v>
      </c>
      <c r="JW20">
        <v>304.70499999999998</v>
      </c>
      <c r="JX20">
        <v>23.6343</v>
      </c>
      <c r="JY20">
        <v>35.658099999999997</v>
      </c>
      <c r="JZ20">
        <v>30.0002</v>
      </c>
      <c r="KA20">
        <v>36.080599999999997</v>
      </c>
      <c r="KB20">
        <v>35.6646</v>
      </c>
      <c r="KC20">
        <v>23.684000000000001</v>
      </c>
      <c r="KD20">
        <v>52.724800000000002</v>
      </c>
      <c r="KE20">
        <v>0</v>
      </c>
      <c r="KF20">
        <v>23.6327</v>
      </c>
      <c r="KG20">
        <v>464.73</v>
      </c>
      <c r="KH20">
        <v>20.356400000000001</v>
      </c>
      <c r="KI20">
        <v>100.024</v>
      </c>
      <c r="KJ20">
        <v>97.008099999999999</v>
      </c>
    </row>
    <row r="21" spans="1:296" x14ac:dyDescent="0.3">
      <c r="A21">
        <v>5</v>
      </c>
      <c r="B21">
        <v>1785163019.5</v>
      </c>
      <c r="C21">
        <v>726</v>
      </c>
      <c r="D21" t="s">
        <v>535</v>
      </c>
      <c r="E21" t="s">
        <v>536</v>
      </c>
      <c r="F21">
        <v>15</v>
      </c>
      <c r="H21">
        <v>1785163011.75</v>
      </c>
      <c r="I21">
        <f t="shared" si="0"/>
        <v>3.2531490194326659E-3</v>
      </c>
      <c r="J21">
        <f t="shared" si="1"/>
        <v>3.2531490194326658</v>
      </c>
      <c r="K21">
        <f t="shared" si="2"/>
        <v>39.52756139421529</v>
      </c>
      <c r="L21">
        <f t="shared" si="3"/>
        <v>420.0610333333334</v>
      </c>
      <c r="M21">
        <f t="shared" si="4"/>
        <v>112.14337542173702</v>
      </c>
      <c r="N21">
        <f t="shared" si="5"/>
        <v>10.906313596813561</v>
      </c>
      <c r="O21">
        <f t="shared" si="6"/>
        <v>40.852322681620308</v>
      </c>
      <c r="P21">
        <f t="shared" si="7"/>
        <v>0.21740535985857412</v>
      </c>
      <c r="Q21">
        <f t="shared" si="8"/>
        <v>2.8806524815179761</v>
      </c>
      <c r="R21">
        <f t="shared" si="9"/>
        <v>0.20868399871101412</v>
      </c>
      <c r="S21">
        <f t="shared" si="10"/>
        <v>0.13118192634165821</v>
      </c>
      <c r="T21">
        <f t="shared" si="11"/>
        <v>160.17652359072045</v>
      </c>
      <c r="U21">
        <f t="shared" si="12"/>
        <v>27.992984662629546</v>
      </c>
      <c r="V21">
        <f t="shared" si="13"/>
        <v>27.98605666666667</v>
      </c>
      <c r="W21">
        <f t="shared" si="14"/>
        <v>3.7917561435302622</v>
      </c>
      <c r="X21">
        <f t="shared" si="15"/>
        <v>61.607422138967969</v>
      </c>
      <c r="Y21">
        <f t="shared" si="16"/>
        <v>2.3233502721643804</v>
      </c>
      <c r="Z21">
        <f t="shared" si="17"/>
        <v>3.7712181284319852</v>
      </c>
      <c r="AA21">
        <f t="shared" si="18"/>
        <v>1.4684058713658819</v>
      </c>
      <c r="AB21">
        <f t="shared" si="19"/>
        <v>-143.46387175698055</v>
      </c>
      <c r="AC21">
        <f t="shared" si="20"/>
        <v>-14.462215383122242</v>
      </c>
      <c r="AD21">
        <f t="shared" si="21"/>
        <v>-1.0936862149687092</v>
      </c>
      <c r="AE21">
        <f t="shared" si="22"/>
        <v>1.156750235648957</v>
      </c>
      <c r="AF21">
        <f t="shared" si="23"/>
        <v>39.52756139421529</v>
      </c>
      <c r="AG21">
        <f t="shared" si="24"/>
        <v>3.2531490194326658</v>
      </c>
      <c r="AH21">
        <f t="shared" si="25"/>
        <v>39.542975073049284</v>
      </c>
      <c r="AI21">
        <v>470.52058528920361</v>
      </c>
      <c r="AJ21">
        <v>430.29650909090918</v>
      </c>
      <c r="AK21">
        <v>-3.5750287690965693E-2</v>
      </c>
      <c r="AL21">
        <v>67.081968335753103</v>
      </c>
      <c r="AM21">
        <f t="shared" si="26"/>
        <v>3.324203485112442</v>
      </c>
      <c r="AN21">
        <v>20.717487271904769</v>
      </c>
      <c r="AO21">
        <v>23.923494545454531</v>
      </c>
      <c r="AP21">
        <v>7.6045887445888791E-3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51263.444318925242</v>
      </c>
      <c r="AW21" t="s">
        <v>515</v>
      </c>
      <c r="AX21">
        <v>13198.7</v>
      </c>
      <c r="AY21">
        <v>614.48529411764707</v>
      </c>
      <c r="AZ21">
        <v>2434.17</v>
      </c>
      <c r="BA21">
        <f t="shared" si="30"/>
        <v>0.74755859528395829</v>
      </c>
      <c r="BB21">
        <v>-2.566735476432902</v>
      </c>
      <c r="BC21" t="s">
        <v>537</v>
      </c>
      <c r="BD21">
        <v>13208.2</v>
      </c>
      <c r="BE21">
        <v>794.76923529411772</v>
      </c>
      <c r="BF21">
        <v>1393.86</v>
      </c>
      <c r="BG21">
        <f t="shared" si="31"/>
        <v>0.42980698542599849</v>
      </c>
      <c r="BH21">
        <v>0.5</v>
      </c>
      <c r="BI21">
        <f t="shared" si="32"/>
        <v>840.29795958068416</v>
      </c>
      <c r="BJ21">
        <f t="shared" si="33"/>
        <v>39.52756139421529</v>
      </c>
      <c r="BK21">
        <f t="shared" si="34"/>
        <v>180.5829664334957</v>
      </c>
      <c r="BL21">
        <f t="shared" si="35"/>
        <v>5.0094488973475085E-2</v>
      </c>
      <c r="BM21">
        <f t="shared" si="36"/>
        <v>0.74635185743188004</v>
      </c>
      <c r="BN21">
        <f t="shared" si="37"/>
        <v>517.06501675936943</v>
      </c>
      <c r="BO21" t="s">
        <v>402</v>
      </c>
      <c r="BP21">
        <v>0</v>
      </c>
      <c r="BQ21">
        <f t="shared" si="38"/>
        <v>517.06501675936943</v>
      </c>
      <c r="BR21">
        <f t="shared" si="39"/>
        <v>0.62904092465572625</v>
      </c>
      <c r="BS21">
        <f t="shared" si="40"/>
        <v>0.68327348599970916</v>
      </c>
      <c r="BT21">
        <f t="shared" si="41"/>
        <v>0.54264633866919687</v>
      </c>
      <c r="BU21">
        <f t="shared" si="42"/>
        <v>0.76868130333744156</v>
      </c>
      <c r="BV21">
        <f t="shared" si="43"/>
        <v>0.57169794120765594</v>
      </c>
      <c r="BW21">
        <f t="shared" si="44"/>
        <v>0.44452754434930908</v>
      </c>
      <c r="BX21">
        <f t="shared" si="45"/>
        <v>0.55547245565069092</v>
      </c>
      <c r="DG21">
        <f t="shared" si="46"/>
        <v>999.99900000000002</v>
      </c>
      <c r="DH21">
        <f t="shared" si="47"/>
        <v>840.29795958068416</v>
      </c>
      <c r="DI21">
        <f t="shared" si="48"/>
        <v>0.84029879987948397</v>
      </c>
      <c r="DJ21">
        <f t="shared" si="49"/>
        <v>0.16017668376740421</v>
      </c>
      <c r="DK21">
        <v>6</v>
      </c>
      <c r="DL21">
        <v>0.5</v>
      </c>
      <c r="DM21" t="s">
        <v>403</v>
      </c>
      <c r="DN21">
        <v>2</v>
      </c>
      <c r="DO21" t="b">
        <v>0</v>
      </c>
      <c r="DP21">
        <v>1785163011.75</v>
      </c>
      <c r="DQ21">
        <v>420.0610333333334</v>
      </c>
      <c r="DR21">
        <v>460.95499999999998</v>
      </c>
      <c r="DS21">
        <v>23.889679999999998</v>
      </c>
      <c r="DT21">
        <v>20.714256666666671</v>
      </c>
      <c r="DU21">
        <v>433.79196666666672</v>
      </c>
      <c r="DV21">
        <v>25.320340000000002</v>
      </c>
      <c r="DW21">
        <v>600.00170000000003</v>
      </c>
      <c r="DX21">
        <v>97.193220000000011</v>
      </c>
      <c r="DY21">
        <v>6.0082353333333338E-2</v>
      </c>
      <c r="DZ21">
        <v>27.892933333333321</v>
      </c>
      <c r="EA21">
        <v>27.98605666666667</v>
      </c>
      <c r="EB21">
        <v>999.9000000000002</v>
      </c>
      <c r="EC21">
        <v>0</v>
      </c>
      <c r="ED21">
        <v>0</v>
      </c>
      <c r="EE21">
        <v>10004.66666666667</v>
      </c>
      <c r="EF21">
        <v>0</v>
      </c>
      <c r="EG21">
        <v>756.03959999999995</v>
      </c>
      <c r="EH21">
        <v>-40.893999999999998</v>
      </c>
      <c r="EI21">
        <v>430.34166666666658</v>
      </c>
      <c r="EJ21">
        <v>470.70526666666672</v>
      </c>
      <c r="EK21">
        <v>3.175424</v>
      </c>
      <c r="EL21">
        <v>460.95499999999998</v>
      </c>
      <c r="EM21">
        <v>20.714256666666671</v>
      </c>
      <c r="EN21">
        <v>2.321914</v>
      </c>
      <c r="EO21">
        <v>2.0132850000000011</v>
      </c>
      <c r="EP21">
        <v>19.829229999999999</v>
      </c>
      <c r="EQ21">
        <v>17.549203333333331</v>
      </c>
      <c r="ER21">
        <v>999.99900000000002</v>
      </c>
      <c r="ES21">
        <v>0.98999170000000025</v>
      </c>
      <c r="ET21">
        <v>1.000792E-2</v>
      </c>
      <c r="EU21">
        <v>0</v>
      </c>
      <c r="EV21">
        <v>794.78110000000004</v>
      </c>
      <c r="EW21">
        <v>5.0010700000000003</v>
      </c>
      <c r="EX21">
        <v>12691.836666666661</v>
      </c>
      <c r="EY21">
        <v>9080.25</v>
      </c>
      <c r="EZ21">
        <v>42.58929999999998</v>
      </c>
      <c r="FA21">
        <v>45.539266666666663</v>
      </c>
      <c r="FB21">
        <v>44.064099999999968</v>
      </c>
      <c r="FC21">
        <v>44.939099999999968</v>
      </c>
      <c r="FD21">
        <v>44.133266666666671</v>
      </c>
      <c r="FE21">
        <v>985.0393333333335</v>
      </c>
      <c r="FF21">
        <v>9.9599999999999991</v>
      </c>
      <c r="FG21">
        <v>0</v>
      </c>
      <c r="FH21">
        <v>180.9000000953674</v>
      </c>
      <c r="FI21">
        <v>0</v>
      </c>
      <c r="FJ21">
        <v>794.76923529411772</v>
      </c>
      <c r="FK21">
        <v>-1.919362767999204</v>
      </c>
      <c r="FL21">
        <v>366.86274983157352</v>
      </c>
      <c r="FM21">
        <v>12706.85294117647</v>
      </c>
      <c r="FN21">
        <v>10</v>
      </c>
      <c r="FO21">
        <v>1785162938.5</v>
      </c>
      <c r="FP21" t="s">
        <v>538</v>
      </c>
      <c r="FQ21">
        <v>1785162934</v>
      </c>
      <c r="FR21">
        <v>1785162938.5</v>
      </c>
      <c r="FS21">
        <v>6</v>
      </c>
      <c r="FT21">
        <v>7.0000000000000001E-3</v>
      </c>
      <c r="FU21">
        <v>-1.9E-2</v>
      </c>
      <c r="FV21">
        <v>-13.885</v>
      </c>
      <c r="FW21">
        <v>-1.522</v>
      </c>
      <c r="FX21">
        <v>462</v>
      </c>
      <c r="FY21">
        <v>20</v>
      </c>
      <c r="FZ21">
        <v>0.2</v>
      </c>
      <c r="GA21">
        <v>0.1</v>
      </c>
      <c r="GB21">
        <v>420.05796774193561</v>
      </c>
      <c r="GC21">
        <v>0.42208064516144178</v>
      </c>
      <c r="GD21">
        <v>7.5534005958844672E-2</v>
      </c>
      <c r="GE21">
        <v>-1</v>
      </c>
      <c r="GF21">
        <v>794.77152941176473</v>
      </c>
      <c r="GG21">
        <v>0.1086325449260474</v>
      </c>
      <c r="GH21">
        <v>0.23876597393979171</v>
      </c>
      <c r="GI21">
        <v>1</v>
      </c>
      <c r="GJ21">
        <v>3.1743465853658539</v>
      </c>
      <c r="GK21">
        <v>6.9919024390239143E-2</v>
      </c>
      <c r="GL21">
        <v>1.2182362422532509E-2</v>
      </c>
      <c r="GM21">
        <v>1</v>
      </c>
      <c r="GN21">
        <v>2</v>
      </c>
      <c r="GO21">
        <v>2</v>
      </c>
      <c r="GP21" t="s">
        <v>404</v>
      </c>
      <c r="GQ21">
        <v>3.2439800000000001</v>
      </c>
      <c r="GR21">
        <v>2.73793</v>
      </c>
      <c r="GS21">
        <v>9.1717800000000002E-2</v>
      </c>
      <c r="GT21">
        <v>9.6816200000000005E-2</v>
      </c>
      <c r="GU21">
        <v>0.11509</v>
      </c>
      <c r="GV21">
        <v>0.100205</v>
      </c>
      <c r="GW21">
        <v>22681.7</v>
      </c>
      <c r="GX21">
        <v>30061.5</v>
      </c>
      <c r="GY21">
        <v>27097.1</v>
      </c>
      <c r="GZ21">
        <v>34238.9</v>
      </c>
      <c r="HA21">
        <v>35132.1</v>
      </c>
      <c r="HB21">
        <v>38493.4</v>
      </c>
      <c r="HC21">
        <v>40019.599999999999</v>
      </c>
      <c r="HD21">
        <v>42855.5</v>
      </c>
      <c r="HE21">
        <v>2.1172</v>
      </c>
      <c r="HF21">
        <v>1.5222</v>
      </c>
      <c r="HG21">
        <v>-8.3237900000000004E-2</v>
      </c>
      <c r="HH21">
        <v>0</v>
      </c>
      <c r="HI21">
        <v>29.356200000000001</v>
      </c>
      <c r="HJ21">
        <v>999.9</v>
      </c>
      <c r="HK21">
        <v>70</v>
      </c>
      <c r="HL21">
        <v>36.4</v>
      </c>
      <c r="HM21">
        <v>43.942</v>
      </c>
      <c r="HN21">
        <v>61.020400000000002</v>
      </c>
      <c r="HO21">
        <v>10.629</v>
      </c>
      <c r="HP21">
        <v>1</v>
      </c>
      <c r="HQ21">
        <v>0.70898399999999995</v>
      </c>
      <c r="HR21">
        <v>5.0813899999999999</v>
      </c>
      <c r="HS21">
        <v>20.167400000000001</v>
      </c>
      <c r="HT21">
        <v>5.2112999999999996</v>
      </c>
      <c r="HU21">
        <v>11.914099999999999</v>
      </c>
      <c r="HV21">
        <v>4.9832000000000001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1.8676200000000001</v>
      </c>
      <c r="IC21">
        <v>1.8632500000000001</v>
      </c>
      <c r="ID21">
        <v>1.86276</v>
      </c>
      <c r="IE21">
        <v>1.8621799999999999</v>
      </c>
      <c r="IF21">
        <v>1.8622099999999999</v>
      </c>
      <c r="IG21">
        <v>1.8627899999999999</v>
      </c>
      <c r="IH21">
        <v>1.86371</v>
      </c>
      <c r="II21">
        <v>1.86172</v>
      </c>
      <c r="IJ21">
        <v>0</v>
      </c>
      <c r="IK21">
        <v>0</v>
      </c>
      <c r="IL21">
        <v>0</v>
      </c>
      <c r="IM21">
        <v>4.5</v>
      </c>
      <c r="IN21" t="s">
        <v>405</v>
      </c>
      <c r="IO21" t="s">
        <v>406</v>
      </c>
      <c r="IP21" t="s">
        <v>407</v>
      </c>
      <c r="IQ21" t="s">
        <v>408</v>
      </c>
      <c r="IR21" t="s">
        <v>408</v>
      </c>
      <c r="IS21" t="s">
        <v>407</v>
      </c>
      <c r="IT21">
        <v>0</v>
      </c>
      <c r="IU21">
        <v>100</v>
      </c>
      <c r="IV21">
        <v>100</v>
      </c>
      <c r="IW21">
        <v>-13.731</v>
      </c>
      <c r="IX21">
        <v>-1.4298</v>
      </c>
      <c r="IY21">
        <v>-11.714059541566479</v>
      </c>
      <c r="IZ21">
        <v>-5.6215304933332991E-3</v>
      </c>
      <c r="JA21">
        <v>2.3979931213773931E-6</v>
      </c>
      <c r="JB21">
        <v>-3.6297174575716598E-10</v>
      </c>
      <c r="JC21">
        <v>-1.8598004503515631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1.4</v>
      </c>
      <c r="JL21">
        <v>1.4</v>
      </c>
      <c r="JM21">
        <v>1.17676</v>
      </c>
      <c r="JN21">
        <v>2.5268600000000001</v>
      </c>
      <c r="JO21">
        <v>1.50024</v>
      </c>
      <c r="JP21">
        <v>2.2766099999999998</v>
      </c>
      <c r="JQ21">
        <v>1.4477500000000001</v>
      </c>
      <c r="JR21">
        <v>2.4060100000000002</v>
      </c>
      <c r="JS21">
        <v>42.430399999999999</v>
      </c>
      <c r="JT21">
        <v>23.842300000000002</v>
      </c>
      <c r="JU21">
        <v>18</v>
      </c>
      <c r="JV21">
        <v>669.10400000000004</v>
      </c>
      <c r="JW21">
        <v>303.22000000000003</v>
      </c>
      <c r="JX21">
        <v>23.710100000000001</v>
      </c>
      <c r="JY21">
        <v>35.709499999999998</v>
      </c>
      <c r="JZ21">
        <v>29.999700000000001</v>
      </c>
      <c r="KA21">
        <v>36.139099999999999</v>
      </c>
      <c r="KB21">
        <v>35.722799999999999</v>
      </c>
      <c r="KC21">
        <v>23.532599999999999</v>
      </c>
      <c r="KD21">
        <v>52.512799999999999</v>
      </c>
      <c r="KE21">
        <v>0</v>
      </c>
      <c r="KF21">
        <v>23.706099999999999</v>
      </c>
      <c r="KG21">
        <v>460.94</v>
      </c>
      <c r="KH21">
        <v>20.6539</v>
      </c>
      <c r="KI21">
        <v>100.014</v>
      </c>
      <c r="KJ21">
        <v>97.001099999999994</v>
      </c>
    </row>
    <row r="22" spans="1:296" x14ac:dyDescent="0.3">
      <c r="A22">
        <v>6</v>
      </c>
      <c r="B22">
        <v>1785163201.0999999</v>
      </c>
      <c r="C22">
        <v>907.59999990463257</v>
      </c>
      <c r="D22" t="s">
        <v>539</v>
      </c>
      <c r="E22" t="s">
        <v>540</v>
      </c>
      <c r="F22">
        <v>15</v>
      </c>
      <c r="H22">
        <v>1785163193.099999</v>
      </c>
      <c r="I22">
        <f t="shared" si="0"/>
        <v>3.0484507095429789E-3</v>
      </c>
      <c r="J22">
        <f t="shared" si="1"/>
        <v>3.0484507095429789</v>
      </c>
      <c r="K22">
        <f t="shared" si="2"/>
        <v>35.992198443628212</v>
      </c>
      <c r="L22">
        <f t="shared" si="3"/>
        <v>419.96716129032262</v>
      </c>
      <c r="M22">
        <f t="shared" si="4"/>
        <v>120.07042017968475</v>
      </c>
      <c r="N22">
        <f t="shared" si="5"/>
        <v>11.677839066609838</v>
      </c>
      <c r="O22">
        <f t="shared" si="6"/>
        <v>40.845271595369553</v>
      </c>
      <c r="P22">
        <f t="shared" si="7"/>
        <v>0.20298210225238045</v>
      </c>
      <c r="Q22">
        <f t="shared" si="8"/>
        <v>2.8808748827995334</v>
      </c>
      <c r="R22">
        <f t="shared" si="9"/>
        <v>0.19535829343263555</v>
      </c>
      <c r="S22">
        <f t="shared" si="10"/>
        <v>0.12276004494577805</v>
      </c>
      <c r="T22">
        <f t="shared" si="11"/>
        <v>128.27735867738406</v>
      </c>
      <c r="U22">
        <f t="shared" si="12"/>
        <v>27.820893116414293</v>
      </c>
      <c r="V22">
        <f t="shared" si="13"/>
        <v>27.992280645161291</v>
      </c>
      <c r="W22">
        <f t="shared" si="14"/>
        <v>3.7931322918049468</v>
      </c>
      <c r="X22">
        <f t="shared" si="15"/>
        <v>61.729868314077848</v>
      </c>
      <c r="Y22">
        <f t="shared" si="16"/>
        <v>2.3231956065379866</v>
      </c>
      <c r="Z22">
        <f t="shared" si="17"/>
        <v>3.7634870606198403</v>
      </c>
      <c r="AA22">
        <f t="shared" si="18"/>
        <v>1.4699366852669602</v>
      </c>
      <c r="AB22">
        <f t="shared" si="19"/>
        <v>-134.43667629084538</v>
      </c>
      <c r="AC22">
        <f t="shared" si="20"/>
        <v>-20.892201298768274</v>
      </c>
      <c r="AD22">
        <f t="shared" si="21"/>
        <v>-1.579595687443931</v>
      </c>
      <c r="AE22">
        <f t="shared" si="22"/>
        <v>-28.631114599673527</v>
      </c>
      <c r="AF22">
        <f t="shared" si="23"/>
        <v>35.992198443628212</v>
      </c>
      <c r="AG22">
        <f t="shared" si="24"/>
        <v>3.0484507095429789</v>
      </c>
      <c r="AH22">
        <f t="shared" si="25"/>
        <v>36.254592180658918</v>
      </c>
      <c r="AI22">
        <v>467.02487244888772</v>
      </c>
      <c r="AJ22">
        <v>430.18746666666641</v>
      </c>
      <c r="AK22">
        <v>-4.4332013036841249E-2</v>
      </c>
      <c r="AL22">
        <v>67.079135206538538</v>
      </c>
      <c r="AM22">
        <f t="shared" si="26"/>
        <v>3.120748485901403</v>
      </c>
      <c r="AN22">
        <v>20.822254568138529</v>
      </c>
      <c r="AO22">
        <v>23.870155151515149</v>
      </c>
      <c r="AP22">
        <v>-3.073453071744779E-4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51275.826484546255</v>
      </c>
      <c r="AW22" t="s">
        <v>515</v>
      </c>
      <c r="AX22">
        <v>13198.7</v>
      </c>
      <c r="AY22">
        <v>614.48529411764707</v>
      </c>
      <c r="AZ22">
        <v>2434.17</v>
      </c>
      <c r="BA22">
        <f t="shared" si="30"/>
        <v>0.74755859528395829</v>
      </c>
      <c r="BB22">
        <v>-2.566735476432902</v>
      </c>
      <c r="BC22" t="s">
        <v>541</v>
      </c>
      <c r="BD22">
        <v>13208.5</v>
      </c>
      <c r="BE22">
        <v>782.57988235294124</v>
      </c>
      <c r="BF22">
        <v>1525.57</v>
      </c>
      <c r="BG22">
        <f t="shared" si="31"/>
        <v>0.48702459909873608</v>
      </c>
      <c r="BH22">
        <v>0.5</v>
      </c>
      <c r="BI22">
        <f t="shared" si="32"/>
        <v>672.308706103943</v>
      </c>
      <c r="BJ22">
        <f t="shared" si="33"/>
        <v>35.992198443628212</v>
      </c>
      <c r="BK22">
        <f t="shared" si="34"/>
        <v>163.71543903043141</v>
      </c>
      <c r="BL22">
        <f t="shared" si="35"/>
        <v>5.7353018888468284E-2</v>
      </c>
      <c r="BM22">
        <f t="shared" si="36"/>
        <v>0.59558066820925959</v>
      </c>
      <c r="BN22">
        <f t="shared" si="37"/>
        <v>534.17282609899632</v>
      </c>
      <c r="BO22" t="s">
        <v>402</v>
      </c>
      <c r="BP22">
        <v>0</v>
      </c>
      <c r="BQ22">
        <f t="shared" si="38"/>
        <v>534.17282609899632</v>
      </c>
      <c r="BR22">
        <f t="shared" si="39"/>
        <v>0.64985361137214526</v>
      </c>
      <c r="BS22">
        <f t="shared" si="40"/>
        <v>0.74943739724766478</v>
      </c>
      <c r="BT22">
        <f t="shared" si="41"/>
        <v>0.4782112376169993</v>
      </c>
      <c r="BU22">
        <f t="shared" si="42"/>
        <v>0.815500592700104</v>
      </c>
      <c r="BV22">
        <f t="shared" si="43"/>
        <v>0.49931727021875805</v>
      </c>
      <c r="BW22">
        <f t="shared" si="44"/>
        <v>0.51155045190838944</v>
      </c>
      <c r="BX22">
        <f t="shared" si="45"/>
        <v>0.48844954809161056</v>
      </c>
      <c r="DG22">
        <f t="shared" si="46"/>
        <v>799.99893548387104</v>
      </c>
      <c r="DH22">
        <f t="shared" si="47"/>
        <v>672.308706103943</v>
      </c>
      <c r="DI22">
        <f t="shared" si="48"/>
        <v>0.84038700088682494</v>
      </c>
      <c r="DJ22">
        <f t="shared" si="49"/>
        <v>0.16034691171157225</v>
      </c>
      <c r="DK22">
        <v>6</v>
      </c>
      <c r="DL22">
        <v>0.5</v>
      </c>
      <c r="DM22" t="s">
        <v>403</v>
      </c>
      <c r="DN22">
        <v>2</v>
      </c>
      <c r="DO22" t="b">
        <v>0</v>
      </c>
      <c r="DP22">
        <v>1785163193.099999</v>
      </c>
      <c r="DQ22">
        <v>419.96716129032262</v>
      </c>
      <c r="DR22">
        <v>457.24061290322578</v>
      </c>
      <c r="DS22">
        <v>23.88687419354838</v>
      </c>
      <c r="DT22">
        <v>20.911161290322578</v>
      </c>
      <c r="DU22">
        <v>433.6767096774193</v>
      </c>
      <c r="DV22">
        <v>25.33896774193548</v>
      </c>
      <c r="DW22">
        <v>599.98383870967757</v>
      </c>
      <c r="DX22">
        <v>97.197719354838725</v>
      </c>
      <c r="DY22">
        <v>6.0531670967741938E-2</v>
      </c>
      <c r="DZ22">
        <v>27.857764516129031</v>
      </c>
      <c r="EA22">
        <v>27.992280645161291</v>
      </c>
      <c r="EB22">
        <v>999.90000000000032</v>
      </c>
      <c r="EC22">
        <v>0</v>
      </c>
      <c r="ED22">
        <v>0</v>
      </c>
      <c r="EE22">
        <v>10005.483870967741</v>
      </c>
      <c r="EF22">
        <v>0</v>
      </c>
      <c r="EG22">
        <v>850.33974193548374</v>
      </c>
      <c r="EH22">
        <v>-37.273416129032263</v>
      </c>
      <c r="EI22">
        <v>430.24438709677418</v>
      </c>
      <c r="EJ22">
        <v>467.00625806451609</v>
      </c>
      <c r="EK22">
        <v>2.9757129032258058</v>
      </c>
      <c r="EL22">
        <v>457.24061290322578</v>
      </c>
      <c r="EM22">
        <v>20.911161290322578</v>
      </c>
      <c r="EN22">
        <v>2.3217490322580652</v>
      </c>
      <c r="EO22">
        <v>2.0325167741935481</v>
      </c>
      <c r="EP22">
        <v>19.828093548387091</v>
      </c>
      <c r="EQ22">
        <v>17.699896774193551</v>
      </c>
      <c r="ER22">
        <v>799.99893548387104</v>
      </c>
      <c r="ES22">
        <v>0.98701958064516149</v>
      </c>
      <c r="ET22">
        <v>1.298037096774194E-2</v>
      </c>
      <c r="EU22">
        <v>0</v>
      </c>
      <c r="EV22">
        <v>782.54167741935498</v>
      </c>
      <c r="EW22">
        <v>5.0010700000000003</v>
      </c>
      <c r="EX22">
        <v>10934.67096774194</v>
      </c>
      <c r="EY22">
        <v>7246.6658064516132</v>
      </c>
      <c r="EZ22">
        <v>42.04999999999999</v>
      </c>
      <c r="FA22">
        <v>45.272000000000013</v>
      </c>
      <c r="FB22">
        <v>43.686999999999969</v>
      </c>
      <c r="FC22">
        <v>44.75</v>
      </c>
      <c r="FD22">
        <v>43.693096774193513</v>
      </c>
      <c r="FE22">
        <v>784.67709677419361</v>
      </c>
      <c r="FF22">
        <v>10.32</v>
      </c>
      <c r="FG22">
        <v>0</v>
      </c>
      <c r="FH22">
        <v>180.70000004768369</v>
      </c>
      <c r="FI22">
        <v>0</v>
      </c>
      <c r="FJ22">
        <v>782.57988235294124</v>
      </c>
      <c r="FK22">
        <v>0.42254901877225609</v>
      </c>
      <c r="FL22">
        <v>150.6372566736155</v>
      </c>
      <c r="FM22">
        <v>10938.36470588235</v>
      </c>
      <c r="FN22">
        <v>10</v>
      </c>
      <c r="FO22">
        <v>1785163126.5999999</v>
      </c>
      <c r="FP22" t="s">
        <v>542</v>
      </c>
      <c r="FQ22">
        <v>1785163126.5999999</v>
      </c>
      <c r="FR22">
        <v>1785163122.5999999</v>
      </c>
      <c r="FS22">
        <v>7</v>
      </c>
      <c r="FT22">
        <v>2.1000000000000001E-2</v>
      </c>
      <c r="FU22">
        <v>-2.1999999999999999E-2</v>
      </c>
      <c r="FV22">
        <v>-13.848000000000001</v>
      </c>
      <c r="FW22">
        <v>-1.5349999999999999</v>
      </c>
      <c r="FX22">
        <v>457</v>
      </c>
      <c r="FY22">
        <v>21</v>
      </c>
      <c r="FZ22">
        <v>0.28999999999999998</v>
      </c>
      <c r="GA22">
        <v>7.0000000000000007E-2</v>
      </c>
      <c r="GB22">
        <v>419.9747741935484</v>
      </c>
      <c r="GC22">
        <v>-6.5661290323329499E-2</v>
      </c>
      <c r="GD22">
        <v>5.2170755420293237E-2</v>
      </c>
      <c r="GE22">
        <v>-1</v>
      </c>
      <c r="GF22">
        <v>782.52129411764702</v>
      </c>
      <c r="GG22">
        <v>0.58765469232520073</v>
      </c>
      <c r="GH22">
        <v>0.23271271476319599</v>
      </c>
      <c r="GI22">
        <v>1</v>
      </c>
      <c r="GJ22">
        <v>2.9628307317073168</v>
      </c>
      <c r="GK22">
        <v>0.23569526132403659</v>
      </c>
      <c r="GL22">
        <v>4.2253640304437658E-2</v>
      </c>
      <c r="GM22">
        <v>1</v>
      </c>
      <c r="GN22">
        <v>2</v>
      </c>
      <c r="GO22">
        <v>2</v>
      </c>
      <c r="GP22" t="s">
        <v>404</v>
      </c>
      <c r="GQ22">
        <v>3.24431</v>
      </c>
      <c r="GR22">
        <v>2.7374000000000001</v>
      </c>
      <c r="GS22">
        <v>9.1696100000000003E-2</v>
      </c>
      <c r="GT22">
        <v>9.6205799999999994E-2</v>
      </c>
      <c r="GU22">
        <v>0.114966</v>
      </c>
      <c r="GV22">
        <v>0.100382</v>
      </c>
      <c r="GW22">
        <v>22677.9</v>
      </c>
      <c r="GX22">
        <v>30075.5</v>
      </c>
      <c r="GY22">
        <v>27092.2</v>
      </c>
      <c r="GZ22">
        <v>34232.199999999997</v>
      </c>
      <c r="HA22">
        <v>35132.300000000003</v>
      </c>
      <c r="HB22">
        <v>38477.699999999997</v>
      </c>
      <c r="HC22">
        <v>40013.800000000003</v>
      </c>
      <c r="HD22">
        <v>42846.400000000001</v>
      </c>
      <c r="HE22">
        <v>2.1156000000000001</v>
      </c>
      <c r="HF22">
        <v>1.5176000000000001</v>
      </c>
      <c r="HG22">
        <v>-8.7320800000000004E-2</v>
      </c>
      <c r="HH22">
        <v>0</v>
      </c>
      <c r="HI22">
        <v>29.421399999999998</v>
      </c>
      <c r="HJ22">
        <v>999.9</v>
      </c>
      <c r="HK22">
        <v>69.5</v>
      </c>
      <c r="HL22">
        <v>36.700000000000003</v>
      </c>
      <c r="HM22">
        <v>44.349699999999999</v>
      </c>
      <c r="HN22">
        <v>61.087699999999998</v>
      </c>
      <c r="HO22">
        <v>10.9375</v>
      </c>
      <c r="HP22">
        <v>1</v>
      </c>
      <c r="HQ22">
        <v>0.71788600000000002</v>
      </c>
      <c r="HR22">
        <v>5.2790400000000002</v>
      </c>
      <c r="HS22">
        <v>20.162800000000001</v>
      </c>
      <c r="HT22">
        <v>5.2100999999999997</v>
      </c>
      <c r="HU22">
        <v>11.914099999999999</v>
      </c>
      <c r="HV22">
        <v>4.9832000000000001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1.8676200000000001</v>
      </c>
      <c r="IC22">
        <v>1.8632500000000001</v>
      </c>
      <c r="ID22">
        <v>1.86273</v>
      </c>
      <c r="IE22">
        <v>1.8622099999999999</v>
      </c>
      <c r="IF22">
        <v>1.8622099999999999</v>
      </c>
      <c r="IG22">
        <v>1.8628199999999999</v>
      </c>
      <c r="IH22">
        <v>1.8638300000000001</v>
      </c>
      <c r="II22">
        <v>1.86172</v>
      </c>
      <c r="IJ22">
        <v>0</v>
      </c>
      <c r="IK22">
        <v>0</v>
      </c>
      <c r="IL22">
        <v>0</v>
      </c>
      <c r="IM22">
        <v>4.5</v>
      </c>
      <c r="IN22" t="s">
        <v>405</v>
      </c>
      <c r="IO22" t="s">
        <v>406</v>
      </c>
      <c r="IP22" t="s">
        <v>407</v>
      </c>
      <c r="IQ22" t="s">
        <v>408</v>
      </c>
      <c r="IR22" t="s">
        <v>408</v>
      </c>
      <c r="IS22" t="s">
        <v>407</v>
      </c>
      <c r="IT22">
        <v>0</v>
      </c>
      <c r="IU22">
        <v>100</v>
      </c>
      <c r="IV22">
        <v>100</v>
      </c>
      <c r="IW22">
        <v>-13.71</v>
      </c>
      <c r="IX22">
        <v>-1.4527000000000001</v>
      </c>
      <c r="IY22">
        <v>-11.69294815482831</v>
      </c>
      <c r="IZ22">
        <v>-5.6215304933332991E-3</v>
      </c>
      <c r="JA22">
        <v>2.3979931213773931E-6</v>
      </c>
      <c r="JB22">
        <v>-3.6297174575716598E-10</v>
      </c>
      <c r="JC22">
        <v>-1.881762326777831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1.2</v>
      </c>
      <c r="JL22">
        <v>1.3</v>
      </c>
      <c r="JM22">
        <v>1.16821</v>
      </c>
      <c r="JN22">
        <v>2.52075</v>
      </c>
      <c r="JO22">
        <v>1.50024</v>
      </c>
      <c r="JP22">
        <v>2.2753899999999998</v>
      </c>
      <c r="JQ22">
        <v>1.4477500000000001</v>
      </c>
      <c r="JR22">
        <v>2.3925800000000002</v>
      </c>
      <c r="JS22">
        <v>42.724200000000003</v>
      </c>
      <c r="JT22">
        <v>23.851099999999999</v>
      </c>
      <c r="JU22">
        <v>18</v>
      </c>
      <c r="JV22">
        <v>668.56200000000001</v>
      </c>
      <c r="JW22">
        <v>301.32799999999997</v>
      </c>
      <c r="JX22">
        <v>23.761199999999999</v>
      </c>
      <c r="JY22">
        <v>35.79</v>
      </c>
      <c r="JZ22">
        <v>30.0001</v>
      </c>
      <c r="KA22">
        <v>36.210700000000003</v>
      </c>
      <c r="KB22">
        <v>35.7973</v>
      </c>
      <c r="KC22">
        <v>23.383199999999999</v>
      </c>
      <c r="KD22">
        <v>52.578099999999999</v>
      </c>
      <c r="KE22">
        <v>0</v>
      </c>
      <c r="KF22">
        <v>23.756499999999999</v>
      </c>
      <c r="KG22">
        <v>457.291</v>
      </c>
      <c r="KH22">
        <v>20.858899999999998</v>
      </c>
      <c r="KI22">
        <v>99.9983</v>
      </c>
      <c r="KJ22">
        <v>96.981300000000005</v>
      </c>
    </row>
    <row r="23" spans="1:296" x14ac:dyDescent="0.3">
      <c r="A23">
        <v>7</v>
      </c>
      <c r="B23">
        <v>1785163382.5999999</v>
      </c>
      <c r="C23">
        <v>1089.099999904633</v>
      </c>
      <c r="D23" t="s">
        <v>543</v>
      </c>
      <c r="E23" t="s">
        <v>544</v>
      </c>
      <c r="F23">
        <v>15</v>
      </c>
      <c r="H23">
        <v>1785163374.849999</v>
      </c>
      <c r="I23">
        <f t="shared" si="0"/>
        <v>2.6609958424577175E-3</v>
      </c>
      <c r="J23">
        <f t="shared" si="1"/>
        <v>2.6609958424577176</v>
      </c>
      <c r="K23">
        <f t="shared" si="2"/>
        <v>29.660176813483254</v>
      </c>
      <c r="L23">
        <f t="shared" si="3"/>
        <v>420.08930000000021</v>
      </c>
      <c r="M23">
        <f t="shared" si="4"/>
        <v>133.06295768958179</v>
      </c>
      <c r="N23">
        <f t="shared" si="5"/>
        <v>12.941537596183883</v>
      </c>
      <c r="O23">
        <f t="shared" si="6"/>
        <v>40.857362290017946</v>
      </c>
      <c r="P23">
        <f t="shared" si="7"/>
        <v>0.174305991319776</v>
      </c>
      <c r="Q23">
        <f t="shared" si="8"/>
        <v>2.8809429261042396</v>
      </c>
      <c r="R23">
        <f t="shared" si="9"/>
        <v>0.16865196506349461</v>
      </c>
      <c r="S23">
        <f t="shared" si="10"/>
        <v>0.10590019193983569</v>
      </c>
      <c r="T23">
        <f t="shared" si="11"/>
        <v>96.34967975766601</v>
      </c>
      <c r="U23">
        <f t="shared" si="12"/>
        <v>27.712744429473112</v>
      </c>
      <c r="V23">
        <f t="shared" si="13"/>
        <v>28.004360000000009</v>
      </c>
      <c r="W23">
        <f t="shared" si="14"/>
        <v>3.7958043323711341</v>
      </c>
      <c r="X23">
        <f t="shared" si="15"/>
        <v>61.432940293167078</v>
      </c>
      <c r="Y23">
        <f t="shared" si="16"/>
        <v>2.3094169172255969</v>
      </c>
      <c r="Z23">
        <f t="shared" si="17"/>
        <v>3.7592485500526553</v>
      </c>
      <c r="AA23">
        <f t="shared" si="18"/>
        <v>1.4863874151455372</v>
      </c>
      <c r="AB23">
        <f t="shared" si="19"/>
        <v>-117.34991665238535</v>
      </c>
      <c r="AC23">
        <f t="shared" si="20"/>
        <v>-25.767673560481761</v>
      </c>
      <c r="AD23">
        <f t="shared" si="21"/>
        <v>-1.9480991335236584</v>
      </c>
      <c r="AE23">
        <f t="shared" si="22"/>
        <v>-48.716009588724752</v>
      </c>
      <c r="AF23">
        <f t="shared" si="23"/>
        <v>29.660176813483254</v>
      </c>
      <c r="AG23">
        <f t="shared" si="24"/>
        <v>2.6609958424577176</v>
      </c>
      <c r="AH23">
        <f t="shared" si="25"/>
        <v>29.539038766852883</v>
      </c>
      <c r="AI23">
        <v>460.59466882763508</v>
      </c>
      <c r="AJ23">
        <v>430.36601818181822</v>
      </c>
      <c r="AK23">
        <v>1.2038639425120141E-2</v>
      </c>
      <c r="AL23">
        <v>67.059845475420758</v>
      </c>
      <c r="AM23">
        <f t="shared" si="26"/>
        <v>2.645786804361395</v>
      </c>
      <c r="AN23">
        <v>21.151642873885859</v>
      </c>
      <c r="AO23">
        <v>23.733474545454541</v>
      </c>
      <c r="AP23">
        <v>2.1523685647634899E-4</v>
      </c>
      <c r="AQ23">
        <v>78.340549136132637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51281.051607511632</v>
      </c>
      <c r="AW23" t="s">
        <v>515</v>
      </c>
      <c r="AX23">
        <v>13198.7</v>
      </c>
      <c r="AY23">
        <v>614.48529411764707</v>
      </c>
      <c r="AZ23">
        <v>2434.17</v>
      </c>
      <c r="BA23">
        <f t="shared" si="30"/>
        <v>0.74755859528395829</v>
      </c>
      <c r="BB23">
        <v>-2.566735476432902</v>
      </c>
      <c r="BC23" t="s">
        <v>545</v>
      </c>
      <c r="BD23">
        <v>13211.3</v>
      </c>
      <c r="BE23">
        <v>757.28029411764703</v>
      </c>
      <c r="BF23">
        <v>1655.07</v>
      </c>
      <c r="BG23">
        <f t="shared" si="31"/>
        <v>0.54244817795159905</v>
      </c>
      <c r="BH23">
        <v>0.5</v>
      </c>
      <c r="BI23">
        <f t="shared" si="32"/>
        <v>504.32598080708084</v>
      </c>
      <c r="BJ23">
        <f t="shared" si="33"/>
        <v>29.660176813483254</v>
      </c>
      <c r="BK23">
        <f t="shared" si="34"/>
        <v>136.78535469122707</v>
      </c>
      <c r="BL23">
        <f t="shared" si="35"/>
        <v>6.3900955961743083E-2</v>
      </c>
      <c r="BM23">
        <f t="shared" si="36"/>
        <v>0.47073537675143662</v>
      </c>
      <c r="BN23">
        <f t="shared" si="37"/>
        <v>549.21980253470326</v>
      </c>
      <c r="BO23" t="s">
        <v>402</v>
      </c>
      <c r="BP23">
        <v>0</v>
      </c>
      <c r="BQ23">
        <f t="shared" si="38"/>
        <v>549.21980253470326</v>
      </c>
      <c r="BR23">
        <f t="shared" si="39"/>
        <v>0.66815916998392622</v>
      </c>
      <c r="BS23">
        <f t="shared" si="40"/>
        <v>0.81185472312630014</v>
      </c>
      <c r="BT23">
        <f t="shared" si="41"/>
        <v>0.4133265701383837</v>
      </c>
      <c r="BU23">
        <f t="shared" si="42"/>
        <v>0.86277426605177865</v>
      </c>
      <c r="BV23">
        <f t="shared" si="43"/>
        <v>0.42815109534166235</v>
      </c>
      <c r="BW23">
        <f t="shared" si="44"/>
        <v>0.58880007070806228</v>
      </c>
      <c r="BX23">
        <f t="shared" si="45"/>
        <v>0.41119992929193772</v>
      </c>
      <c r="DG23">
        <f t="shared" si="46"/>
        <v>600.02700000000004</v>
      </c>
      <c r="DH23">
        <f t="shared" si="47"/>
        <v>504.32598080708084</v>
      </c>
      <c r="DI23">
        <f t="shared" si="48"/>
        <v>0.8405054785985977</v>
      </c>
      <c r="DJ23">
        <f t="shared" si="49"/>
        <v>0.16057557369529371</v>
      </c>
      <c r="DK23">
        <v>6</v>
      </c>
      <c r="DL23">
        <v>0.5</v>
      </c>
      <c r="DM23" t="s">
        <v>403</v>
      </c>
      <c r="DN23">
        <v>2</v>
      </c>
      <c r="DO23" t="b">
        <v>0</v>
      </c>
      <c r="DP23">
        <v>1785163374.849999</v>
      </c>
      <c r="DQ23">
        <v>420.08930000000021</v>
      </c>
      <c r="DR23">
        <v>450.86649999999997</v>
      </c>
      <c r="DS23">
        <v>23.745080000000002</v>
      </c>
      <c r="DT23">
        <v>21.14734</v>
      </c>
      <c r="DU23">
        <v>433.75016666666681</v>
      </c>
      <c r="DV23">
        <v>25.20151666666667</v>
      </c>
      <c r="DW23">
        <v>600.0162333333335</v>
      </c>
      <c r="DX23">
        <v>97.198130000000006</v>
      </c>
      <c r="DY23">
        <v>6.0624960000000012E-2</v>
      </c>
      <c r="DZ23">
        <v>27.838456666666669</v>
      </c>
      <c r="EA23">
        <v>28.004360000000009</v>
      </c>
      <c r="EB23">
        <v>999.9000000000002</v>
      </c>
      <c r="EC23">
        <v>0</v>
      </c>
      <c r="ED23">
        <v>0</v>
      </c>
      <c r="EE23">
        <v>10005.83333333333</v>
      </c>
      <c r="EF23">
        <v>0</v>
      </c>
      <c r="EG23">
        <v>867.38133333333337</v>
      </c>
      <c r="EH23">
        <v>-30.77724666666667</v>
      </c>
      <c r="EI23">
        <v>430.30696666666671</v>
      </c>
      <c r="EJ23">
        <v>460.60716666666661</v>
      </c>
      <c r="EK23">
        <v>2.597732333333334</v>
      </c>
      <c r="EL23">
        <v>450.86649999999997</v>
      </c>
      <c r="EM23">
        <v>21.14734</v>
      </c>
      <c r="EN23">
        <v>2.3079773333333331</v>
      </c>
      <c r="EO23">
        <v>2.055482</v>
      </c>
      <c r="EP23">
        <v>19.73218</v>
      </c>
      <c r="EQ23">
        <v>17.878323333333341</v>
      </c>
      <c r="ER23">
        <v>600.02700000000004</v>
      </c>
      <c r="ES23">
        <v>0.9830064333333336</v>
      </c>
      <c r="ET23">
        <v>1.699384666666667E-2</v>
      </c>
      <c r="EU23">
        <v>0</v>
      </c>
      <c r="EV23">
        <v>757.32350000000008</v>
      </c>
      <c r="EW23">
        <v>5.0010700000000003</v>
      </c>
      <c r="EX23">
        <v>9217.1343333333334</v>
      </c>
      <c r="EY23">
        <v>5415.3706666666667</v>
      </c>
      <c r="EZ23">
        <v>41.428733333333319</v>
      </c>
      <c r="FA23">
        <v>44.936999999999983</v>
      </c>
      <c r="FB23">
        <v>43.241599999999977</v>
      </c>
      <c r="FC23">
        <v>44.457999999999977</v>
      </c>
      <c r="FD23">
        <v>43.224799999999981</v>
      </c>
      <c r="FE23">
        <v>584.91433333333339</v>
      </c>
      <c r="FF23">
        <v>10.11</v>
      </c>
      <c r="FG23">
        <v>0</v>
      </c>
      <c r="FH23">
        <v>180.9000000953674</v>
      </c>
      <c r="FI23">
        <v>0</v>
      </c>
      <c r="FJ23">
        <v>757.28029411764703</v>
      </c>
      <c r="FK23">
        <v>-0.82818625998104423</v>
      </c>
      <c r="FL23">
        <v>-310.81862400541712</v>
      </c>
      <c r="FM23">
        <v>9218.3282352941169</v>
      </c>
      <c r="FN23">
        <v>10</v>
      </c>
      <c r="FO23">
        <v>1785163304.5999999</v>
      </c>
      <c r="FP23" t="s">
        <v>546</v>
      </c>
      <c r="FQ23">
        <v>1785163296.5999999</v>
      </c>
      <c r="FR23">
        <v>1785163304.5999999</v>
      </c>
      <c r="FS23">
        <v>8</v>
      </c>
      <c r="FT23">
        <v>4.9000000000000002E-2</v>
      </c>
      <c r="FU23">
        <v>0</v>
      </c>
      <c r="FV23">
        <v>-13.779</v>
      </c>
      <c r="FW23">
        <v>-1.534</v>
      </c>
      <c r="FX23">
        <v>452</v>
      </c>
      <c r="FY23">
        <v>21</v>
      </c>
      <c r="FZ23">
        <v>0.25</v>
      </c>
      <c r="GA23">
        <v>0.08</v>
      </c>
      <c r="GB23">
        <v>420.08930000000021</v>
      </c>
      <c r="GC23">
        <v>0.29966629588473848</v>
      </c>
      <c r="GD23">
        <v>6.6480648813522003E-2</v>
      </c>
      <c r="GE23">
        <v>-1</v>
      </c>
      <c r="GF23">
        <v>757.33423529411755</v>
      </c>
      <c r="GG23">
        <v>-0.45567608900946888</v>
      </c>
      <c r="GH23">
        <v>0.14248427339917669</v>
      </c>
      <c r="GI23">
        <v>1</v>
      </c>
      <c r="GJ23">
        <v>2.6053994999999999</v>
      </c>
      <c r="GK23">
        <v>-0.17512525328330661</v>
      </c>
      <c r="GL23">
        <v>1.759344721053837E-2</v>
      </c>
      <c r="GM23">
        <v>1</v>
      </c>
      <c r="GN23">
        <v>2</v>
      </c>
      <c r="GO23">
        <v>2</v>
      </c>
      <c r="GP23" t="s">
        <v>404</v>
      </c>
      <c r="GQ23">
        <v>3.2442600000000001</v>
      </c>
      <c r="GR23">
        <v>2.7377099999999999</v>
      </c>
      <c r="GS23">
        <v>9.1707999999999998E-2</v>
      </c>
      <c r="GT23">
        <v>9.5175300000000004E-2</v>
      </c>
      <c r="GU23">
        <v>0.114547</v>
      </c>
      <c r="GV23">
        <v>0.10165200000000001</v>
      </c>
      <c r="GW23">
        <v>22675.599999999999</v>
      </c>
      <c r="GX23">
        <v>30106.3</v>
      </c>
      <c r="GY23">
        <v>27090.2</v>
      </c>
      <c r="GZ23">
        <v>34228.5</v>
      </c>
      <c r="HA23">
        <v>35146.5</v>
      </c>
      <c r="HB23">
        <v>38418.199999999997</v>
      </c>
      <c r="HC23">
        <v>40010.800000000003</v>
      </c>
      <c r="HD23">
        <v>42840.5</v>
      </c>
      <c r="HE23">
        <v>2.1141999999999999</v>
      </c>
      <c r="HF23">
        <v>1.5154000000000001</v>
      </c>
      <c r="HG23">
        <v>-9.0688500000000005E-2</v>
      </c>
      <c r="HH23">
        <v>0</v>
      </c>
      <c r="HI23">
        <v>29.474699999999999</v>
      </c>
      <c r="HJ23">
        <v>999.9</v>
      </c>
      <c r="HK23">
        <v>69</v>
      </c>
      <c r="HL23">
        <v>36.9</v>
      </c>
      <c r="HM23">
        <v>44.515700000000002</v>
      </c>
      <c r="HN23">
        <v>61.077800000000003</v>
      </c>
      <c r="HO23">
        <v>10.645</v>
      </c>
      <c r="HP23">
        <v>1</v>
      </c>
      <c r="HQ23">
        <v>0.72445099999999996</v>
      </c>
      <c r="HR23">
        <v>5.5051199999999998</v>
      </c>
      <c r="HS23">
        <v>20.157399999999999</v>
      </c>
      <c r="HT23">
        <v>5.2065099999999997</v>
      </c>
      <c r="HU23">
        <v>11.914099999999999</v>
      </c>
      <c r="HV23">
        <v>4.9836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1.86758</v>
      </c>
      <c r="IC23">
        <v>1.8632500000000001</v>
      </c>
      <c r="ID23">
        <v>1.86276</v>
      </c>
      <c r="IE23">
        <v>1.8622399999999999</v>
      </c>
      <c r="IF23">
        <v>1.8622399999999999</v>
      </c>
      <c r="IG23">
        <v>1.8627899999999999</v>
      </c>
      <c r="IH23">
        <v>1.86374</v>
      </c>
      <c r="II23">
        <v>1.86172</v>
      </c>
      <c r="IJ23">
        <v>0</v>
      </c>
      <c r="IK23">
        <v>0</v>
      </c>
      <c r="IL23">
        <v>0</v>
      </c>
      <c r="IM23">
        <v>4.5</v>
      </c>
      <c r="IN23" t="s">
        <v>405</v>
      </c>
      <c r="IO23" t="s">
        <v>406</v>
      </c>
      <c r="IP23" t="s">
        <v>407</v>
      </c>
      <c r="IQ23" t="s">
        <v>408</v>
      </c>
      <c r="IR23" t="s">
        <v>408</v>
      </c>
      <c r="IS23" t="s">
        <v>407</v>
      </c>
      <c r="IT23">
        <v>0</v>
      </c>
      <c r="IU23">
        <v>100</v>
      </c>
      <c r="IV23">
        <v>100</v>
      </c>
      <c r="IW23">
        <v>-13.661</v>
      </c>
      <c r="IX23">
        <v>-1.4565999999999999</v>
      </c>
      <c r="IY23">
        <v>-11.644090719027441</v>
      </c>
      <c r="IZ23">
        <v>-5.6215304933332991E-3</v>
      </c>
      <c r="JA23">
        <v>2.3979931213773931E-6</v>
      </c>
      <c r="JB23">
        <v>-3.6297174575716598E-10</v>
      </c>
      <c r="JC23">
        <v>-1.8822172484834241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1.4</v>
      </c>
      <c r="JL23">
        <v>1.3</v>
      </c>
      <c r="JM23">
        <v>1.15601</v>
      </c>
      <c r="JN23">
        <v>2.52075</v>
      </c>
      <c r="JO23">
        <v>1.50024</v>
      </c>
      <c r="JP23">
        <v>2.2753899999999998</v>
      </c>
      <c r="JQ23">
        <v>1.4477500000000001</v>
      </c>
      <c r="JR23">
        <v>2.4645999999999999</v>
      </c>
      <c r="JS23">
        <v>42.939</v>
      </c>
      <c r="JT23">
        <v>23.851099999999999</v>
      </c>
      <c r="JU23">
        <v>18</v>
      </c>
      <c r="JV23">
        <v>668.05200000000002</v>
      </c>
      <c r="JW23">
        <v>300.51400000000001</v>
      </c>
      <c r="JX23">
        <v>23.630500000000001</v>
      </c>
      <c r="JY23">
        <v>35.843000000000004</v>
      </c>
      <c r="JZ23">
        <v>30</v>
      </c>
      <c r="KA23">
        <v>36.269599999999997</v>
      </c>
      <c r="KB23">
        <v>35.853900000000003</v>
      </c>
      <c r="KC23">
        <v>23.122499999999999</v>
      </c>
      <c r="KD23">
        <v>52.018000000000001</v>
      </c>
      <c r="KE23">
        <v>0</v>
      </c>
      <c r="KF23">
        <v>23.640599999999999</v>
      </c>
      <c r="KG23">
        <v>450.72</v>
      </c>
      <c r="KH23">
        <v>21.22</v>
      </c>
      <c r="KI23">
        <v>99.990700000000004</v>
      </c>
      <c r="KJ23">
        <v>96.969200000000001</v>
      </c>
    </row>
    <row r="24" spans="1:296" x14ac:dyDescent="0.3">
      <c r="A24">
        <v>8</v>
      </c>
      <c r="B24">
        <v>1785163564.0999999</v>
      </c>
      <c r="C24">
        <v>1270.599999904633</v>
      </c>
      <c r="D24" t="s">
        <v>547</v>
      </c>
      <c r="E24" t="s">
        <v>548</v>
      </c>
      <c r="F24">
        <v>15</v>
      </c>
      <c r="H24">
        <v>1785163556.349999</v>
      </c>
      <c r="I24">
        <f t="shared" si="0"/>
        <v>1.9972597517452623E-3</v>
      </c>
      <c r="J24">
        <f t="shared" si="1"/>
        <v>1.9972597517452624</v>
      </c>
      <c r="K24">
        <f t="shared" si="2"/>
        <v>20.581498214978247</v>
      </c>
      <c r="L24">
        <f t="shared" si="3"/>
        <v>420.05013333333329</v>
      </c>
      <c r="M24">
        <f t="shared" si="4"/>
        <v>152.57769029454042</v>
      </c>
      <c r="N24">
        <f t="shared" si="5"/>
        <v>14.839307984186116</v>
      </c>
      <c r="O24">
        <f t="shared" si="6"/>
        <v>40.852979785569708</v>
      </c>
      <c r="P24">
        <f t="shared" si="7"/>
        <v>0.12923333282208246</v>
      </c>
      <c r="Q24">
        <f t="shared" si="8"/>
        <v>2.8809213499887267</v>
      </c>
      <c r="R24">
        <f t="shared" si="9"/>
        <v>0.12609697541860757</v>
      </c>
      <c r="S24">
        <f t="shared" si="10"/>
        <v>7.9086059210746393E-2</v>
      </c>
      <c r="T24">
        <f t="shared" si="11"/>
        <v>64.414100218065002</v>
      </c>
      <c r="U24">
        <f t="shared" si="12"/>
        <v>27.630187957994121</v>
      </c>
      <c r="V24">
        <f t="shared" si="13"/>
        <v>27.99826333333333</v>
      </c>
      <c r="W24">
        <f t="shared" si="14"/>
        <v>3.7944555004692524</v>
      </c>
      <c r="X24">
        <f t="shared" si="15"/>
        <v>61.48143783321153</v>
      </c>
      <c r="Y24">
        <f t="shared" si="16"/>
        <v>2.3022714331919865</v>
      </c>
      <c r="Z24">
        <f t="shared" si="17"/>
        <v>3.7446610136829417</v>
      </c>
      <c r="AA24">
        <f t="shared" si="18"/>
        <v>1.4921840672772659</v>
      </c>
      <c r="AB24">
        <f t="shared" si="19"/>
        <v>-88.079155051966069</v>
      </c>
      <c r="AC24">
        <f t="shared" si="20"/>
        <v>-35.16411260495267</v>
      </c>
      <c r="AD24">
        <f t="shared" si="21"/>
        <v>-2.6575497821468987</v>
      </c>
      <c r="AE24">
        <f t="shared" si="22"/>
        <v>-61.486717221000639</v>
      </c>
      <c r="AF24">
        <f t="shared" si="23"/>
        <v>20.581498214978247</v>
      </c>
      <c r="AG24">
        <f t="shared" si="24"/>
        <v>1.9972597517452624</v>
      </c>
      <c r="AH24">
        <f t="shared" si="25"/>
        <v>20.368668420343539</v>
      </c>
      <c r="AI24">
        <v>451.33410144323608</v>
      </c>
      <c r="AJ24">
        <v>430.35440606060598</v>
      </c>
      <c r="AK24">
        <v>3.6655233183977613E-2</v>
      </c>
      <c r="AL24">
        <v>67.073277927283428</v>
      </c>
      <c r="AM24">
        <f t="shared" si="26"/>
        <v>2.0405247318992008</v>
      </c>
      <c r="AN24">
        <v>21.755306387316029</v>
      </c>
      <c r="AO24">
        <v>23.720269090909088</v>
      </c>
      <c r="AP24">
        <v>5.3320346320378017E-3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51291.76944745081</v>
      </c>
      <c r="AW24" t="s">
        <v>515</v>
      </c>
      <c r="AX24">
        <v>13198.7</v>
      </c>
      <c r="AY24">
        <v>614.48529411764707</v>
      </c>
      <c r="AZ24">
        <v>2434.17</v>
      </c>
      <c r="BA24">
        <f t="shared" si="30"/>
        <v>0.74755859528395829</v>
      </c>
      <c r="BB24">
        <v>-2.566735476432902</v>
      </c>
      <c r="BC24" t="s">
        <v>549</v>
      </c>
      <c r="BD24">
        <v>13217.9</v>
      </c>
      <c r="BE24">
        <v>722.04258823529415</v>
      </c>
      <c r="BF24">
        <v>1753.39</v>
      </c>
      <c r="BG24">
        <f t="shared" si="31"/>
        <v>0.58820194695116657</v>
      </c>
      <c r="BH24">
        <v>0.5</v>
      </c>
      <c r="BI24">
        <f t="shared" si="32"/>
        <v>336.3099315534015</v>
      </c>
      <c r="BJ24">
        <f t="shared" si="33"/>
        <v>20.581498214978247</v>
      </c>
      <c r="BK24">
        <f t="shared" si="34"/>
        <v>98.909078259362161</v>
      </c>
      <c r="BL24">
        <f t="shared" si="35"/>
        <v>6.8830062747449738E-2</v>
      </c>
      <c r="BM24">
        <f t="shared" si="36"/>
        <v>0.38826501805074737</v>
      </c>
      <c r="BN24">
        <f t="shared" si="37"/>
        <v>559.6333024039576</v>
      </c>
      <c r="BO24" t="s">
        <v>402</v>
      </c>
      <c r="BP24">
        <v>0</v>
      </c>
      <c r="BQ24">
        <f t="shared" si="38"/>
        <v>559.6333024039576</v>
      </c>
      <c r="BR24">
        <f t="shared" si="39"/>
        <v>0.68082782358519345</v>
      </c>
      <c r="BS24">
        <f t="shared" si="40"/>
        <v>0.86395109978575002</v>
      </c>
      <c r="BT24">
        <f t="shared" si="41"/>
        <v>0.36317240461232425</v>
      </c>
      <c r="BU24">
        <f t="shared" si="42"/>
        <v>0.90556076064825963</v>
      </c>
      <c r="BV24">
        <f t="shared" si="43"/>
        <v>0.37411975701026418</v>
      </c>
      <c r="BW24">
        <f t="shared" si="44"/>
        <v>0.66962228401279866</v>
      </c>
      <c r="BX24">
        <f t="shared" si="45"/>
        <v>0.33037771598720134</v>
      </c>
      <c r="DG24">
        <f t="shared" si="46"/>
        <v>400.01646666666659</v>
      </c>
      <c r="DH24">
        <f t="shared" si="47"/>
        <v>336.3099315534015</v>
      </c>
      <c r="DI24">
        <f t="shared" si="48"/>
        <v>0.8407402184111793</v>
      </c>
      <c r="DJ24">
        <f t="shared" si="49"/>
        <v>0.16102862153357606</v>
      </c>
      <c r="DK24">
        <v>6</v>
      </c>
      <c r="DL24">
        <v>0.5</v>
      </c>
      <c r="DM24" t="s">
        <v>403</v>
      </c>
      <c r="DN24">
        <v>2</v>
      </c>
      <c r="DO24" t="b">
        <v>0</v>
      </c>
      <c r="DP24">
        <v>1785163556.349999</v>
      </c>
      <c r="DQ24">
        <v>420.05013333333329</v>
      </c>
      <c r="DR24">
        <v>441.47013333333342</v>
      </c>
      <c r="DS24">
        <v>23.671943333333331</v>
      </c>
      <c r="DT24">
        <v>21.72200333333333</v>
      </c>
      <c r="DU24">
        <v>433.66946666666661</v>
      </c>
      <c r="DV24">
        <v>25.148696666666659</v>
      </c>
      <c r="DW24">
        <v>600.01253333333318</v>
      </c>
      <c r="DX24">
        <v>97.196923333333331</v>
      </c>
      <c r="DY24">
        <v>6.0467020000000003E-2</v>
      </c>
      <c r="DZ24">
        <v>27.771860000000011</v>
      </c>
      <c r="EA24">
        <v>27.99826333333333</v>
      </c>
      <c r="EB24">
        <v>999.9000000000002</v>
      </c>
      <c r="EC24">
        <v>0</v>
      </c>
      <c r="ED24">
        <v>0</v>
      </c>
      <c r="EE24">
        <v>10005.83333333333</v>
      </c>
      <c r="EF24">
        <v>0</v>
      </c>
      <c r="EG24">
        <v>1177.642433333333</v>
      </c>
      <c r="EH24">
        <v>-21.42002333333334</v>
      </c>
      <c r="EI24">
        <v>430.23463333333331</v>
      </c>
      <c r="EJ24">
        <v>451.27269999999999</v>
      </c>
      <c r="EK24">
        <v>1.9499470000000001</v>
      </c>
      <c r="EL24">
        <v>441.47013333333342</v>
      </c>
      <c r="EM24">
        <v>21.72200333333333</v>
      </c>
      <c r="EN24">
        <v>2.3008410000000001</v>
      </c>
      <c r="EO24">
        <v>2.111313</v>
      </c>
      <c r="EP24">
        <v>19.682266666666671</v>
      </c>
      <c r="EQ24">
        <v>18.304703333333329</v>
      </c>
      <c r="ER24">
        <v>400.01646666666659</v>
      </c>
      <c r="ES24">
        <v>0.97501616666666679</v>
      </c>
      <c r="ET24">
        <v>2.4984226666666672E-2</v>
      </c>
      <c r="EU24">
        <v>0</v>
      </c>
      <c r="EV24">
        <v>722.14323333333334</v>
      </c>
      <c r="EW24">
        <v>5.0010700000000003</v>
      </c>
      <c r="EX24">
        <v>7632.6309999999976</v>
      </c>
      <c r="EY24">
        <v>3583.8460000000009</v>
      </c>
      <c r="EZ24">
        <v>40.893599999999999</v>
      </c>
      <c r="FA24">
        <v>44.75</v>
      </c>
      <c r="FB24">
        <v>42.875</v>
      </c>
      <c r="FC24">
        <v>44.256200000000007</v>
      </c>
      <c r="FD24">
        <v>42.811999999999983</v>
      </c>
      <c r="FE24">
        <v>385.14600000000007</v>
      </c>
      <c r="FF24">
        <v>9.870000000000001</v>
      </c>
      <c r="FG24">
        <v>0</v>
      </c>
      <c r="FH24">
        <v>180.70000004768369</v>
      </c>
      <c r="FI24">
        <v>0</v>
      </c>
      <c r="FJ24">
        <v>722.04258823529415</v>
      </c>
      <c r="FK24">
        <v>-2.6879901954175738</v>
      </c>
      <c r="FL24">
        <v>-40.747548308384737</v>
      </c>
      <c r="FM24">
        <v>7640.3652941176479</v>
      </c>
      <c r="FN24">
        <v>10</v>
      </c>
      <c r="FO24">
        <v>1785163504.0999999</v>
      </c>
      <c r="FP24" t="s">
        <v>550</v>
      </c>
      <c r="FQ24">
        <v>1785163504.0999999</v>
      </c>
      <c r="FR24">
        <v>1785163502.0999999</v>
      </c>
      <c r="FS24">
        <v>9</v>
      </c>
      <c r="FT24">
        <v>4.1000000000000002E-2</v>
      </c>
      <c r="FU24">
        <v>-1.9E-2</v>
      </c>
      <c r="FV24">
        <v>-13.702</v>
      </c>
      <c r="FW24">
        <v>-1.5449999999999999</v>
      </c>
      <c r="FX24">
        <v>442</v>
      </c>
      <c r="FY24">
        <v>21</v>
      </c>
      <c r="FZ24">
        <v>0.44</v>
      </c>
      <c r="GA24">
        <v>0.1</v>
      </c>
      <c r="GB24">
        <v>420.0446451612903</v>
      </c>
      <c r="GC24">
        <v>0.11114516128940551</v>
      </c>
      <c r="GD24">
        <v>4.4231464780028137E-2</v>
      </c>
      <c r="GE24">
        <v>-1</v>
      </c>
      <c r="GF24">
        <v>722.23473529411751</v>
      </c>
      <c r="GG24">
        <v>-1.7186401810288261</v>
      </c>
      <c r="GH24">
        <v>0.26542522031234522</v>
      </c>
      <c r="GI24">
        <v>1</v>
      </c>
      <c r="GJ24">
        <v>1.9790878048780489</v>
      </c>
      <c r="GK24">
        <v>-0.51653101045296312</v>
      </c>
      <c r="GL24">
        <v>6.8422595915141979E-2</v>
      </c>
      <c r="GM24">
        <v>0</v>
      </c>
      <c r="GN24">
        <v>1</v>
      </c>
      <c r="GO24">
        <v>2</v>
      </c>
      <c r="GP24" t="s">
        <v>409</v>
      </c>
      <c r="GQ24">
        <v>3.2450199999999998</v>
      </c>
      <c r="GR24">
        <v>2.73753</v>
      </c>
      <c r="GS24">
        <v>9.1678300000000004E-2</v>
      </c>
      <c r="GT24">
        <v>9.36921E-2</v>
      </c>
      <c r="GU24">
        <v>0.114533</v>
      </c>
      <c r="GV24">
        <v>0.10355</v>
      </c>
      <c r="GW24">
        <v>22673.1</v>
      </c>
      <c r="GX24">
        <v>30150.9</v>
      </c>
      <c r="GY24">
        <v>27086.6</v>
      </c>
      <c r="GZ24">
        <v>34223.599999999999</v>
      </c>
      <c r="HA24">
        <v>35142.9</v>
      </c>
      <c r="HB24">
        <v>38331.699999999997</v>
      </c>
      <c r="HC24">
        <v>40005.599999999999</v>
      </c>
      <c r="HD24">
        <v>42834.400000000001</v>
      </c>
      <c r="HE24">
        <v>2.113</v>
      </c>
      <c r="HF24">
        <v>1.5138</v>
      </c>
      <c r="HG24">
        <v>-9.4920400000000002E-2</v>
      </c>
      <c r="HH24">
        <v>0</v>
      </c>
      <c r="HI24">
        <v>29.548500000000001</v>
      </c>
      <c r="HJ24">
        <v>999.9</v>
      </c>
      <c r="HK24">
        <v>68.599999999999994</v>
      </c>
      <c r="HL24">
        <v>37.200000000000003</v>
      </c>
      <c r="HM24">
        <v>44.985999999999997</v>
      </c>
      <c r="HN24">
        <v>60.937800000000003</v>
      </c>
      <c r="HO24">
        <v>10.8614</v>
      </c>
      <c r="HP24">
        <v>1</v>
      </c>
      <c r="HQ24">
        <v>0.72855700000000001</v>
      </c>
      <c r="HR24">
        <v>5.2004400000000004</v>
      </c>
      <c r="HS24">
        <v>20.168399999999998</v>
      </c>
      <c r="HT24">
        <v>5.2100999999999997</v>
      </c>
      <c r="HU24">
        <v>11.914099999999999</v>
      </c>
      <c r="HV24">
        <v>4.9832000000000001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1.8676200000000001</v>
      </c>
      <c r="IC24">
        <v>1.8632500000000001</v>
      </c>
      <c r="ID24">
        <v>1.86276</v>
      </c>
      <c r="IE24">
        <v>1.8622799999999999</v>
      </c>
      <c r="IF24">
        <v>1.8623400000000001</v>
      </c>
      <c r="IG24">
        <v>1.8628199999999999</v>
      </c>
      <c r="IH24">
        <v>1.8637699999999999</v>
      </c>
      <c r="II24">
        <v>1.86172</v>
      </c>
      <c r="IJ24">
        <v>0</v>
      </c>
      <c r="IK24">
        <v>0</v>
      </c>
      <c r="IL24">
        <v>0</v>
      </c>
      <c r="IM24">
        <v>4.5</v>
      </c>
      <c r="IN24" t="s">
        <v>405</v>
      </c>
      <c r="IO24" t="s">
        <v>406</v>
      </c>
      <c r="IP24" t="s">
        <v>407</v>
      </c>
      <c r="IQ24" t="s">
        <v>408</v>
      </c>
      <c r="IR24" t="s">
        <v>408</v>
      </c>
      <c r="IS24" t="s">
        <v>407</v>
      </c>
      <c r="IT24">
        <v>0</v>
      </c>
      <c r="IU24">
        <v>100</v>
      </c>
      <c r="IV24">
        <v>100</v>
      </c>
      <c r="IW24">
        <v>-13.619</v>
      </c>
      <c r="IX24">
        <v>-1.4755</v>
      </c>
      <c r="IY24">
        <v>-11.602806486432501</v>
      </c>
      <c r="IZ24">
        <v>-5.6215304933332991E-3</v>
      </c>
      <c r="JA24">
        <v>2.3979931213773931E-6</v>
      </c>
      <c r="JB24">
        <v>-3.6297174575716598E-10</v>
      </c>
      <c r="JC24">
        <v>-1.9010194865091941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</v>
      </c>
      <c r="JL24">
        <v>1</v>
      </c>
      <c r="JM24">
        <v>1.1376999999999999</v>
      </c>
      <c r="JN24">
        <v>2.5293000000000001</v>
      </c>
      <c r="JO24">
        <v>1.50024</v>
      </c>
      <c r="JP24">
        <v>2.2753899999999998</v>
      </c>
      <c r="JQ24">
        <v>1.4477500000000001</v>
      </c>
      <c r="JR24">
        <v>2.4145500000000002</v>
      </c>
      <c r="JS24">
        <v>43.182000000000002</v>
      </c>
      <c r="JT24">
        <v>23.851099999999999</v>
      </c>
      <c r="JU24">
        <v>18</v>
      </c>
      <c r="JV24">
        <v>667.86</v>
      </c>
      <c r="JW24">
        <v>300.08100000000002</v>
      </c>
      <c r="JX24">
        <v>23.9453</v>
      </c>
      <c r="JY24">
        <v>35.929299999999998</v>
      </c>
      <c r="JZ24">
        <v>30.000299999999999</v>
      </c>
      <c r="KA24">
        <v>36.344900000000003</v>
      </c>
      <c r="KB24">
        <v>35.930799999999998</v>
      </c>
      <c r="KC24">
        <v>22.759799999999998</v>
      </c>
      <c r="KD24">
        <v>51.426499999999997</v>
      </c>
      <c r="KE24">
        <v>0</v>
      </c>
      <c r="KF24">
        <v>23.943999999999999</v>
      </c>
      <c r="KG24">
        <v>441.32799999999997</v>
      </c>
      <c r="KH24">
        <v>21.638300000000001</v>
      </c>
      <c r="KI24">
        <v>99.977800000000002</v>
      </c>
      <c r="KJ24">
        <v>96.955399999999997</v>
      </c>
    </row>
    <row r="25" spans="1:296" x14ac:dyDescent="0.3">
      <c r="A25">
        <v>9</v>
      </c>
      <c r="B25">
        <v>1785163745.5999999</v>
      </c>
      <c r="C25">
        <v>1452.099999904633</v>
      </c>
      <c r="D25" t="s">
        <v>551</v>
      </c>
      <c r="E25" t="s">
        <v>552</v>
      </c>
      <c r="F25">
        <v>15</v>
      </c>
      <c r="H25">
        <v>1785163737.599999</v>
      </c>
      <c r="I25">
        <f t="shared" si="0"/>
        <v>1.683149387954652E-3</v>
      </c>
      <c r="J25">
        <f t="shared" si="1"/>
        <v>1.683149387954652</v>
      </c>
      <c r="K25">
        <f t="shared" si="2"/>
        <v>15.346744672176913</v>
      </c>
      <c r="L25">
        <f t="shared" si="3"/>
        <v>419.96248387096767</v>
      </c>
      <c r="M25">
        <f t="shared" si="4"/>
        <v>180.76554735800272</v>
      </c>
      <c r="N25">
        <f t="shared" si="5"/>
        <v>17.579486056433371</v>
      </c>
      <c r="O25">
        <f t="shared" si="6"/>
        <v>40.84143653111871</v>
      </c>
      <c r="P25">
        <f t="shared" si="7"/>
        <v>0.10792449804167085</v>
      </c>
      <c r="Q25">
        <f t="shared" si="8"/>
        <v>2.8798293730144682</v>
      </c>
      <c r="R25">
        <f t="shared" si="9"/>
        <v>0.10572687064924061</v>
      </c>
      <c r="S25">
        <f t="shared" si="10"/>
        <v>6.6273015082543962E-2</v>
      </c>
      <c r="T25">
        <f t="shared" si="11"/>
        <v>48.44303549458909</v>
      </c>
      <c r="U25">
        <f t="shared" si="12"/>
        <v>27.584143713157637</v>
      </c>
      <c r="V25">
        <f t="shared" si="13"/>
        <v>28.010306451612902</v>
      </c>
      <c r="W25">
        <f t="shared" si="14"/>
        <v>3.7971203335266015</v>
      </c>
      <c r="X25">
        <f t="shared" si="15"/>
        <v>61.471581947457523</v>
      </c>
      <c r="Y25">
        <f t="shared" si="16"/>
        <v>2.2974296824501046</v>
      </c>
      <c r="Z25">
        <f t="shared" si="17"/>
        <v>3.737384999159155</v>
      </c>
      <c r="AA25">
        <f t="shared" si="18"/>
        <v>1.4996906510764969</v>
      </c>
      <c r="AB25">
        <f t="shared" si="19"/>
        <v>-74.226888008800159</v>
      </c>
      <c r="AC25">
        <f t="shared" si="20"/>
        <v>-42.190937479575446</v>
      </c>
      <c r="AD25">
        <f t="shared" si="21"/>
        <v>-3.1894776718912161</v>
      </c>
      <c r="AE25">
        <f t="shared" si="22"/>
        <v>-71.164267665677727</v>
      </c>
      <c r="AF25">
        <f t="shared" si="23"/>
        <v>15.346744672176913</v>
      </c>
      <c r="AG25">
        <f t="shared" si="24"/>
        <v>1.683149387954652</v>
      </c>
      <c r="AH25">
        <f t="shared" si="25"/>
        <v>15.383024276462619</v>
      </c>
      <c r="AI25">
        <v>445.61387231631937</v>
      </c>
      <c r="AJ25">
        <v>430.01017575757578</v>
      </c>
      <c r="AK25">
        <v>-2.87384670604507E-2</v>
      </c>
      <c r="AL25">
        <v>67.071819150800977</v>
      </c>
      <c r="AM25">
        <f t="shared" si="26"/>
        <v>1.6832164325513685</v>
      </c>
      <c r="AN25">
        <v>21.98766497813854</v>
      </c>
      <c r="AO25">
        <v>23.63058969696969</v>
      </c>
      <c r="AP25">
        <v>9.6493329799373316E-5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51266.381559532347</v>
      </c>
      <c r="AW25" t="s">
        <v>515</v>
      </c>
      <c r="AX25">
        <v>13198.7</v>
      </c>
      <c r="AY25">
        <v>614.48529411764707</v>
      </c>
      <c r="AZ25">
        <v>2434.17</v>
      </c>
      <c r="BA25">
        <f t="shared" si="30"/>
        <v>0.74755859528395829</v>
      </c>
      <c r="BB25">
        <v>-2.566735476432902</v>
      </c>
      <c r="BC25" t="s">
        <v>553</v>
      </c>
      <c r="BD25">
        <v>13222.4</v>
      </c>
      <c r="BE25">
        <v>703.84517647058829</v>
      </c>
      <c r="BF25">
        <v>1809.89</v>
      </c>
      <c r="BG25">
        <f t="shared" si="31"/>
        <v>0.61111162751847448</v>
      </c>
      <c r="BH25">
        <v>0.5</v>
      </c>
      <c r="BI25">
        <f t="shared" si="32"/>
        <v>252.29014033649111</v>
      </c>
      <c r="BJ25">
        <f t="shared" si="33"/>
        <v>15.346744672176913</v>
      </c>
      <c r="BK25">
        <f t="shared" si="34"/>
        <v>77.0887191339487</v>
      </c>
      <c r="BL25">
        <f t="shared" si="35"/>
        <v>7.1003488779695353E-2</v>
      </c>
      <c r="BM25">
        <f t="shared" si="36"/>
        <v>0.34492703976484757</v>
      </c>
      <c r="BN25">
        <f t="shared" si="37"/>
        <v>565.26544615447187</v>
      </c>
      <c r="BO25" t="s">
        <v>402</v>
      </c>
      <c r="BP25">
        <v>0</v>
      </c>
      <c r="BQ25">
        <f t="shared" si="38"/>
        <v>565.26544615447187</v>
      </c>
      <c r="BR25">
        <f t="shared" si="39"/>
        <v>0.68767966773976763</v>
      </c>
      <c r="BS25">
        <f t="shared" si="40"/>
        <v>0.88865740283851435</v>
      </c>
      <c r="BT25">
        <f t="shared" si="41"/>
        <v>0.33403525006959717</v>
      </c>
      <c r="BU25">
        <f t="shared" si="42"/>
        <v>0.92524717201361284</v>
      </c>
      <c r="BV25">
        <f t="shared" si="43"/>
        <v>0.34307042202527649</v>
      </c>
      <c r="BW25">
        <f t="shared" si="44"/>
        <v>0.71369008424962599</v>
      </c>
      <c r="BX25">
        <f t="shared" si="45"/>
        <v>0.28630991575037401</v>
      </c>
      <c r="DG25">
        <f t="shared" si="46"/>
        <v>299.99790322580651</v>
      </c>
      <c r="DH25">
        <f t="shared" si="47"/>
        <v>252.29014033649111</v>
      </c>
      <c r="DI25">
        <f t="shared" si="48"/>
        <v>0.8409730122233352</v>
      </c>
      <c r="DJ25">
        <f t="shared" si="49"/>
        <v>0.16147791359103708</v>
      </c>
      <c r="DK25">
        <v>6</v>
      </c>
      <c r="DL25">
        <v>0.5</v>
      </c>
      <c r="DM25" t="s">
        <v>403</v>
      </c>
      <c r="DN25">
        <v>2</v>
      </c>
      <c r="DO25" t="b">
        <v>0</v>
      </c>
      <c r="DP25">
        <v>1785163737.599999</v>
      </c>
      <c r="DQ25">
        <v>419.96248387096767</v>
      </c>
      <c r="DR25">
        <v>436.01583870967738</v>
      </c>
      <c r="DS25">
        <v>23.62390645161291</v>
      </c>
      <c r="DT25">
        <v>21.980545161290319</v>
      </c>
      <c r="DU25">
        <v>433.55329032258072</v>
      </c>
      <c r="DV25">
        <v>25.128377419354841</v>
      </c>
      <c r="DW25">
        <v>600.00932258064518</v>
      </c>
      <c r="DX25">
        <v>97.189393548387102</v>
      </c>
      <c r="DY25">
        <v>6.0808790322580637E-2</v>
      </c>
      <c r="DZ25">
        <v>27.73855806451613</v>
      </c>
      <c r="EA25">
        <v>28.010306451612902</v>
      </c>
      <c r="EB25">
        <v>999.90000000000032</v>
      </c>
      <c r="EC25">
        <v>0</v>
      </c>
      <c r="ED25">
        <v>0</v>
      </c>
      <c r="EE25">
        <v>10000.322580645159</v>
      </c>
      <c r="EF25">
        <v>0</v>
      </c>
      <c r="EG25">
        <v>1398.399516129032</v>
      </c>
      <c r="EH25">
        <v>-16.053358064516129</v>
      </c>
      <c r="EI25">
        <v>430.12358064516133</v>
      </c>
      <c r="EJ25">
        <v>445.81500000000011</v>
      </c>
      <c r="EK25">
        <v>1.6433638709677421</v>
      </c>
      <c r="EL25">
        <v>436.01583870967738</v>
      </c>
      <c r="EM25">
        <v>21.980545161290319</v>
      </c>
      <c r="EN25">
        <v>2.2959945161290318</v>
      </c>
      <c r="EO25">
        <v>2.1362764516129031</v>
      </c>
      <c r="EP25">
        <v>19.648322580645161</v>
      </c>
      <c r="EQ25">
        <v>18.492280645161291</v>
      </c>
      <c r="ER25">
        <v>299.99790322580651</v>
      </c>
      <c r="ES25">
        <v>0.96701200000000009</v>
      </c>
      <c r="ET25">
        <v>3.2987996774193548E-2</v>
      </c>
      <c r="EU25">
        <v>0</v>
      </c>
      <c r="EV25">
        <v>703.95922580645163</v>
      </c>
      <c r="EW25">
        <v>5.0010700000000003</v>
      </c>
      <c r="EX25">
        <v>6971.2019354838712</v>
      </c>
      <c r="EY25">
        <v>2668.02</v>
      </c>
      <c r="EZ25">
        <v>40.5</v>
      </c>
      <c r="FA25">
        <v>44.561999999999969</v>
      </c>
      <c r="FB25">
        <v>42.561999999999983</v>
      </c>
      <c r="FC25">
        <v>44.125</v>
      </c>
      <c r="FD25">
        <v>42.5</v>
      </c>
      <c r="FE25">
        <v>285.26516129032251</v>
      </c>
      <c r="FF25">
        <v>9.7300000000000022</v>
      </c>
      <c r="FG25">
        <v>0</v>
      </c>
      <c r="FH25">
        <v>180.80000019073489</v>
      </c>
      <c r="FI25">
        <v>0</v>
      </c>
      <c r="FJ25">
        <v>703.84517647058829</v>
      </c>
      <c r="FK25">
        <v>-0.21078431427396269</v>
      </c>
      <c r="FL25">
        <v>623.85538479197874</v>
      </c>
      <c r="FM25">
        <v>6997.9770588235288</v>
      </c>
      <c r="FN25">
        <v>10</v>
      </c>
      <c r="FO25">
        <v>1785163694.0999999</v>
      </c>
      <c r="FP25" t="s">
        <v>554</v>
      </c>
      <c r="FQ25">
        <v>1785163694.0999999</v>
      </c>
      <c r="FR25">
        <v>1785163691.0999999</v>
      </c>
      <c r="FS25">
        <v>10</v>
      </c>
      <c r="FT25">
        <v>2.8000000000000001E-2</v>
      </c>
      <c r="FU25">
        <v>-2.7E-2</v>
      </c>
      <c r="FV25">
        <v>-13.651</v>
      </c>
      <c r="FW25">
        <v>-1.5529999999999999</v>
      </c>
      <c r="FX25">
        <v>436</v>
      </c>
      <c r="FY25">
        <v>22</v>
      </c>
      <c r="FZ25">
        <v>0.54</v>
      </c>
      <c r="GA25">
        <v>0.14000000000000001</v>
      </c>
      <c r="GB25">
        <v>419.96749999999997</v>
      </c>
      <c r="GC25">
        <v>-0.14087652947861409</v>
      </c>
      <c r="GD25">
        <v>6.6064993251600784E-2</v>
      </c>
      <c r="GE25">
        <v>-1</v>
      </c>
      <c r="GF25">
        <v>703.99785294117646</v>
      </c>
      <c r="GG25">
        <v>-0.97819710038306051</v>
      </c>
      <c r="GH25">
        <v>0.22386237005500281</v>
      </c>
      <c r="GI25">
        <v>1</v>
      </c>
      <c r="GJ25">
        <v>1.64515225</v>
      </c>
      <c r="GK25">
        <v>-2.6607242026269309E-2</v>
      </c>
      <c r="GL25">
        <v>4.6318497857227399E-3</v>
      </c>
      <c r="GM25">
        <v>1</v>
      </c>
      <c r="GN25">
        <v>2</v>
      </c>
      <c r="GO25">
        <v>2</v>
      </c>
      <c r="GP25" t="s">
        <v>404</v>
      </c>
      <c r="GQ25">
        <v>3.2450199999999998</v>
      </c>
      <c r="GR25">
        <v>2.73725</v>
      </c>
      <c r="GS25">
        <v>9.1593999999999995E-2</v>
      </c>
      <c r="GT25">
        <v>9.28007E-2</v>
      </c>
      <c r="GU25">
        <v>0.114313</v>
      </c>
      <c r="GV25">
        <v>0.10446</v>
      </c>
      <c r="GW25">
        <v>22672.5</v>
      </c>
      <c r="GX25">
        <v>30179.3</v>
      </c>
      <c r="GY25">
        <v>27083.9</v>
      </c>
      <c r="GZ25">
        <v>34222.6</v>
      </c>
      <c r="HA25">
        <v>35149.199999999997</v>
      </c>
      <c r="HB25">
        <v>38290.6</v>
      </c>
      <c r="HC25">
        <v>40002.5</v>
      </c>
      <c r="HD25">
        <v>42831.9</v>
      </c>
      <c r="HE25">
        <v>2.1124000000000001</v>
      </c>
      <c r="HF25">
        <v>1.5089999999999999</v>
      </c>
      <c r="HG25">
        <v>-9.4830999999999999E-2</v>
      </c>
      <c r="HH25">
        <v>0</v>
      </c>
      <c r="HI25">
        <v>29.561199999999999</v>
      </c>
      <c r="HJ25">
        <v>999.9</v>
      </c>
      <c r="HK25">
        <v>68.2</v>
      </c>
      <c r="HL25">
        <v>37.4</v>
      </c>
      <c r="HM25">
        <v>45.219900000000003</v>
      </c>
      <c r="HN25">
        <v>61.1678</v>
      </c>
      <c r="HO25">
        <v>10.8093</v>
      </c>
      <c r="HP25">
        <v>1</v>
      </c>
      <c r="HQ25">
        <v>0.73597599999999996</v>
      </c>
      <c r="HR25">
        <v>5.3678400000000002</v>
      </c>
      <c r="HS25">
        <v>20.164000000000001</v>
      </c>
      <c r="HT25">
        <v>5.2100999999999997</v>
      </c>
      <c r="HU25">
        <v>11.914099999999999</v>
      </c>
      <c r="HV25">
        <v>4.9843999999999999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1.8676200000000001</v>
      </c>
      <c r="IC25">
        <v>1.8632500000000001</v>
      </c>
      <c r="ID25">
        <v>1.8627899999999999</v>
      </c>
      <c r="IE25">
        <v>1.8623400000000001</v>
      </c>
      <c r="IF25">
        <v>1.8623400000000001</v>
      </c>
      <c r="IG25">
        <v>1.8628199999999999</v>
      </c>
      <c r="IH25">
        <v>1.8637699999999999</v>
      </c>
      <c r="II25">
        <v>1.86172</v>
      </c>
      <c r="IJ25">
        <v>0</v>
      </c>
      <c r="IK25">
        <v>0</v>
      </c>
      <c r="IL25">
        <v>0</v>
      </c>
      <c r="IM25">
        <v>4.5</v>
      </c>
      <c r="IN25" t="s">
        <v>405</v>
      </c>
      <c r="IO25" t="s">
        <v>406</v>
      </c>
      <c r="IP25" t="s">
        <v>407</v>
      </c>
      <c r="IQ25" t="s">
        <v>408</v>
      </c>
      <c r="IR25" t="s">
        <v>408</v>
      </c>
      <c r="IS25" t="s">
        <v>407</v>
      </c>
      <c r="IT25">
        <v>0</v>
      </c>
      <c r="IU25">
        <v>100</v>
      </c>
      <c r="IV25">
        <v>100</v>
      </c>
      <c r="IW25">
        <v>-13.59</v>
      </c>
      <c r="IX25">
        <v>-1.5042</v>
      </c>
      <c r="IY25">
        <v>-11.57480406240283</v>
      </c>
      <c r="IZ25">
        <v>-5.6215304933332991E-3</v>
      </c>
      <c r="JA25">
        <v>2.3979931213773931E-6</v>
      </c>
      <c r="JB25">
        <v>-3.6297174575716598E-10</v>
      </c>
      <c r="JC25">
        <v>-1.928182222145294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0.9</v>
      </c>
      <c r="JL25">
        <v>0.9</v>
      </c>
      <c r="JM25">
        <v>1.1279300000000001</v>
      </c>
      <c r="JN25">
        <v>2.5280800000000001</v>
      </c>
      <c r="JO25">
        <v>1.50024</v>
      </c>
      <c r="JP25">
        <v>2.2753899999999998</v>
      </c>
      <c r="JQ25">
        <v>1.4477500000000001</v>
      </c>
      <c r="JR25">
        <v>2.4499499999999999</v>
      </c>
      <c r="JS25">
        <v>43.371899999999997</v>
      </c>
      <c r="JT25">
        <v>23.851099999999999</v>
      </c>
      <c r="JU25">
        <v>18</v>
      </c>
      <c r="JV25">
        <v>668.24599999999998</v>
      </c>
      <c r="JW25">
        <v>298.14699999999999</v>
      </c>
      <c r="JX25">
        <v>23.863900000000001</v>
      </c>
      <c r="JY25">
        <v>36.015900000000002</v>
      </c>
      <c r="JZ25">
        <v>30.000599999999999</v>
      </c>
      <c r="KA25">
        <v>36.430300000000003</v>
      </c>
      <c r="KB25">
        <v>36.015799999999999</v>
      </c>
      <c r="KC25">
        <v>22.547599999999999</v>
      </c>
      <c r="KD25">
        <v>51.029299999999999</v>
      </c>
      <c r="KE25">
        <v>0</v>
      </c>
      <c r="KF25">
        <v>23.863099999999999</v>
      </c>
      <c r="KG25">
        <v>436.12</v>
      </c>
      <c r="KH25">
        <v>21.9941</v>
      </c>
      <c r="KI25">
        <v>99.968900000000005</v>
      </c>
      <c r="KJ25">
        <v>96.950999999999993</v>
      </c>
    </row>
    <row r="26" spans="1:296" x14ac:dyDescent="0.3">
      <c r="A26">
        <v>10</v>
      </c>
      <c r="B26">
        <v>1785163927.0999999</v>
      </c>
      <c r="C26">
        <v>1633.599999904633</v>
      </c>
      <c r="D26" t="s">
        <v>555</v>
      </c>
      <c r="E26" t="s">
        <v>556</v>
      </c>
      <c r="F26">
        <v>15</v>
      </c>
      <c r="H26">
        <v>1785163919.099999</v>
      </c>
      <c r="I26">
        <f t="shared" si="0"/>
        <v>1.3950043008737261E-3</v>
      </c>
      <c r="J26">
        <f t="shared" si="1"/>
        <v>1.3950043008737261</v>
      </c>
      <c r="K26">
        <f t="shared" si="2"/>
        <v>10.108797477752738</v>
      </c>
      <c r="L26">
        <f t="shared" si="3"/>
        <v>419.97683870967751</v>
      </c>
      <c r="M26">
        <f t="shared" si="4"/>
        <v>225.551816054597</v>
      </c>
      <c r="N26">
        <f t="shared" si="5"/>
        <v>21.935363111489082</v>
      </c>
      <c r="O26">
        <f t="shared" si="6"/>
        <v>40.843583601570835</v>
      </c>
      <c r="P26">
        <f t="shared" si="7"/>
        <v>8.8158779882569566E-2</v>
      </c>
      <c r="Q26">
        <f t="shared" si="8"/>
        <v>2.8792773517076653</v>
      </c>
      <c r="R26">
        <f t="shared" si="9"/>
        <v>8.6686209286613455E-2</v>
      </c>
      <c r="S26">
        <f t="shared" si="10"/>
        <v>5.4309136542325179E-2</v>
      </c>
      <c r="T26">
        <f t="shared" si="11"/>
        <v>32.481712247544081</v>
      </c>
      <c r="U26">
        <f t="shared" si="12"/>
        <v>27.520793263318357</v>
      </c>
      <c r="V26">
        <f t="shared" si="13"/>
        <v>28.029070967741941</v>
      </c>
      <c r="W26">
        <f t="shared" si="14"/>
        <v>3.8012756934719425</v>
      </c>
      <c r="X26">
        <f t="shared" si="15"/>
        <v>61.301490556971338</v>
      </c>
      <c r="Y26">
        <f t="shared" si="16"/>
        <v>2.2852144145021431</v>
      </c>
      <c r="Z26">
        <f t="shared" si="17"/>
        <v>3.727828465081692</v>
      </c>
      <c r="AA26">
        <f t="shared" si="18"/>
        <v>1.5160612789697994</v>
      </c>
      <c r="AB26">
        <f t="shared" si="19"/>
        <v>-61.519689668531321</v>
      </c>
      <c r="AC26">
        <f t="shared" si="20"/>
        <v>-51.898595685999219</v>
      </c>
      <c r="AD26">
        <f t="shared" si="21"/>
        <v>-3.9236027998617846</v>
      </c>
      <c r="AE26">
        <f t="shared" si="22"/>
        <v>-84.860175906848241</v>
      </c>
      <c r="AF26">
        <f t="shared" si="23"/>
        <v>10.108797477752738</v>
      </c>
      <c r="AG26">
        <f t="shared" si="24"/>
        <v>1.3950043008737261</v>
      </c>
      <c r="AH26">
        <f t="shared" si="25"/>
        <v>10.080588841083758</v>
      </c>
      <c r="AI26">
        <v>440.3792920598645</v>
      </c>
      <c r="AJ26">
        <v>430.18123030303008</v>
      </c>
      <c r="AK26">
        <v>-2.569433903070192E-2</v>
      </c>
      <c r="AL26">
        <v>67.0775525885565</v>
      </c>
      <c r="AM26">
        <f t="shared" si="26"/>
        <v>1.3911521791315908</v>
      </c>
      <c r="AN26">
        <v>22.14531190060606</v>
      </c>
      <c r="AO26">
        <v>23.504161212121211</v>
      </c>
      <c r="AP26">
        <v>-5.4022825658341243E-5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51258.274898339376</v>
      </c>
      <c r="AW26" t="s">
        <v>515</v>
      </c>
      <c r="AX26">
        <v>13198.7</v>
      </c>
      <c r="AY26">
        <v>614.48529411764707</v>
      </c>
      <c r="AZ26">
        <v>2434.17</v>
      </c>
      <c r="BA26">
        <f t="shared" si="30"/>
        <v>0.74755859528395829</v>
      </c>
      <c r="BB26">
        <v>-2.566735476432902</v>
      </c>
      <c r="BC26" t="s">
        <v>557</v>
      </c>
      <c r="BD26">
        <v>13228.2</v>
      </c>
      <c r="BE26">
        <v>689.52270588235297</v>
      </c>
      <c r="BF26">
        <v>1918.12</v>
      </c>
      <c r="BG26">
        <f t="shared" si="31"/>
        <v>0.64052160142099923</v>
      </c>
      <c r="BH26">
        <v>0.5</v>
      </c>
      <c r="BI26">
        <f t="shared" si="32"/>
        <v>168.27814398920052</v>
      </c>
      <c r="BJ26">
        <f t="shared" si="33"/>
        <v>10.108797477752738</v>
      </c>
      <c r="BK26">
        <f t="shared" si="34"/>
        <v>53.892893136058106</v>
      </c>
      <c r="BL26">
        <f t="shared" si="35"/>
        <v>7.5324891597325375E-2</v>
      </c>
      <c r="BM26">
        <f t="shared" si="36"/>
        <v>0.26903947615373397</v>
      </c>
      <c r="BN26">
        <f t="shared" si="37"/>
        <v>575.40563999779465</v>
      </c>
      <c r="BO26" t="s">
        <v>402</v>
      </c>
      <c r="BP26">
        <v>0</v>
      </c>
      <c r="BQ26">
        <f t="shared" si="38"/>
        <v>575.40563999779465</v>
      </c>
      <c r="BR26">
        <f t="shared" si="39"/>
        <v>0.70001582799939799</v>
      </c>
      <c r="BS26">
        <f t="shared" si="40"/>
        <v>0.91501016948655345</v>
      </c>
      <c r="BT26">
        <f t="shared" si="41"/>
        <v>0.27763067288388715</v>
      </c>
      <c r="BU26">
        <f t="shared" si="42"/>
        <v>0.94243984804476533</v>
      </c>
      <c r="BV26">
        <f t="shared" si="43"/>
        <v>0.28359308529208688</v>
      </c>
      <c r="BW26">
        <f t="shared" si="44"/>
        <v>0.76357458236876852</v>
      </c>
      <c r="BX26">
        <f t="shared" si="45"/>
        <v>0.23642541763123148</v>
      </c>
      <c r="DG26">
        <f t="shared" si="46"/>
        <v>199.98296774193551</v>
      </c>
      <c r="DH26">
        <f t="shared" si="47"/>
        <v>168.27814398920052</v>
      </c>
      <c r="DI26">
        <f t="shared" si="48"/>
        <v>0.84146237996803852</v>
      </c>
      <c r="DJ26">
        <f t="shared" si="49"/>
        <v>0.16242239333831435</v>
      </c>
      <c r="DK26">
        <v>6</v>
      </c>
      <c r="DL26">
        <v>0.5</v>
      </c>
      <c r="DM26" t="s">
        <v>403</v>
      </c>
      <c r="DN26">
        <v>2</v>
      </c>
      <c r="DO26" t="b">
        <v>0</v>
      </c>
      <c r="DP26">
        <v>1785163919.099999</v>
      </c>
      <c r="DQ26">
        <v>419.97683870967751</v>
      </c>
      <c r="DR26">
        <v>430.67245161290327</v>
      </c>
      <c r="DS26">
        <v>23.49786774193549</v>
      </c>
      <c r="DT26">
        <v>22.135522580645151</v>
      </c>
      <c r="DU26">
        <v>433.54622580645162</v>
      </c>
      <c r="DV26">
        <v>25.016496774193548</v>
      </c>
      <c r="DW26">
        <v>599.9469354838709</v>
      </c>
      <c r="DX26">
        <v>97.191438709677399</v>
      </c>
      <c r="DY26">
        <v>6.0551964516129007E-2</v>
      </c>
      <c r="DZ26">
        <v>27.694732258064519</v>
      </c>
      <c r="EA26">
        <v>28.029070967741941</v>
      </c>
      <c r="EB26">
        <v>999.90000000000032</v>
      </c>
      <c r="EC26">
        <v>0</v>
      </c>
      <c r="ED26">
        <v>0</v>
      </c>
      <c r="EE26">
        <v>9996.9354838709678</v>
      </c>
      <c r="EF26">
        <v>0</v>
      </c>
      <c r="EG26">
        <v>1273.706774193548</v>
      </c>
      <c r="EH26">
        <v>-10.69573225806452</v>
      </c>
      <c r="EI26">
        <v>430.08274193548391</v>
      </c>
      <c r="EJ26">
        <v>440.42154838709678</v>
      </c>
      <c r="EK26">
        <v>1.3623538709677421</v>
      </c>
      <c r="EL26">
        <v>430.67245161290327</v>
      </c>
      <c r="EM26">
        <v>22.135522580645151</v>
      </c>
      <c r="EN26">
        <v>2.2837919354838712</v>
      </c>
      <c r="EO26">
        <v>2.1513822580645159</v>
      </c>
      <c r="EP26">
        <v>19.562522580645162</v>
      </c>
      <c r="EQ26">
        <v>18.604800000000001</v>
      </c>
      <c r="ER26">
        <v>199.98296774193551</v>
      </c>
      <c r="ES26">
        <v>0.95000448387096781</v>
      </c>
      <c r="ET26">
        <v>4.9995425806451631E-2</v>
      </c>
      <c r="EU26">
        <v>0</v>
      </c>
      <c r="EV26">
        <v>689.5339032258064</v>
      </c>
      <c r="EW26">
        <v>5.0010700000000003</v>
      </c>
      <c r="EX26">
        <v>5311.6267741935471</v>
      </c>
      <c r="EY26">
        <v>1751.6796774193549</v>
      </c>
      <c r="EZ26">
        <v>40.074193548387079</v>
      </c>
      <c r="FA26">
        <v>44.22358064516127</v>
      </c>
      <c r="FB26">
        <v>42.207322580645133</v>
      </c>
      <c r="FC26">
        <v>43.870935483870959</v>
      </c>
      <c r="FD26">
        <v>42.172999999999988</v>
      </c>
      <c r="FE26">
        <v>185.23387096774201</v>
      </c>
      <c r="FF26">
        <v>9.7483870967741932</v>
      </c>
      <c r="FG26">
        <v>0</v>
      </c>
      <c r="FH26">
        <v>180.70000004768369</v>
      </c>
      <c r="FI26">
        <v>0</v>
      </c>
      <c r="FJ26">
        <v>689.52270588235297</v>
      </c>
      <c r="FK26">
        <v>-1.055637255799704</v>
      </c>
      <c r="FL26">
        <v>-3495.333328537939</v>
      </c>
      <c r="FM26">
        <v>5165.3358823529416</v>
      </c>
      <c r="FN26">
        <v>10</v>
      </c>
      <c r="FO26">
        <v>1785163838.5999999</v>
      </c>
      <c r="FP26" t="s">
        <v>558</v>
      </c>
      <c r="FQ26">
        <v>1785163838.5999999</v>
      </c>
      <c r="FR26">
        <v>1785163837.5999999</v>
      </c>
      <c r="FS26">
        <v>11</v>
      </c>
      <c r="FT26">
        <v>2.1000000000000001E-2</v>
      </c>
      <c r="FU26">
        <v>-1.0999999999999999E-2</v>
      </c>
      <c r="FV26">
        <v>-13.61</v>
      </c>
      <c r="FW26">
        <v>-1.5569999999999999</v>
      </c>
      <c r="FX26">
        <v>431</v>
      </c>
      <c r="FY26">
        <v>22</v>
      </c>
      <c r="FZ26">
        <v>0.64</v>
      </c>
      <c r="GA26">
        <v>0.21</v>
      </c>
      <c r="GB26">
        <v>419.97683870967751</v>
      </c>
      <c r="GC26">
        <v>1.1600322580654769</v>
      </c>
      <c r="GD26">
        <v>0.11174772763055819</v>
      </c>
      <c r="GE26">
        <v>-1</v>
      </c>
      <c r="GF26">
        <v>689.56605882352949</v>
      </c>
      <c r="GG26">
        <v>-0.54499617671400702</v>
      </c>
      <c r="GH26">
        <v>0.18264558112502591</v>
      </c>
      <c r="GI26">
        <v>1</v>
      </c>
      <c r="GJ26">
        <v>1.401533414634146</v>
      </c>
      <c r="GK26">
        <v>-0.56217135888501446</v>
      </c>
      <c r="GL26">
        <v>7.3934963398452555E-2</v>
      </c>
      <c r="GM26">
        <v>0</v>
      </c>
      <c r="GN26">
        <v>1</v>
      </c>
      <c r="GO26">
        <v>2</v>
      </c>
      <c r="GP26" t="s">
        <v>409</v>
      </c>
      <c r="GQ26">
        <v>3.24505</v>
      </c>
      <c r="GR26">
        <v>2.7375600000000002</v>
      </c>
      <c r="GS26">
        <v>9.1613E-2</v>
      </c>
      <c r="GT26">
        <v>9.1916800000000007E-2</v>
      </c>
      <c r="GU26">
        <v>0.113939</v>
      </c>
      <c r="GV26">
        <v>0.104963</v>
      </c>
      <c r="GW26">
        <v>22668.400000000001</v>
      </c>
      <c r="GX26">
        <v>30202.5</v>
      </c>
      <c r="GY26">
        <v>27079.9</v>
      </c>
      <c r="GZ26">
        <v>34216.1</v>
      </c>
      <c r="HA26">
        <v>35159.9</v>
      </c>
      <c r="HB26">
        <v>38260.400000000001</v>
      </c>
      <c r="HC26">
        <v>39997.5</v>
      </c>
      <c r="HD26">
        <v>42822.1</v>
      </c>
      <c r="HE26">
        <v>2.1112000000000002</v>
      </c>
      <c r="HF26">
        <v>1.506</v>
      </c>
      <c r="HG26">
        <v>-9.62615E-2</v>
      </c>
      <c r="HH26">
        <v>0</v>
      </c>
      <c r="HI26">
        <v>29.591799999999999</v>
      </c>
      <c r="HJ26">
        <v>999.9</v>
      </c>
      <c r="HK26">
        <v>67.900000000000006</v>
      </c>
      <c r="HL26">
        <v>37.6</v>
      </c>
      <c r="HM26">
        <v>45.511299999999999</v>
      </c>
      <c r="HN26">
        <v>61.087800000000001</v>
      </c>
      <c r="HO26">
        <v>11.117800000000001</v>
      </c>
      <c r="HP26">
        <v>1</v>
      </c>
      <c r="HQ26">
        <v>0.744228</v>
      </c>
      <c r="HR26">
        <v>5.6900199999999996</v>
      </c>
      <c r="HS26">
        <v>20.154199999999999</v>
      </c>
      <c r="HT26">
        <v>5.2088999999999999</v>
      </c>
      <c r="HU26">
        <v>11.914099999999999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1.86765</v>
      </c>
      <c r="IC26">
        <v>1.8632500000000001</v>
      </c>
      <c r="ID26">
        <v>1.8627899999999999</v>
      </c>
      <c r="IE26">
        <v>1.8623400000000001</v>
      </c>
      <c r="IF26">
        <v>1.8623400000000001</v>
      </c>
      <c r="IG26">
        <v>1.8628199999999999</v>
      </c>
      <c r="IH26">
        <v>1.8637699999999999</v>
      </c>
      <c r="II26">
        <v>1.86172</v>
      </c>
      <c r="IJ26">
        <v>0</v>
      </c>
      <c r="IK26">
        <v>0</v>
      </c>
      <c r="IL26">
        <v>0</v>
      </c>
      <c r="IM26">
        <v>4.5</v>
      </c>
      <c r="IN26" t="s">
        <v>405</v>
      </c>
      <c r="IO26" t="s">
        <v>406</v>
      </c>
      <c r="IP26" t="s">
        <v>407</v>
      </c>
      <c r="IQ26" t="s">
        <v>408</v>
      </c>
      <c r="IR26" t="s">
        <v>408</v>
      </c>
      <c r="IS26" t="s">
        <v>407</v>
      </c>
      <c r="IT26">
        <v>0</v>
      </c>
      <c r="IU26">
        <v>100</v>
      </c>
      <c r="IV26">
        <v>100</v>
      </c>
      <c r="IW26">
        <v>-13.57</v>
      </c>
      <c r="IX26">
        <v>-1.5184</v>
      </c>
      <c r="IY26">
        <v>-11.5535</v>
      </c>
      <c r="IZ26">
        <v>-5.6215299999999996E-3</v>
      </c>
      <c r="JA26">
        <v>2.3979899999999999E-6</v>
      </c>
      <c r="JB26">
        <v>-3.6297200000000001E-10</v>
      </c>
      <c r="JC26">
        <v>-1.9391889658843049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1.5</v>
      </c>
      <c r="JL26">
        <v>1.5</v>
      </c>
      <c r="JM26">
        <v>1.11572</v>
      </c>
      <c r="JN26">
        <v>2.5354000000000001</v>
      </c>
      <c r="JO26">
        <v>1.50024</v>
      </c>
      <c r="JP26">
        <v>2.2741699999999998</v>
      </c>
      <c r="JQ26">
        <v>1.4477500000000001</v>
      </c>
      <c r="JR26">
        <v>2.36694</v>
      </c>
      <c r="JS26">
        <v>43.5627</v>
      </c>
      <c r="JT26">
        <v>23.842300000000002</v>
      </c>
      <c r="JU26">
        <v>18</v>
      </c>
      <c r="JV26">
        <v>667.99</v>
      </c>
      <c r="JW26">
        <v>296.99400000000003</v>
      </c>
      <c r="JX26">
        <v>23.676600000000001</v>
      </c>
      <c r="JY26">
        <v>36.089399999999998</v>
      </c>
      <c r="JZ26">
        <v>30.000599999999999</v>
      </c>
      <c r="KA26">
        <v>36.499600000000001</v>
      </c>
      <c r="KB26">
        <v>36.081499999999998</v>
      </c>
      <c r="KC26">
        <v>22.3218</v>
      </c>
      <c r="KD26">
        <v>51.156300000000002</v>
      </c>
      <c r="KE26">
        <v>0</v>
      </c>
      <c r="KF26">
        <v>23.677800000000001</v>
      </c>
      <c r="KG26">
        <v>430.55900000000003</v>
      </c>
      <c r="KH26">
        <v>22.185600000000001</v>
      </c>
      <c r="KI26">
        <v>99.955500000000001</v>
      </c>
      <c r="KJ26">
        <v>96.930499999999995</v>
      </c>
    </row>
    <row r="27" spans="1:296" x14ac:dyDescent="0.3">
      <c r="A27">
        <v>11</v>
      </c>
      <c r="B27">
        <v>1785164108.5999999</v>
      </c>
      <c r="C27">
        <v>1815.099999904633</v>
      </c>
      <c r="D27" t="s">
        <v>559</v>
      </c>
      <c r="E27" t="s">
        <v>560</v>
      </c>
      <c r="F27">
        <v>15</v>
      </c>
      <c r="H27">
        <v>1785164100.599999</v>
      </c>
      <c r="I27">
        <f t="shared" si="0"/>
        <v>9.2116234010477713E-4</v>
      </c>
      <c r="J27">
        <f t="shared" si="1"/>
        <v>0.92116234010477716</v>
      </c>
      <c r="K27">
        <f t="shared" si="2"/>
        <v>3.9650025668823021</v>
      </c>
      <c r="L27">
        <f t="shared" si="3"/>
        <v>419.96474193548391</v>
      </c>
      <c r="M27">
        <f t="shared" si="4"/>
        <v>301.1589868078147</v>
      </c>
      <c r="N27">
        <f t="shared" si="5"/>
        <v>29.288875207559762</v>
      </c>
      <c r="O27">
        <f t="shared" si="6"/>
        <v>40.843193983691044</v>
      </c>
      <c r="P27">
        <f t="shared" si="7"/>
        <v>5.8429059533489459E-2</v>
      </c>
      <c r="Q27">
        <f t="shared" si="8"/>
        <v>2.8806890454834089</v>
      </c>
      <c r="R27">
        <f t="shared" si="9"/>
        <v>5.7778572506438031E-2</v>
      </c>
      <c r="S27">
        <f t="shared" si="10"/>
        <v>3.6169447961520974E-2</v>
      </c>
      <c r="T27">
        <f t="shared" si="11"/>
        <v>16.507495328037542</v>
      </c>
      <c r="U27">
        <f t="shared" si="12"/>
        <v>27.550024016234161</v>
      </c>
      <c r="V27">
        <f t="shared" si="13"/>
        <v>28.0142129032258</v>
      </c>
      <c r="W27">
        <f t="shared" si="14"/>
        <v>3.7979850816724894</v>
      </c>
      <c r="X27">
        <f t="shared" si="15"/>
        <v>61.593244486984787</v>
      </c>
      <c r="Y27">
        <f t="shared" si="16"/>
        <v>2.2960476567215595</v>
      </c>
      <c r="Z27">
        <f t="shared" si="17"/>
        <v>3.7277589057785958</v>
      </c>
      <c r="AA27">
        <f t="shared" si="18"/>
        <v>1.5019374249509299</v>
      </c>
      <c r="AB27">
        <f t="shared" si="19"/>
        <v>-40.623259198620673</v>
      </c>
      <c r="AC27">
        <f t="shared" si="20"/>
        <v>-49.666125760868596</v>
      </c>
      <c r="AD27">
        <f t="shared" si="21"/>
        <v>-3.752700960458565</v>
      </c>
      <c r="AE27">
        <f t="shared" si="22"/>
        <v>-77.534590591910288</v>
      </c>
      <c r="AF27">
        <f t="shared" si="23"/>
        <v>3.9650025668823021</v>
      </c>
      <c r="AG27">
        <f t="shared" si="24"/>
        <v>0.92116234010477716</v>
      </c>
      <c r="AH27">
        <f t="shared" si="25"/>
        <v>3.8799547470147648</v>
      </c>
      <c r="AI27">
        <v>434.17785015456002</v>
      </c>
      <c r="AJ27">
        <v>430.1632303030301</v>
      </c>
      <c r="AK27">
        <v>1.028448993843306E-2</v>
      </c>
      <c r="AL27">
        <v>67.069841495725541</v>
      </c>
      <c r="AM27">
        <f t="shared" si="26"/>
        <v>0.91986962572285025</v>
      </c>
      <c r="AN27">
        <v>22.709593233246771</v>
      </c>
      <c r="AO27">
        <v>23.60742121212121</v>
      </c>
      <c r="AP27">
        <v>5.6727272727485731E-5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51298.331905714309</v>
      </c>
      <c r="AW27" t="s">
        <v>515</v>
      </c>
      <c r="AX27">
        <v>13198.7</v>
      </c>
      <c r="AY27">
        <v>614.48529411764707</v>
      </c>
      <c r="AZ27">
        <v>2434.17</v>
      </c>
      <c r="BA27">
        <f t="shared" si="30"/>
        <v>0.74755859528395829</v>
      </c>
      <c r="BB27">
        <v>-2.566735476432902</v>
      </c>
      <c r="BC27" t="s">
        <v>561</v>
      </c>
      <c r="BD27">
        <v>13234.3</v>
      </c>
      <c r="BE27">
        <v>665.99205882352953</v>
      </c>
      <c r="BF27">
        <v>2056.14</v>
      </c>
      <c r="BG27">
        <f t="shared" si="31"/>
        <v>0.67609595707319081</v>
      </c>
      <c r="BH27">
        <v>0.5</v>
      </c>
      <c r="BI27">
        <f t="shared" si="32"/>
        <v>84.268041637458879</v>
      </c>
      <c r="BJ27">
        <f t="shared" si="33"/>
        <v>3.9650025668823021</v>
      </c>
      <c r="BK27">
        <f t="shared" si="34"/>
        <v>28.486641130780626</v>
      </c>
      <c r="BL27">
        <f t="shared" si="35"/>
        <v>7.7511449375034638E-2</v>
      </c>
      <c r="BM27">
        <f t="shared" si="36"/>
        <v>0.18385421226181106</v>
      </c>
      <c r="BN27">
        <f t="shared" si="37"/>
        <v>587.23050773589102</v>
      </c>
      <c r="BO27" t="s">
        <v>402</v>
      </c>
      <c r="BP27">
        <v>0</v>
      </c>
      <c r="BQ27">
        <f t="shared" si="38"/>
        <v>587.23050773589102</v>
      </c>
      <c r="BR27">
        <f t="shared" si="39"/>
        <v>0.71440149613553006</v>
      </c>
      <c r="BS27">
        <f t="shared" si="40"/>
        <v>0.94638093667279721</v>
      </c>
      <c r="BT27">
        <f t="shared" si="41"/>
        <v>0.20467914708812918</v>
      </c>
      <c r="BU27">
        <f t="shared" si="42"/>
        <v>0.96427246795247124</v>
      </c>
      <c r="BV27">
        <f t="shared" si="43"/>
        <v>0.20774478060840543</v>
      </c>
      <c r="BW27">
        <f t="shared" si="44"/>
        <v>0.83446003685937697</v>
      </c>
      <c r="BX27">
        <f t="shared" si="45"/>
        <v>0.16553996314062303</v>
      </c>
      <c r="DG27">
        <f t="shared" si="46"/>
        <v>99.979354838709696</v>
      </c>
      <c r="DH27">
        <f t="shared" si="47"/>
        <v>84.268041637458879</v>
      </c>
      <c r="DI27">
        <f t="shared" si="48"/>
        <v>0.84285442503007868</v>
      </c>
      <c r="DJ27">
        <f t="shared" si="49"/>
        <v>0.1651090403080519</v>
      </c>
      <c r="DK27">
        <v>6</v>
      </c>
      <c r="DL27">
        <v>0.5</v>
      </c>
      <c r="DM27" t="s">
        <v>403</v>
      </c>
      <c r="DN27">
        <v>2</v>
      </c>
      <c r="DO27" t="b">
        <v>0</v>
      </c>
      <c r="DP27">
        <v>1785164100.599999</v>
      </c>
      <c r="DQ27">
        <v>419.96474193548391</v>
      </c>
      <c r="DR27">
        <v>424.31641935483879</v>
      </c>
      <c r="DS27">
        <v>23.608806451612899</v>
      </c>
      <c r="DT27">
        <v>22.709429032258061</v>
      </c>
      <c r="DU27">
        <v>433.47912903225802</v>
      </c>
      <c r="DV27">
        <v>25.128935483870968</v>
      </c>
      <c r="DW27">
        <v>600.02493548387099</v>
      </c>
      <c r="DX27">
        <v>97.193593548387099</v>
      </c>
      <c r="DY27">
        <v>6.0270658064516133E-2</v>
      </c>
      <c r="DZ27">
        <v>27.6944129032258</v>
      </c>
      <c r="EA27">
        <v>28.0142129032258</v>
      </c>
      <c r="EB27">
        <v>999.90000000000032</v>
      </c>
      <c r="EC27">
        <v>0</v>
      </c>
      <c r="ED27">
        <v>0</v>
      </c>
      <c r="EE27">
        <v>10004.83870967742</v>
      </c>
      <c r="EF27">
        <v>0</v>
      </c>
      <c r="EG27">
        <v>1435.6174193548391</v>
      </c>
      <c r="EH27">
        <v>-4.3515538709677406</v>
      </c>
      <c r="EI27">
        <v>430.11938709677418</v>
      </c>
      <c r="EJ27">
        <v>434.17622580645161</v>
      </c>
      <c r="EK27">
        <v>0.89938941935483885</v>
      </c>
      <c r="EL27">
        <v>424.31641935483879</v>
      </c>
      <c r="EM27">
        <v>22.709429032258061</v>
      </c>
      <c r="EN27">
        <v>2.294623870967742</v>
      </c>
      <c r="EO27">
        <v>2.2072109677419349</v>
      </c>
      <c r="EP27">
        <v>19.638709677419349</v>
      </c>
      <c r="EQ27">
        <v>19.014735483870961</v>
      </c>
      <c r="ER27">
        <v>99.979354838709696</v>
      </c>
      <c r="ES27">
        <v>0.89982851612903236</v>
      </c>
      <c r="ET27">
        <v>0.1001714967741935</v>
      </c>
      <c r="EU27">
        <v>0</v>
      </c>
      <c r="EV27">
        <v>665.93477419354849</v>
      </c>
      <c r="EW27">
        <v>5.0010700000000003</v>
      </c>
      <c r="EX27">
        <v>5155.0383870967744</v>
      </c>
      <c r="EY27">
        <v>836.33177419354843</v>
      </c>
      <c r="EZ27">
        <v>39.561999999999983</v>
      </c>
      <c r="FA27">
        <v>43.686999999999969</v>
      </c>
      <c r="FB27">
        <v>41.75</v>
      </c>
      <c r="FC27">
        <v>43.384999999999998</v>
      </c>
      <c r="FD27">
        <v>41.686999999999983</v>
      </c>
      <c r="FE27">
        <v>85.463548387096751</v>
      </c>
      <c r="FF27">
        <v>9.5125806451612878</v>
      </c>
      <c r="FG27">
        <v>0</v>
      </c>
      <c r="FH27">
        <v>180.9000000953674</v>
      </c>
      <c r="FI27">
        <v>0</v>
      </c>
      <c r="FJ27">
        <v>665.99205882352953</v>
      </c>
      <c r="FK27">
        <v>0.4446078373260654</v>
      </c>
      <c r="FL27">
        <v>241.42892628143571</v>
      </c>
      <c r="FM27">
        <v>5102.9252941176464</v>
      </c>
      <c r="FN27">
        <v>10</v>
      </c>
      <c r="FO27">
        <v>1785164025.0999999</v>
      </c>
      <c r="FP27" t="s">
        <v>562</v>
      </c>
      <c r="FQ27">
        <v>1785164020.5999999</v>
      </c>
      <c r="FR27">
        <v>1785164025.0999999</v>
      </c>
      <c r="FS27">
        <v>12</v>
      </c>
      <c r="FT27">
        <v>5.5E-2</v>
      </c>
      <c r="FU27">
        <v>-5.0000000000000001E-3</v>
      </c>
      <c r="FV27">
        <v>-13.529</v>
      </c>
      <c r="FW27">
        <v>-1.5620000000000001</v>
      </c>
      <c r="FX27">
        <v>424</v>
      </c>
      <c r="FY27">
        <v>22</v>
      </c>
      <c r="FZ27">
        <v>0.98</v>
      </c>
      <c r="GA27">
        <v>0.24</v>
      </c>
      <c r="GB27">
        <v>419.96300000000002</v>
      </c>
      <c r="GC27">
        <v>0.25756618464973102</v>
      </c>
      <c r="GD27">
        <v>6.0018330533261451E-2</v>
      </c>
      <c r="GE27">
        <v>-1</v>
      </c>
      <c r="GF27">
        <v>665.95758823529411</v>
      </c>
      <c r="GG27">
        <v>0.1218640117623673</v>
      </c>
      <c r="GH27">
        <v>0.22694105449330529</v>
      </c>
      <c r="GI27">
        <v>1</v>
      </c>
      <c r="GJ27">
        <v>0.90207879999999996</v>
      </c>
      <c r="GK27">
        <v>-6.1602101313321493E-2</v>
      </c>
      <c r="GL27">
        <v>7.1763673512439397E-3</v>
      </c>
      <c r="GM27">
        <v>1</v>
      </c>
      <c r="GN27">
        <v>2</v>
      </c>
      <c r="GO27">
        <v>2</v>
      </c>
      <c r="GP27" t="s">
        <v>404</v>
      </c>
      <c r="GQ27">
        <v>3.2453799999999999</v>
      </c>
      <c r="GR27">
        <v>2.7361900000000001</v>
      </c>
      <c r="GS27">
        <v>9.1594900000000007E-2</v>
      </c>
      <c r="GT27">
        <v>9.0918700000000005E-2</v>
      </c>
      <c r="GU27">
        <v>0.11428199999999999</v>
      </c>
      <c r="GV27">
        <v>0.10685600000000001</v>
      </c>
      <c r="GW27">
        <v>22670.799999999999</v>
      </c>
      <c r="GX27">
        <v>30237.3</v>
      </c>
      <c r="GY27">
        <v>27082</v>
      </c>
      <c r="GZ27">
        <v>34217.599999999999</v>
      </c>
      <c r="HA27">
        <v>35149.300000000003</v>
      </c>
      <c r="HB27">
        <v>38180.300000000003</v>
      </c>
      <c r="HC27">
        <v>40000.9</v>
      </c>
      <c r="HD27">
        <v>42823</v>
      </c>
      <c r="HE27">
        <v>2.1122000000000001</v>
      </c>
      <c r="HF27">
        <v>1.5045999999999999</v>
      </c>
      <c r="HG27">
        <v>-9.2893799999999999E-2</v>
      </c>
      <c r="HH27">
        <v>0</v>
      </c>
      <c r="HI27">
        <v>29.513300000000001</v>
      </c>
      <c r="HJ27">
        <v>999.9</v>
      </c>
      <c r="HK27">
        <v>67.3</v>
      </c>
      <c r="HL27">
        <v>37.9</v>
      </c>
      <c r="HM27">
        <v>45.849800000000002</v>
      </c>
      <c r="HN27">
        <v>60.867800000000003</v>
      </c>
      <c r="HO27">
        <v>10.945499999999999</v>
      </c>
      <c r="HP27">
        <v>1</v>
      </c>
      <c r="HQ27">
        <v>0.74016300000000002</v>
      </c>
      <c r="HR27">
        <v>5.5350099999999998</v>
      </c>
      <c r="HS27">
        <v>20.161000000000001</v>
      </c>
      <c r="HT27">
        <v>5.2100999999999997</v>
      </c>
      <c r="HU27">
        <v>11.914099999999999</v>
      </c>
      <c r="HV27">
        <v>4.9847999999999999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1.86765</v>
      </c>
      <c r="IC27">
        <v>1.8632500000000001</v>
      </c>
      <c r="ID27">
        <v>1.86276</v>
      </c>
      <c r="IE27">
        <v>1.8623400000000001</v>
      </c>
      <c r="IF27">
        <v>1.8623400000000001</v>
      </c>
      <c r="IG27">
        <v>1.8628199999999999</v>
      </c>
      <c r="IH27">
        <v>1.86374</v>
      </c>
      <c r="II27">
        <v>1.86172</v>
      </c>
      <c r="IJ27">
        <v>0</v>
      </c>
      <c r="IK27">
        <v>0</v>
      </c>
      <c r="IL27">
        <v>0</v>
      </c>
      <c r="IM27">
        <v>4.5</v>
      </c>
      <c r="IN27" t="s">
        <v>405</v>
      </c>
      <c r="IO27" t="s">
        <v>406</v>
      </c>
      <c r="IP27" t="s">
        <v>407</v>
      </c>
      <c r="IQ27" t="s">
        <v>408</v>
      </c>
      <c r="IR27" t="s">
        <v>408</v>
      </c>
      <c r="IS27" t="s">
        <v>407</v>
      </c>
      <c r="IT27">
        <v>0</v>
      </c>
      <c r="IU27">
        <v>100</v>
      </c>
      <c r="IV27">
        <v>100</v>
      </c>
      <c r="IW27">
        <v>-13.515000000000001</v>
      </c>
      <c r="IX27">
        <v>-1.5201</v>
      </c>
      <c r="IY27">
        <v>-11.4985</v>
      </c>
      <c r="IZ27">
        <v>-5.6215299999999996E-3</v>
      </c>
      <c r="JA27">
        <v>2.3979899999999999E-6</v>
      </c>
      <c r="JB27">
        <v>-3.6297200000000001E-10</v>
      </c>
      <c r="JC27">
        <v>-1.9438535417672069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1.5</v>
      </c>
      <c r="JL27">
        <v>1.4</v>
      </c>
      <c r="JM27">
        <v>1.1035200000000001</v>
      </c>
      <c r="JN27">
        <v>2.52563</v>
      </c>
      <c r="JO27">
        <v>1.50024</v>
      </c>
      <c r="JP27">
        <v>2.2741699999999998</v>
      </c>
      <c r="JQ27">
        <v>1.4477500000000001</v>
      </c>
      <c r="JR27">
        <v>2.3791500000000001</v>
      </c>
      <c r="JS27">
        <v>43.6447</v>
      </c>
      <c r="JT27">
        <v>23.851099999999999</v>
      </c>
      <c r="JU27">
        <v>18</v>
      </c>
      <c r="JV27">
        <v>668.71400000000006</v>
      </c>
      <c r="JW27">
        <v>296.327</v>
      </c>
      <c r="JX27">
        <v>23.724299999999999</v>
      </c>
      <c r="JY27">
        <v>36.052700000000002</v>
      </c>
      <c r="JZ27">
        <v>29.9999</v>
      </c>
      <c r="KA27">
        <v>36.493000000000002</v>
      </c>
      <c r="KB27">
        <v>36.081499999999998</v>
      </c>
      <c r="KC27">
        <v>22.0793</v>
      </c>
      <c r="KD27">
        <v>50.222999999999999</v>
      </c>
      <c r="KE27">
        <v>0</v>
      </c>
      <c r="KF27">
        <v>23.732900000000001</v>
      </c>
      <c r="KG27">
        <v>424.29700000000003</v>
      </c>
      <c r="KH27">
        <v>22.647400000000001</v>
      </c>
      <c r="KI27">
        <v>99.963899999999995</v>
      </c>
      <c r="KJ27">
        <v>96.933499999999995</v>
      </c>
    </row>
    <row r="28" spans="1:296" x14ac:dyDescent="0.3">
      <c r="A28">
        <v>12</v>
      </c>
      <c r="B28">
        <v>1785164290.0999999</v>
      </c>
      <c r="C28">
        <v>1996.599999904633</v>
      </c>
      <c r="D28" t="s">
        <v>563</v>
      </c>
      <c r="E28" t="s">
        <v>564</v>
      </c>
      <c r="F28">
        <v>15</v>
      </c>
      <c r="H28">
        <v>1785164282.349999</v>
      </c>
      <c r="I28">
        <f t="shared" si="0"/>
        <v>8.1604324832009346E-4</v>
      </c>
      <c r="J28">
        <f t="shared" si="1"/>
        <v>0.81604324832009345</v>
      </c>
      <c r="K28">
        <f t="shared" si="2"/>
        <v>0.42734872997855966</v>
      </c>
      <c r="L28">
        <f t="shared" si="3"/>
        <v>419.99676666666682</v>
      </c>
      <c r="M28">
        <f t="shared" si="4"/>
        <v>396.13384847216412</v>
      </c>
      <c r="N28">
        <f t="shared" si="5"/>
        <v>38.525594372251284</v>
      </c>
      <c r="O28">
        <f t="shared" si="6"/>
        <v>40.846358201056553</v>
      </c>
      <c r="P28">
        <f t="shared" si="7"/>
        <v>5.141357030938442E-2</v>
      </c>
      <c r="Q28">
        <f t="shared" si="8"/>
        <v>2.8807128264938435</v>
      </c>
      <c r="R28">
        <f t="shared" si="9"/>
        <v>5.0909188344262564E-2</v>
      </c>
      <c r="S28">
        <f t="shared" si="10"/>
        <v>3.1863146950292215E-2</v>
      </c>
      <c r="T28">
        <f t="shared" si="11"/>
        <v>8.2480594278731143</v>
      </c>
      <c r="U28">
        <f t="shared" si="12"/>
        <v>27.423560712734552</v>
      </c>
      <c r="V28">
        <f t="shared" si="13"/>
        <v>27.992640000000002</v>
      </c>
      <c r="W28">
        <f t="shared" si="14"/>
        <v>3.7932117600011899</v>
      </c>
      <c r="X28">
        <f t="shared" si="15"/>
        <v>61.619079746007955</v>
      </c>
      <c r="Y28">
        <f t="shared" si="16"/>
        <v>2.2829886125092429</v>
      </c>
      <c r="Z28">
        <f t="shared" si="17"/>
        <v>3.7050027717383243</v>
      </c>
      <c r="AA28">
        <f t="shared" si="18"/>
        <v>1.510223147491947</v>
      </c>
      <c r="AB28">
        <f t="shared" si="19"/>
        <v>-35.987507250916124</v>
      </c>
      <c r="AC28">
        <f t="shared" si="20"/>
        <v>-62.585322513981595</v>
      </c>
      <c r="AD28">
        <f t="shared" si="21"/>
        <v>-4.7258407853402318</v>
      </c>
      <c r="AE28">
        <f t="shared" si="22"/>
        <v>-95.050611122364842</v>
      </c>
      <c r="AF28">
        <f t="shared" si="23"/>
        <v>0.42734872997855966</v>
      </c>
      <c r="AG28">
        <f t="shared" si="24"/>
        <v>0.81604324832009345</v>
      </c>
      <c r="AH28">
        <f t="shared" si="25"/>
        <v>0.30150664286190276</v>
      </c>
      <c r="AI28">
        <v>430.55308931674818</v>
      </c>
      <c r="AJ28">
        <v>430.12646666666637</v>
      </c>
      <c r="AK28">
        <v>2.718252007481085E-2</v>
      </c>
      <c r="AL28">
        <v>67.068206984790805</v>
      </c>
      <c r="AM28">
        <f t="shared" si="26"/>
        <v>0.82468907837396244</v>
      </c>
      <c r="AN28">
        <v>22.69785930268398</v>
      </c>
      <c r="AO28">
        <v>23.500055757575758</v>
      </c>
      <c r="AP28">
        <v>6.1481558441783433E-4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51316.877799365437</v>
      </c>
      <c r="AW28" t="s">
        <v>515</v>
      </c>
      <c r="AX28">
        <v>13198.7</v>
      </c>
      <c r="AY28">
        <v>614.48529411764707</v>
      </c>
      <c r="AZ28">
        <v>2434.17</v>
      </c>
      <c r="BA28">
        <f t="shared" si="30"/>
        <v>0.74755859528395829</v>
      </c>
      <c r="BB28">
        <v>-2.566735476432902</v>
      </c>
      <c r="BC28" t="s">
        <v>565</v>
      </c>
      <c r="BD28">
        <v>13232.2</v>
      </c>
      <c r="BE28">
        <v>651.33882352941191</v>
      </c>
      <c r="BF28">
        <v>2099.0700000000002</v>
      </c>
      <c r="BG28">
        <f t="shared" si="31"/>
        <v>0.68970123743876488</v>
      </c>
      <c r="BH28">
        <v>0.5</v>
      </c>
      <c r="BI28">
        <f t="shared" si="32"/>
        <v>42.171614074545658</v>
      </c>
      <c r="BJ28">
        <f t="shared" si="33"/>
        <v>0.42734872997855966</v>
      </c>
      <c r="BK28">
        <f t="shared" si="34"/>
        <v>14.542907206002088</v>
      </c>
      <c r="BL28">
        <f t="shared" si="35"/>
        <v>7.0997619420468408E-2</v>
      </c>
      <c r="BM28">
        <f t="shared" si="36"/>
        <v>0.15964212722777224</v>
      </c>
      <c r="BN28">
        <f t="shared" si="37"/>
        <v>590.68069503418621</v>
      </c>
      <c r="BO28" t="s">
        <v>402</v>
      </c>
      <c r="BP28">
        <v>0</v>
      </c>
      <c r="BQ28">
        <f t="shared" si="38"/>
        <v>590.68069503418621</v>
      </c>
      <c r="BR28">
        <f t="shared" si="39"/>
        <v>0.71859885804942847</v>
      </c>
      <c r="BS28">
        <f t="shared" si="40"/>
        <v>0.9597861584568842</v>
      </c>
      <c r="BT28">
        <f t="shared" si="41"/>
        <v>0.18177485440102081</v>
      </c>
      <c r="BU28">
        <f t="shared" si="42"/>
        <v>0.97517586617608243</v>
      </c>
      <c r="BV28">
        <f t="shared" si="43"/>
        <v>0.1841527814773341</v>
      </c>
      <c r="BW28">
        <f t="shared" si="44"/>
        <v>0.87040282980445394</v>
      </c>
      <c r="BX28">
        <f t="shared" si="45"/>
        <v>0.12959717019554606</v>
      </c>
      <c r="DG28">
        <f t="shared" si="46"/>
        <v>50.043210000000009</v>
      </c>
      <c r="DH28">
        <f t="shared" si="47"/>
        <v>42.171614074545658</v>
      </c>
      <c r="DI28">
        <f t="shared" si="48"/>
        <v>0.84270401667969841</v>
      </c>
      <c r="DJ28">
        <f t="shared" si="49"/>
        <v>0.1648187521918181</v>
      </c>
      <c r="DK28">
        <v>6</v>
      </c>
      <c r="DL28">
        <v>0.5</v>
      </c>
      <c r="DM28" t="s">
        <v>403</v>
      </c>
      <c r="DN28">
        <v>2</v>
      </c>
      <c r="DO28" t="b">
        <v>0</v>
      </c>
      <c r="DP28">
        <v>1785164282.349999</v>
      </c>
      <c r="DQ28">
        <v>419.99676666666682</v>
      </c>
      <c r="DR28">
        <v>420.76686666666671</v>
      </c>
      <c r="DS28">
        <v>23.474499999999999</v>
      </c>
      <c r="DT28">
        <v>22.67759666666667</v>
      </c>
      <c r="DU28">
        <v>433.47099999999989</v>
      </c>
      <c r="DV28">
        <v>25.020720000000001</v>
      </c>
      <c r="DW28">
        <v>599.98773333333327</v>
      </c>
      <c r="DX28">
        <v>97.193356666666659</v>
      </c>
      <c r="DY28">
        <v>6.062584666666667E-2</v>
      </c>
      <c r="DZ28">
        <v>27.58965666666667</v>
      </c>
      <c r="EA28">
        <v>27.992640000000002</v>
      </c>
      <c r="EB28">
        <v>999.9000000000002</v>
      </c>
      <c r="EC28">
        <v>0</v>
      </c>
      <c r="ED28">
        <v>0</v>
      </c>
      <c r="EE28">
        <v>10005</v>
      </c>
      <c r="EF28">
        <v>0</v>
      </c>
      <c r="EG28">
        <v>1520.949333333333</v>
      </c>
      <c r="EH28">
        <v>-0.77006219999999981</v>
      </c>
      <c r="EI28">
        <v>430.09296666666671</v>
      </c>
      <c r="EJ28">
        <v>430.53036666666668</v>
      </c>
      <c r="EK28">
        <v>0.79692136666666658</v>
      </c>
      <c r="EL28">
        <v>420.76686666666671</v>
      </c>
      <c r="EM28">
        <v>22.67759666666667</v>
      </c>
      <c r="EN28">
        <v>2.281566666666667</v>
      </c>
      <c r="EO28">
        <v>2.20411</v>
      </c>
      <c r="EP28">
        <v>19.546843333333339</v>
      </c>
      <c r="EQ28">
        <v>18.992213333333329</v>
      </c>
      <c r="ER28">
        <v>50.043210000000009</v>
      </c>
      <c r="ES28">
        <v>0.89987396666666675</v>
      </c>
      <c r="ET28">
        <v>0.1001261633333333</v>
      </c>
      <c r="EU28">
        <v>0</v>
      </c>
      <c r="EV28">
        <v>651.30566666666675</v>
      </c>
      <c r="EW28">
        <v>5.0010700000000003</v>
      </c>
      <c r="EX28">
        <v>5092.0873333333329</v>
      </c>
      <c r="EY28">
        <v>396.6260666666667</v>
      </c>
      <c r="EZ28">
        <v>39.311999999999991</v>
      </c>
      <c r="FA28">
        <v>43.643599999999999</v>
      </c>
      <c r="FB28">
        <v>41.561999999999983</v>
      </c>
      <c r="FC28">
        <v>43.311999999999983</v>
      </c>
      <c r="FD28">
        <v>41.462199999999982</v>
      </c>
      <c r="FE28">
        <v>40.532333333333341</v>
      </c>
      <c r="FF28">
        <v>4.5106666666666664</v>
      </c>
      <c r="FG28">
        <v>0</v>
      </c>
      <c r="FH28">
        <v>180.70000004768369</v>
      </c>
      <c r="FI28">
        <v>0</v>
      </c>
      <c r="FJ28">
        <v>651.33882352941191</v>
      </c>
      <c r="FK28">
        <v>1.907352915692142</v>
      </c>
      <c r="FL28">
        <v>-458.37744767282948</v>
      </c>
      <c r="FM28">
        <v>5084.5452941176472</v>
      </c>
      <c r="FN28">
        <v>10</v>
      </c>
      <c r="FO28">
        <v>1785164199.0999999</v>
      </c>
      <c r="FP28" t="s">
        <v>566</v>
      </c>
      <c r="FQ28">
        <v>1785164195.0999999</v>
      </c>
      <c r="FR28">
        <v>1785164199.0999999</v>
      </c>
      <c r="FS28">
        <v>13</v>
      </c>
      <c r="FT28">
        <v>0.04</v>
      </c>
      <c r="FU28">
        <v>-2.3E-2</v>
      </c>
      <c r="FV28">
        <v>-13.475</v>
      </c>
      <c r="FW28">
        <v>-1.569</v>
      </c>
      <c r="FX28">
        <v>420</v>
      </c>
      <c r="FY28">
        <v>23</v>
      </c>
      <c r="FZ28">
        <v>1.19</v>
      </c>
      <c r="GA28">
        <v>0.37</v>
      </c>
      <c r="GB28">
        <v>419.99812903225808</v>
      </c>
      <c r="GC28">
        <v>-4.9209677420443569E-2</v>
      </c>
      <c r="GD28">
        <v>4.8249848360437643E-2</v>
      </c>
      <c r="GE28">
        <v>-1</v>
      </c>
      <c r="GF28">
        <v>651.2861764705882</v>
      </c>
      <c r="GG28">
        <v>0.48302521081541661</v>
      </c>
      <c r="GH28">
        <v>0.19958596416938409</v>
      </c>
      <c r="GI28">
        <v>1</v>
      </c>
      <c r="GJ28">
        <v>0.79151039024390246</v>
      </c>
      <c r="GK28">
        <v>0.16970201393728099</v>
      </c>
      <c r="GL28">
        <v>2.7318284551254669E-2</v>
      </c>
      <c r="GM28">
        <v>1</v>
      </c>
      <c r="GN28">
        <v>2</v>
      </c>
      <c r="GO28">
        <v>2</v>
      </c>
      <c r="GP28" t="s">
        <v>404</v>
      </c>
      <c r="GQ28">
        <v>3.2449599999999998</v>
      </c>
      <c r="GR28">
        <v>2.7381000000000002</v>
      </c>
      <c r="GS28">
        <v>9.1589900000000002E-2</v>
      </c>
      <c r="GT28">
        <v>9.0314699999999998E-2</v>
      </c>
      <c r="GU28">
        <v>0.113983</v>
      </c>
      <c r="GV28">
        <v>0.106324</v>
      </c>
      <c r="GW28">
        <v>22668.1</v>
      </c>
      <c r="GX28">
        <v>30254.7</v>
      </c>
      <c r="GY28">
        <v>27079</v>
      </c>
      <c r="GZ28">
        <v>34215</v>
      </c>
      <c r="HA28">
        <v>35158.199999999997</v>
      </c>
      <c r="HB28">
        <v>38198.400000000001</v>
      </c>
      <c r="HC28">
        <v>39997.4</v>
      </c>
      <c r="HD28">
        <v>42817.8</v>
      </c>
      <c r="HE28">
        <v>2.1103999999999998</v>
      </c>
      <c r="HF28">
        <v>1.5022</v>
      </c>
      <c r="HG28">
        <v>-0.103563</v>
      </c>
      <c r="HH28">
        <v>0</v>
      </c>
      <c r="HI28">
        <v>29.663399999999999</v>
      </c>
      <c r="HJ28">
        <v>999.9</v>
      </c>
      <c r="HK28">
        <v>66.8</v>
      </c>
      <c r="HL28">
        <v>38.1</v>
      </c>
      <c r="HM28">
        <v>46.003300000000003</v>
      </c>
      <c r="HN28">
        <v>60.997799999999998</v>
      </c>
      <c r="HO28">
        <v>10.7332</v>
      </c>
      <c r="HP28">
        <v>1</v>
      </c>
      <c r="HQ28">
        <v>0.74378</v>
      </c>
      <c r="HR28">
        <v>5.2619199999999999</v>
      </c>
      <c r="HS28">
        <v>20.1691</v>
      </c>
      <c r="HT28">
        <v>5.2100999999999997</v>
      </c>
      <c r="HU28">
        <v>11.914099999999999</v>
      </c>
      <c r="HV28">
        <v>4.9843999999999999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1.86758</v>
      </c>
      <c r="IC28">
        <v>1.8632500000000001</v>
      </c>
      <c r="ID28">
        <v>1.8627899999999999</v>
      </c>
      <c r="IE28">
        <v>1.8623400000000001</v>
      </c>
      <c r="IF28">
        <v>1.8623400000000001</v>
      </c>
      <c r="IG28">
        <v>1.8628899999999999</v>
      </c>
      <c r="IH28">
        <v>1.8637699999999999</v>
      </c>
      <c r="II28">
        <v>1.86172</v>
      </c>
      <c r="IJ28">
        <v>0</v>
      </c>
      <c r="IK28">
        <v>0</v>
      </c>
      <c r="IL28">
        <v>0</v>
      </c>
      <c r="IM28">
        <v>4.5</v>
      </c>
      <c r="IN28" t="s">
        <v>405</v>
      </c>
      <c r="IO28" t="s">
        <v>406</v>
      </c>
      <c r="IP28" t="s">
        <v>407</v>
      </c>
      <c r="IQ28" t="s">
        <v>408</v>
      </c>
      <c r="IR28" t="s">
        <v>408</v>
      </c>
      <c r="IS28" t="s">
        <v>407</v>
      </c>
      <c r="IT28">
        <v>0</v>
      </c>
      <c r="IU28">
        <v>100</v>
      </c>
      <c r="IV28">
        <v>100</v>
      </c>
      <c r="IW28">
        <v>-13.475</v>
      </c>
      <c r="IX28">
        <v>-1.5456000000000001</v>
      </c>
      <c r="IY28">
        <v>-11.458416708418969</v>
      </c>
      <c r="IZ28">
        <v>-5.6215304933332991E-3</v>
      </c>
      <c r="JA28">
        <v>2.3979931213773931E-6</v>
      </c>
      <c r="JB28">
        <v>-3.6297174575716598E-10</v>
      </c>
      <c r="JC28">
        <v>-1.9668879665811689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1.6</v>
      </c>
      <c r="JL28">
        <v>1.5</v>
      </c>
      <c r="JM28">
        <v>1.09619</v>
      </c>
      <c r="JN28">
        <v>2.52563</v>
      </c>
      <c r="JO28">
        <v>1.50024</v>
      </c>
      <c r="JP28">
        <v>2.2741699999999998</v>
      </c>
      <c r="JQ28">
        <v>1.4477500000000001</v>
      </c>
      <c r="JR28">
        <v>2.48169</v>
      </c>
      <c r="JS28">
        <v>43.781700000000001</v>
      </c>
      <c r="JT28">
        <v>23.8598</v>
      </c>
      <c r="JU28">
        <v>18</v>
      </c>
      <c r="JV28">
        <v>667.88900000000001</v>
      </c>
      <c r="JW28">
        <v>295.43599999999998</v>
      </c>
      <c r="JX28">
        <v>23.916399999999999</v>
      </c>
      <c r="JY28">
        <v>36.1297</v>
      </c>
      <c r="JZ28">
        <v>30.000299999999999</v>
      </c>
      <c r="KA28">
        <v>36.552500000000002</v>
      </c>
      <c r="KB28">
        <v>36.140700000000002</v>
      </c>
      <c r="KC28">
        <v>21.935700000000001</v>
      </c>
      <c r="KD28">
        <v>50.700400000000002</v>
      </c>
      <c r="KE28">
        <v>0</v>
      </c>
      <c r="KF28">
        <v>23.915299999999998</v>
      </c>
      <c r="KG28">
        <v>420.74599999999998</v>
      </c>
      <c r="KH28">
        <v>22.583100000000002</v>
      </c>
      <c r="KI28">
        <v>99.953999999999994</v>
      </c>
      <c r="KJ28">
        <v>96.923699999999997</v>
      </c>
    </row>
    <row r="29" spans="1:296" x14ac:dyDescent="0.3">
      <c r="A29">
        <v>13</v>
      </c>
      <c r="B29">
        <v>1785164471.5999999</v>
      </c>
      <c r="C29">
        <v>2178.099999904633</v>
      </c>
      <c r="D29" t="s">
        <v>567</v>
      </c>
      <c r="E29" t="s">
        <v>568</v>
      </c>
      <c r="F29">
        <v>15</v>
      </c>
      <c r="H29">
        <v>1785164463.849999</v>
      </c>
      <c r="I29">
        <f t="shared" si="0"/>
        <v>6.5185721618078827E-4</v>
      </c>
      <c r="J29">
        <f t="shared" si="1"/>
        <v>0.65185721618078829</v>
      </c>
      <c r="K29">
        <f t="shared" si="2"/>
        <v>-4.0588593423443591</v>
      </c>
      <c r="L29">
        <f t="shared" si="3"/>
        <v>420.03699999999998</v>
      </c>
      <c r="M29">
        <f t="shared" si="4"/>
        <v>567.63432898306507</v>
      </c>
      <c r="N29">
        <f t="shared" si="5"/>
        <v>55.200038917867261</v>
      </c>
      <c r="O29">
        <f t="shared" si="6"/>
        <v>40.84682261638892</v>
      </c>
      <c r="P29">
        <f t="shared" si="7"/>
        <v>4.0782550625564754E-2</v>
      </c>
      <c r="Q29">
        <f t="shared" si="8"/>
        <v>2.8783792548113225</v>
      </c>
      <c r="R29">
        <f t="shared" si="9"/>
        <v>4.0464238356935918E-2</v>
      </c>
      <c r="S29">
        <f t="shared" si="10"/>
        <v>2.5318540833939387E-2</v>
      </c>
      <c r="T29">
        <f t="shared" si="11"/>
        <v>1.5966703903835998E-4</v>
      </c>
      <c r="U29">
        <f t="shared" si="12"/>
        <v>27.442559249935567</v>
      </c>
      <c r="V29">
        <f t="shared" si="13"/>
        <v>27.989830000000001</v>
      </c>
      <c r="W29">
        <f t="shared" si="14"/>
        <v>3.7925903916753061</v>
      </c>
      <c r="X29">
        <f t="shared" si="15"/>
        <v>61.310110433599895</v>
      </c>
      <c r="Y29">
        <f t="shared" si="16"/>
        <v>2.2748849470131889</v>
      </c>
      <c r="Z29">
        <f t="shared" si="17"/>
        <v>3.7104564498818444</v>
      </c>
      <c r="AA29">
        <f t="shared" si="18"/>
        <v>1.5177054446621172</v>
      </c>
      <c r="AB29">
        <f t="shared" si="19"/>
        <v>-28.746903233572763</v>
      </c>
      <c r="AC29">
        <f t="shared" si="20"/>
        <v>-58.194779714227572</v>
      </c>
      <c r="AD29">
        <f t="shared" si="21"/>
        <v>-4.3983617021191774</v>
      </c>
      <c r="AE29">
        <f t="shared" si="22"/>
        <v>-91.339884982880477</v>
      </c>
      <c r="AF29">
        <f t="shared" si="23"/>
        <v>-4.0588593423443591</v>
      </c>
      <c r="AG29">
        <f t="shared" si="24"/>
        <v>0.65185721618078829</v>
      </c>
      <c r="AH29">
        <f t="shared" si="25"/>
        <v>-3.9944980726856252</v>
      </c>
      <c r="AI29">
        <v>426.01484121175332</v>
      </c>
      <c r="AJ29">
        <v>430.15260000000012</v>
      </c>
      <c r="AK29">
        <v>-1.158720829430601E-2</v>
      </c>
      <c r="AL29">
        <v>67.068206984790805</v>
      </c>
      <c r="AM29">
        <f t="shared" si="26"/>
        <v>0.6665369257419459</v>
      </c>
      <c r="AN29">
        <v>22.880642890606069</v>
      </c>
      <c r="AO29">
        <v>23.475455151515149</v>
      </c>
      <c r="AP29">
        <v>1.101840692641049E-2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51246.364160726422</v>
      </c>
      <c r="AW29" t="s">
        <v>569</v>
      </c>
      <c r="AX29">
        <v>13243.6</v>
      </c>
      <c r="AY29">
        <v>558.82352941176475</v>
      </c>
      <c r="AZ29">
        <v>2344.84</v>
      </c>
      <c r="BA29">
        <f t="shared" si="30"/>
        <v>0.7616794623890053</v>
      </c>
      <c r="BB29">
        <v>-4.0588593423444159</v>
      </c>
      <c r="BC29" t="s">
        <v>402</v>
      </c>
      <c r="BD29" t="s">
        <v>402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-4.0588593423443591</v>
      </c>
      <c r="BK29" t="e">
        <f t="shared" si="34"/>
        <v>#DIV/0!</v>
      </c>
      <c r="BL29">
        <f t="shared" si="35"/>
        <v>6.7642323979959103E-11</v>
      </c>
      <c r="BM29" t="e">
        <f t="shared" si="36"/>
        <v>#DIV/0!</v>
      </c>
      <c r="BN29" t="e">
        <f t="shared" si="37"/>
        <v>#DIV/0!</v>
      </c>
      <c r="BO29" t="s">
        <v>402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1.3128882284202636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403</v>
      </c>
      <c r="DN29">
        <v>2</v>
      </c>
      <c r="DO29" t="b">
        <v>0</v>
      </c>
      <c r="DP29">
        <v>1785164463.849999</v>
      </c>
      <c r="DQ29">
        <v>420.03699999999998</v>
      </c>
      <c r="DR29">
        <v>416.25203333333337</v>
      </c>
      <c r="DS29">
        <v>23.393150000000009</v>
      </c>
      <c r="DT29">
        <v>22.756556666666661</v>
      </c>
      <c r="DU29">
        <v>433.52199999999999</v>
      </c>
      <c r="DV29">
        <v>24.971150000000009</v>
      </c>
      <c r="DW29">
        <v>600.01403333333337</v>
      </c>
      <c r="DX29">
        <v>97.18594666666668</v>
      </c>
      <c r="DY29">
        <v>5.9826006666666667E-2</v>
      </c>
      <c r="DZ29">
        <v>27.614813333333331</v>
      </c>
      <c r="EA29">
        <v>27.989830000000001</v>
      </c>
      <c r="EB29">
        <v>999.9000000000002</v>
      </c>
      <c r="EC29">
        <v>0</v>
      </c>
      <c r="ED29">
        <v>0</v>
      </c>
      <c r="EE29">
        <v>9992.3333333333339</v>
      </c>
      <c r="EF29">
        <v>0</v>
      </c>
      <c r="EG29">
        <v>1215.170333333333</v>
      </c>
      <c r="EH29">
        <v>3.795576333333333</v>
      </c>
      <c r="EI29">
        <v>430.12259999999998</v>
      </c>
      <c r="EJ29">
        <v>425.94516666666658</v>
      </c>
      <c r="EK29">
        <v>0.66697906666666662</v>
      </c>
      <c r="EL29">
        <v>416.25203333333337</v>
      </c>
      <c r="EM29">
        <v>22.756556666666661</v>
      </c>
      <c r="EN29">
        <v>2.2764386666666661</v>
      </c>
      <c r="EO29">
        <v>2.2116180000000001</v>
      </c>
      <c r="EP29">
        <v>19.510639999999999</v>
      </c>
      <c r="EQ29">
        <v>19.046569999999999</v>
      </c>
      <c r="ER29">
        <v>1.00021E-2</v>
      </c>
      <c r="ES29">
        <v>0</v>
      </c>
      <c r="ET29">
        <v>0</v>
      </c>
      <c r="EU29">
        <v>0</v>
      </c>
      <c r="EV29">
        <v>558.8266666666666</v>
      </c>
      <c r="EW29">
        <v>1.00021E-2</v>
      </c>
      <c r="EX29">
        <v>3710.0083333333332</v>
      </c>
      <c r="EY29">
        <v>2.6966666666666659</v>
      </c>
      <c r="EZ29">
        <v>39.072499999999991</v>
      </c>
      <c r="FA29">
        <v>43.5</v>
      </c>
      <c r="FB29">
        <v>41.428733333333327</v>
      </c>
      <c r="FC29">
        <v>43.061999999999983</v>
      </c>
      <c r="FD29">
        <v>41.099799999999981</v>
      </c>
      <c r="FE29">
        <v>0</v>
      </c>
      <c r="FF29">
        <v>0</v>
      </c>
      <c r="FG29">
        <v>0</v>
      </c>
      <c r="FH29">
        <v>180.9000000953674</v>
      </c>
      <c r="FI29">
        <v>0</v>
      </c>
      <c r="FJ29">
        <v>558.82352941176475</v>
      </c>
      <c r="FK29">
        <v>-40.404411891419052</v>
      </c>
      <c r="FL29">
        <v>-1483.786766262848</v>
      </c>
      <c r="FM29">
        <v>3629.7529411764708</v>
      </c>
      <c r="FN29">
        <v>10</v>
      </c>
      <c r="FO29">
        <v>1785164500.0999999</v>
      </c>
      <c r="FP29" t="s">
        <v>570</v>
      </c>
      <c r="FQ29">
        <v>1785164500.0999999</v>
      </c>
      <c r="FR29">
        <v>1785164493.5999999</v>
      </c>
      <c r="FS29">
        <v>14</v>
      </c>
      <c r="FT29">
        <v>-2.5000000000000001E-2</v>
      </c>
      <c r="FU29">
        <v>-1.6E-2</v>
      </c>
      <c r="FV29">
        <v>-13.484999999999999</v>
      </c>
      <c r="FW29">
        <v>-1.5780000000000001</v>
      </c>
      <c r="FX29">
        <v>416</v>
      </c>
      <c r="FY29">
        <v>23</v>
      </c>
      <c r="FZ29">
        <v>1.74</v>
      </c>
      <c r="GA29">
        <v>0.51</v>
      </c>
      <c r="GB29">
        <v>420.04746666666671</v>
      </c>
      <c r="GC29">
        <v>0.23054949944459571</v>
      </c>
      <c r="GD29">
        <v>4.38366158466751E-2</v>
      </c>
      <c r="GE29">
        <v>-1</v>
      </c>
      <c r="GF29">
        <v>558.87647058823541</v>
      </c>
      <c r="GG29">
        <v>-8.6080978181403882</v>
      </c>
      <c r="GH29">
        <v>3.752631141536436</v>
      </c>
      <c r="GI29">
        <v>1</v>
      </c>
      <c r="GJ29">
        <v>0.70274945</v>
      </c>
      <c r="GK29">
        <v>-0.95845373358348973</v>
      </c>
      <c r="GL29">
        <v>9.8919241443449712E-2</v>
      </c>
      <c r="GM29">
        <v>0</v>
      </c>
      <c r="GN29">
        <v>1</v>
      </c>
      <c r="GO29">
        <v>2</v>
      </c>
      <c r="GP29" t="s">
        <v>409</v>
      </c>
      <c r="GQ29">
        <v>3.2445200000000001</v>
      </c>
      <c r="GR29">
        <v>2.73759</v>
      </c>
      <c r="GS29">
        <v>9.1571299999999994E-2</v>
      </c>
      <c r="GT29">
        <v>8.9557300000000006E-2</v>
      </c>
      <c r="GU29">
        <v>0.113887</v>
      </c>
      <c r="GV29">
        <v>0.107391</v>
      </c>
      <c r="GW29">
        <v>22663.9</v>
      </c>
      <c r="GX29">
        <v>30272.6</v>
      </c>
      <c r="GY29">
        <v>27073.9</v>
      </c>
      <c r="GZ29">
        <v>34207.599999999999</v>
      </c>
      <c r="HA29">
        <v>35155.9</v>
      </c>
      <c r="HB29">
        <v>38143.5</v>
      </c>
      <c r="HC29">
        <v>39989.800000000003</v>
      </c>
      <c r="HD29">
        <v>42807.1</v>
      </c>
      <c r="HE29">
        <v>2.1076000000000001</v>
      </c>
      <c r="HF29">
        <v>1.5012000000000001</v>
      </c>
      <c r="HG29">
        <v>-9.5456799999999994E-2</v>
      </c>
      <c r="HH29">
        <v>0</v>
      </c>
      <c r="HI29">
        <v>29.563800000000001</v>
      </c>
      <c r="HJ29">
        <v>999.9</v>
      </c>
      <c r="HK29">
        <v>66.400000000000006</v>
      </c>
      <c r="HL29">
        <v>38.299999999999997</v>
      </c>
      <c r="HM29">
        <v>46.228099999999998</v>
      </c>
      <c r="HN29">
        <v>60.867800000000003</v>
      </c>
      <c r="HO29">
        <v>10.665100000000001</v>
      </c>
      <c r="HP29">
        <v>1</v>
      </c>
      <c r="HQ29">
        <v>0.750305</v>
      </c>
      <c r="HR29">
        <v>4.7220500000000003</v>
      </c>
      <c r="HS29">
        <v>20.185300000000002</v>
      </c>
      <c r="HT29">
        <v>5.2112999999999996</v>
      </c>
      <c r="HU29">
        <v>11.914099999999999</v>
      </c>
      <c r="HV29">
        <v>4.9843999999999999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1.8632500000000001</v>
      </c>
      <c r="ID29">
        <v>1.8627899999999999</v>
      </c>
      <c r="IE29">
        <v>1.8623400000000001</v>
      </c>
      <c r="IF29">
        <v>1.8623400000000001</v>
      </c>
      <c r="IG29">
        <v>1.8628199999999999</v>
      </c>
      <c r="IH29">
        <v>1.8638600000000001</v>
      </c>
      <c r="II29">
        <v>1.86172</v>
      </c>
      <c r="IJ29">
        <v>0</v>
      </c>
      <c r="IK29">
        <v>0</v>
      </c>
      <c r="IL29">
        <v>0</v>
      </c>
      <c r="IM29">
        <v>4.5</v>
      </c>
      <c r="IN29" t="s">
        <v>405</v>
      </c>
      <c r="IO29" t="s">
        <v>406</v>
      </c>
      <c r="IP29" t="s">
        <v>407</v>
      </c>
      <c r="IQ29" t="s">
        <v>408</v>
      </c>
      <c r="IR29" t="s">
        <v>408</v>
      </c>
      <c r="IS29" t="s">
        <v>407</v>
      </c>
      <c r="IT29">
        <v>0</v>
      </c>
      <c r="IU29">
        <v>100</v>
      </c>
      <c r="IV29">
        <v>100</v>
      </c>
      <c r="IW29">
        <v>-13.484999999999999</v>
      </c>
      <c r="IX29">
        <v>-1.5780000000000001</v>
      </c>
      <c r="IY29">
        <v>-11.458416708418969</v>
      </c>
      <c r="IZ29">
        <v>-5.6215304933332991E-3</v>
      </c>
      <c r="JA29">
        <v>2.3979931213773931E-6</v>
      </c>
      <c r="JB29">
        <v>-3.6297174575716598E-10</v>
      </c>
      <c r="JC29">
        <v>-1.9668879665811689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4.5999999999999996</v>
      </c>
      <c r="JL29">
        <v>4.5</v>
      </c>
      <c r="JM29">
        <v>1.08765</v>
      </c>
      <c r="JN29">
        <v>2.52563</v>
      </c>
      <c r="JO29">
        <v>1.50024</v>
      </c>
      <c r="JP29">
        <v>2.2741699999999998</v>
      </c>
      <c r="JQ29">
        <v>1.4477500000000001</v>
      </c>
      <c r="JR29">
        <v>2.4865699999999999</v>
      </c>
      <c r="JS29">
        <v>44.001899999999999</v>
      </c>
      <c r="JT29">
        <v>23.8598</v>
      </c>
      <c r="JU29">
        <v>18</v>
      </c>
      <c r="JV29">
        <v>666.66899999999998</v>
      </c>
      <c r="JW29">
        <v>295.37799999999999</v>
      </c>
      <c r="JX29">
        <v>24.4404</v>
      </c>
      <c r="JY29">
        <v>36.237299999999998</v>
      </c>
      <c r="JZ29">
        <v>30.000599999999999</v>
      </c>
      <c r="KA29">
        <v>36.652000000000001</v>
      </c>
      <c r="KB29">
        <v>36.239699999999999</v>
      </c>
      <c r="KC29">
        <v>21.7515</v>
      </c>
      <c r="KD29">
        <v>50.168199999999999</v>
      </c>
      <c r="KE29">
        <v>0</v>
      </c>
      <c r="KF29">
        <v>24.431799999999999</v>
      </c>
      <c r="KG29">
        <v>416.16899999999998</v>
      </c>
      <c r="KH29">
        <v>22.751000000000001</v>
      </c>
      <c r="KI29">
        <v>99.935100000000006</v>
      </c>
      <c r="KJ29">
        <v>96.900800000000004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8E7E-C07D-4395-9661-3C7C0217D4C9}">
  <dimension ref="A2:KJ29"/>
  <sheetViews>
    <sheetView topLeftCell="A2" workbookViewId="0">
      <selection activeCell="L32" sqref="L3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623</v>
      </c>
      <c r="G13" t="s">
        <v>624</v>
      </c>
      <c r="H13">
        <v>0</v>
      </c>
    </row>
    <row r="14" spans="1:296" x14ac:dyDescent="0.3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57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61</v>
      </c>
      <c r="BK14" t="s">
        <v>61</v>
      </c>
      <c r="BL14" t="s">
        <v>61</v>
      </c>
      <c r="BM14" t="s">
        <v>61</v>
      </c>
      <c r="BN14" t="s">
        <v>61</v>
      </c>
      <c r="BO14" t="s">
        <v>61</v>
      </c>
      <c r="BP14" t="s">
        <v>61</v>
      </c>
      <c r="BQ14" t="s">
        <v>61</v>
      </c>
      <c r="BR14" t="s">
        <v>61</v>
      </c>
      <c r="BS14" t="s">
        <v>61</v>
      </c>
      <c r="BT14" t="s">
        <v>61</v>
      </c>
      <c r="BU14" t="s">
        <v>61</v>
      </c>
      <c r="BV14" t="s">
        <v>61</v>
      </c>
      <c r="BW14" t="s">
        <v>61</v>
      </c>
      <c r="BX14" t="s">
        <v>61</v>
      </c>
      <c r="BY14" t="s">
        <v>62</v>
      </c>
      <c r="BZ14" t="s">
        <v>62</v>
      </c>
      <c r="CA14" t="s">
        <v>62</v>
      </c>
      <c r="CB14" t="s">
        <v>62</v>
      </c>
      <c r="CC14" t="s">
        <v>62</v>
      </c>
      <c r="CD14" t="s">
        <v>62</v>
      </c>
      <c r="CE14" t="s">
        <v>62</v>
      </c>
      <c r="CF14" t="s">
        <v>62</v>
      </c>
      <c r="CG14" t="s">
        <v>62</v>
      </c>
      <c r="CH14" t="s">
        <v>62</v>
      </c>
      <c r="CI14" t="s">
        <v>62</v>
      </c>
      <c r="CJ14" t="s">
        <v>62</v>
      </c>
      <c r="CK14" t="s">
        <v>62</v>
      </c>
      <c r="CL14" t="s">
        <v>62</v>
      </c>
      <c r="CM14" t="s">
        <v>62</v>
      </c>
      <c r="CN14" t="s">
        <v>62</v>
      </c>
      <c r="CO14" t="s">
        <v>62</v>
      </c>
      <c r="CP14" t="s">
        <v>62</v>
      </c>
      <c r="CQ14" t="s">
        <v>62</v>
      </c>
      <c r="CR14" t="s">
        <v>62</v>
      </c>
      <c r="CS14" t="s">
        <v>62</v>
      </c>
      <c r="CT14" t="s">
        <v>63</v>
      </c>
      <c r="CU14" t="s">
        <v>63</v>
      </c>
      <c r="CV14" t="s">
        <v>63</v>
      </c>
      <c r="CW14" t="s">
        <v>63</v>
      </c>
      <c r="CX14" t="s">
        <v>63</v>
      </c>
      <c r="CY14" t="s">
        <v>63</v>
      </c>
      <c r="CZ14" t="s">
        <v>63</v>
      </c>
      <c r="DA14" t="s">
        <v>63</v>
      </c>
      <c r="DB14" t="s">
        <v>63</v>
      </c>
      <c r="DC14" t="s">
        <v>63</v>
      </c>
      <c r="DD14" t="s">
        <v>63</v>
      </c>
      <c r="DE14" t="s">
        <v>63</v>
      </c>
      <c r="DF14" t="s">
        <v>63</v>
      </c>
      <c r="DG14" t="s">
        <v>64</v>
      </c>
      <c r="DH14" t="s">
        <v>64</v>
      </c>
      <c r="DI14" t="s">
        <v>64</v>
      </c>
      <c r="DJ14" t="s">
        <v>64</v>
      </c>
      <c r="DK14" t="s">
        <v>65</v>
      </c>
      <c r="DL14" t="s">
        <v>65</v>
      </c>
      <c r="DM14" t="s">
        <v>65</v>
      </c>
      <c r="DN14" t="s">
        <v>65</v>
      </c>
      <c r="DO14" t="s">
        <v>65</v>
      </c>
      <c r="DP14" t="s">
        <v>66</v>
      </c>
      <c r="DQ14" t="s">
        <v>66</v>
      </c>
      <c r="DR14" t="s">
        <v>66</v>
      </c>
      <c r="DS14" t="s">
        <v>66</v>
      </c>
      <c r="DT14" t="s">
        <v>66</v>
      </c>
      <c r="DU14" t="s">
        <v>66</v>
      </c>
      <c r="DV14" t="s">
        <v>66</v>
      </c>
      <c r="DW14" t="s">
        <v>66</v>
      </c>
      <c r="DX14" t="s">
        <v>66</v>
      </c>
      <c r="DY14" t="s">
        <v>66</v>
      </c>
      <c r="DZ14" t="s">
        <v>66</v>
      </c>
      <c r="EA14" t="s">
        <v>66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s">
        <v>67</v>
      </c>
      <c r="EI14" t="s">
        <v>67</v>
      </c>
      <c r="EJ14" t="s">
        <v>67</v>
      </c>
      <c r="EK14" t="s">
        <v>67</v>
      </c>
      <c r="EL14" t="s">
        <v>67</v>
      </c>
      <c r="EM14" t="s">
        <v>67</v>
      </c>
      <c r="EN14" t="s">
        <v>67</v>
      </c>
      <c r="EO14" t="s">
        <v>67</v>
      </c>
      <c r="EP14" t="s">
        <v>67</v>
      </c>
      <c r="EQ14" t="s">
        <v>67</v>
      </c>
      <c r="ER14" t="s">
        <v>68</v>
      </c>
      <c r="ES14" t="s">
        <v>68</v>
      </c>
      <c r="ET14" t="s">
        <v>68</v>
      </c>
      <c r="EU14" t="s">
        <v>68</v>
      </c>
      <c r="EV14" t="s">
        <v>68</v>
      </c>
      <c r="EW14" t="s">
        <v>68</v>
      </c>
      <c r="EX14" t="s">
        <v>68</v>
      </c>
      <c r="EY14" t="s">
        <v>68</v>
      </c>
      <c r="EZ14" t="s">
        <v>68</v>
      </c>
      <c r="FA14" t="s">
        <v>68</v>
      </c>
      <c r="FB14" t="s">
        <v>68</v>
      </c>
      <c r="FC14" t="s">
        <v>68</v>
      </c>
      <c r="FD14" t="s">
        <v>68</v>
      </c>
      <c r="FE14" t="s">
        <v>68</v>
      </c>
      <c r="FF14" t="s">
        <v>68</v>
      </c>
      <c r="FG14" t="s">
        <v>68</v>
      </c>
      <c r="FH14" t="s">
        <v>68</v>
      </c>
      <c r="FI14" t="s">
        <v>68</v>
      </c>
      <c r="FJ14" t="s">
        <v>69</v>
      </c>
      <c r="FK14" t="s">
        <v>69</v>
      </c>
      <c r="FL14" t="s">
        <v>69</v>
      </c>
      <c r="FM14" t="s">
        <v>69</v>
      </c>
      <c r="FN14" t="s">
        <v>69</v>
      </c>
      <c r="FO14" t="s">
        <v>70</v>
      </c>
      <c r="FP14" t="s">
        <v>70</v>
      </c>
      <c r="FQ14" t="s">
        <v>70</v>
      </c>
      <c r="FR14" t="s">
        <v>70</v>
      </c>
      <c r="FS14" t="s">
        <v>70</v>
      </c>
      <c r="FT14" t="s">
        <v>70</v>
      </c>
      <c r="FU14" t="s">
        <v>70</v>
      </c>
      <c r="FV14" t="s">
        <v>70</v>
      </c>
      <c r="FW14" t="s">
        <v>70</v>
      </c>
      <c r="FX14" t="s">
        <v>70</v>
      </c>
      <c r="FY14" t="s">
        <v>70</v>
      </c>
      <c r="FZ14" t="s">
        <v>70</v>
      </c>
      <c r="GA14" t="s">
        <v>70</v>
      </c>
      <c r="GB14" t="s">
        <v>71</v>
      </c>
      <c r="GC14" t="s">
        <v>71</v>
      </c>
      <c r="GD14" t="s">
        <v>71</v>
      </c>
      <c r="GE14" t="s">
        <v>71</v>
      </c>
      <c r="GF14" t="s">
        <v>71</v>
      </c>
      <c r="GG14" t="s">
        <v>71</v>
      </c>
      <c r="GH14" t="s">
        <v>71</v>
      </c>
      <c r="GI14" t="s">
        <v>71</v>
      </c>
      <c r="GJ14" t="s">
        <v>71</v>
      </c>
      <c r="GK14" t="s">
        <v>71</v>
      </c>
      <c r="GL14" t="s">
        <v>71</v>
      </c>
      <c r="GM14" t="s">
        <v>71</v>
      </c>
      <c r="GN14" t="s">
        <v>71</v>
      </c>
      <c r="GO14" t="s">
        <v>71</v>
      </c>
      <c r="GP14" t="s">
        <v>71</v>
      </c>
      <c r="GQ14" t="s">
        <v>72</v>
      </c>
      <c r="GR14" t="s">
        <v>72</v>
      </c>
      <c r="GS14" t="s">
        <v>72</v>
      </c>
      <c r="GT14" t="s">
        <v>72</v>
      </c>
      <c r="GU14" t="s">
        <v>72</v>
      </c>
      <c r="GV14" t="s">
        <v>72</v>
      </c>
      <c r="GW14" t="s">
        <v>72</v>
      </c>
      <c r="GX14" t="s">
        <v>72</v>
      </c>
      <c r="GY14" t="s">
        <v>72</v>
      </c>
      <c r="GZ14" t="s">
        <v>72</v>
      </c>
      <c r="HA14" t="s">
        <v>72</v>
      </c>
      <c r="HB14" t="s">
        <v>72</v>
      </c>
      <c r="HC14" t="s">
        <v>72</v>
      </c>
      <c r="HD14" t="s">
        <v>72</v>
      </c>
      <c r="HE14" t="s">
        <v>72</v>
      </c>
      <c r="HF14" t="s">
        <v>72</v>
      </c>
      <c r="HG14" t="s">
        <v>72</v>
      </c>
      <c r="HH14" t="s">
        <v>72</v>
      </c>
      <c r="HI14" t="s">
        <v>73</v>
      </c>
      <c r="HJ14" t="s">
        <v>73</v>
      </c>
      <c r="HK14" t="s">
        <v>73</v>
      </c>
      <c r="HL14" t="s">
        <v>73</v>
      </c>
      <c r="HM14" t="s">
        <v>73</v>
      </c>
      <c r="HN14" t="s">
        <v>73</v>
      </c>
      <c r="HO14" t="s">
        <v>73</v>
      </c>
      <c r="HP14" t="s">
        <v>73</v>
      </c>
      <c r="HQ14" t="s">
        <v>73</v>
      </c>
      <c r="HR14" t="s">
        <v>73</v>
      </c>
      <c r="HS14" t="s">
        <v>73</v>
      </c>
      <c r="HT14" t="s">
        <v>73</v>
      </c>
      <c r="HU14" t="s">
        <v>73</v>
      </c>
      <c r="HV14" t="s">
        <v>73</v>
      </c>
      <c r="HW14" t="s">
        <v>73</v>
      </c>
      <c r="HX14" t="s">
        <v>73</v>
      </c>
      <c r="HY14" t="s">
        <v>73</v>
      </c>
      <c r="HZ14" t="s">
        <v>73</v>
      </c>
      <c r="IA14" t="s">
        <v>73</v>
      </c>
      <c r="IB14" t="s">
        <v>74</v>
      </c>
      <c r="IC14" t="s">
        <v>74</v>
      </c>
      <c r="ID14" t="s">
        <v>74</v>
      </c>
      <c r="IE14" t="s">
        <v>74</v>
      </c>
      <c r="IF14" t="s">
        <v>74</v>
      </c>
      <c r="IG14" t="s">
        <v>74</v>
      </c>
      <c r="IH14" t="s">
        <v>74</v>
      </c>
      <c r="II14" t="s">
        <v>74</v>
      </c>
      <c r="IJ14" t="s">
        <v>74</v>
      </c>
      <c r="IK14" t="s">
        <v>74</v>
      </c>
      <c r="IL14" t="s">
        <v>74</v>
      </c>
      <c r="IM14" t="s">
        <v>74</v>
      </c>
      <c r="IN14" t="s">
        <v>74</v>
      </c>
      <c r="IO14" t="s">
        <v>74</v>
      </c>
      <c r="IP14" t="s">
        <v>74</v>
      </c>
      <c r="IQ14" t="s">
        <v>74</v>
      </c>
      <c r="IR14" t="s">
        <v>74</v>
      </c>
      <c r="IS14" t="s">
        <v>74</v>
      </c>
      <c r="IT14" t="s">
        <v>74</v>
      </c>
      <c r="IU14" t="s">
        <v>75</v>
      </c>
      <c r="IV14" t="s">
        <v>75</v>
      </c>
      <c r="IW14" t="s">
        <v>75</v>
      </c>
      <c r="IX14" t="s">
        <v>75</v>
      </c>
      <c r="IY14" t="s">
        <v>75</v>
      </c>
      <c r="IZ14" t="s">
        <v>75</v>
      </c>
      <c r="JA14" t="s">
        <v>75</v>
      </c>
      <c r="JB14" t="s">
        <v>75</v>
      </c>
      <c r="JC14" t="s">
        <v>75</v>
      </c>
      <c r="JD14" t="s">
        <v>75</v>
      </c>
      <c r="JE14" t="s">
        <v>75</v>
      </c>
      <c r="JF14" t="s">
        <v>75</v>
      </c>
      <c r="JG14" t="s">
        <v>75</v>
      </c>
      <c r="JH14" t="s">
        <v>75</v>
      </c>
      <c r="JI14" t="s">
        <v>75</v>
      </c>
      <c r="JJ14" t="s">
        <v>75</v>
      </c>
      <c r="JK14" t="s">
        <v>75</v>
      </c>
      <c r="JL14" t="s">
        <v>75</v>
      </c>
      <c r="JM14" t="s">
        <v>76</v>
      </c>
      <c r="JN14" t="s">
        <v>76</v>
      </c>
      <c r="JO14" t="s">
        <v>76</v>
      </c>
      <c r="JP14" t="s">
        <v>76</v>
      </c>
      <c r="JQ14" t="s">
        <v>76</v>
      </c>
      <c r="JR14" t="s">
        <v>76</v>
      </c>
      <c r="JS14" t="s">
        <v>76</v>
      </c>
      <c r="JT14" t="s">
        <v>76</v>
      </c>
      <c r="JU14" t="s">
        <v>77</v>
      </c>
      <c r="JV14" t="s">
        <v>77</v>
      </c>
      <c r="JW14" t="s">
        <v>77</v>
      </c>
      <c r="JX14" t="s">
        <v>77</v>
      </c>
      <c r="JY14" t="s">
        <v>77</v>
      </c>
      <c r="JZ14" t="s">
        <v>77</v>
      </c>
      <c r="KA14" t="s">
        <v>77</v>
      </c>
      <c r="KB14" t="s">
        <v>77</v>
      </c>
      <c r="KC14" t="s">
        <v>77</v>
      </c>
      <c r="KD14" t="s">
        <v>77</v>
      </c>
      <c r="KE14" t="s">
        <v>77</v>
      </c>
      <c r="KF14" t="s">
        <v>77</v>
      </c>
      <c r="KG14" t="s">
        <v>77</v>
      </c>
      <c r="KH14" t="s">
        <v>77</v>
      </c>
      <c r="KI14" t="s">
        <v>77</v>
      </c>
      <c r="KJ14" t="s">
        <v>77</v>
      </c>
    </row>
    <row r="15" spans="1:296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t="s">
        <v>97</v>
      </c>
      <c r="U15" t="s">
        <v>98</v>
      </c>
      <c r="V15" t="s">
        <v>99</v>
      </c>
      <c r="W15" t="s">
        <v>100</v>
      </c>
      <c r="X15" t="s">
        <v>101</v>
      </c>
      <c r="Y15" t="s">
        <v>102</v>
      </c>
      <c r="Z15" t="s">
        <v>103</v>
      </c>
      <c r="AA15" t="s">
        <v>104</v>
      </c>
      <c r="AB15" t="s">
        <v>105</v>
      </c>
      <c r="AC15" t="s">
        <v>106</v>
      </c>
      <c r="AD15" t="s">
        <v>107</v>
      </c>
      <c r="AE15" t="s">
        <v>108</v>
      </c>
      <c r="AF15" t="s">
        <v>109</v>
      </c>
      <c r="AG15" t="s">
        <v>110</v>
      </c>
      <c r="AH15" t="s">
        <v>111</v>
      </c>
      <c r="AI15" t="s">
        <v>112</v>
      </c>
      <c r="AJ15" t="s">
        <v>113</v>
      </c>
      <c r="AK15" t="s">
        <v>114</v>
      </c>
      <c r="AL15" t="s">
        <v>115</v>
      </c>
      <c r="AM15" t="s">
        <v>116</v>
      </c>
      <c r="AN15" t="s">
        <v>117</v>
      </c>
      <c r="AO15" t="s">
        <v>118</v>
      </c>
      <c r="AP15" t="s">
        <v>119</v>
      </c>
      <c r="AQ15" t="s">
        <v>120</v>
      </c>
      <c r="AR15" t="s">
        <v>60</v>
      </c>
      <c r="AS15" t="s">
        <v>121</v>
      </c>
      <c r="AT15" t="s">
        <v>122</v>
      </c>
      <c r="AU15" t="s">
        <v>123</v>
      </c>
      <c r="AV15" t="s">
        <v>124</v>
      </c>
      <c r="AW15" t="s">
        <v>125</v>
      </c>
      <c r="AX15" t="s">
        <v>126</v>
      </c>
      <c r="AY15" t="s">
        <v>127</v>
      </c>
      <c r="AZ15" t="s">
        <v>128</v>
      </c>
      <c r="BA15" t="s">
        <v>129</v>
      </c>
      <c r="BB15" t="s">
        <v>130</v>
      </c>
      <c r="BC15" t="s">
        <v>131</v>
      </c>
      <c r="BD15" t="s">
        <v>132</v>
      </c>
      <c r="BE15" t="s">
        <v>133</v>
      </c>
      <c r="BF15" t="s">
        <v>134</v>
      </c>
      <c r="BG15" t="s">
        <v>135</v>
      </c>
      <c r="BH15" t="s">
        <v>136</v>
      </c>
      <c r="BI15" t="s">
        <v>137</v>
      </c>
      <c r="BJ15" t="s">
        <v>138</v>
      </c>
      <c r="BK15" t="s">
        <v>139</v>
      </c>
      <c r="BL15" t="s">
        <v>140</v>
      </c>
      <c r="BM15" t="s">
        <v>141</v>
      </c>
      <c r="BN15" t="s">
        <v>142</v>
      </c>
      <c r="BO15" t="s">
        <v>143</v>
      </c>
      <c r="BP15" t="s">
        <v>144</v>
      </c>
      <c r="BQ15" t="s">
        <v>145</v>
      </c>
      <c r="BR15" t="s">
        <v>146</v>
      </c>
      <c r="BS15" t="s">
        <v>147</v>
      </c>
      <c r="BT15" t="s">
        <v>148</v>
      </c>
      <c r="BU15" t="s">
        <v>149</v>
      </c>
      <c r="BV15" t="s">
        <v>150</v>
      </c>
      <c r="BW15" t="s">
        <v>151</v>
      </c>
      <c r="BX15" t="s">
        <v>152</v>
      </c>
      <c r="BY15" t="s">
        <v>153</v>
      </c>
      <c r="BZ15" t="s">
        <v>154</v>
      </c>
      <c r="CA15" t="s">
        <v>155</v>
      </c>
      <c r="CB15" t="s">
        <v>156</v>
      </c>
      <c r="CC15" t="s">
        <v>157</v>
      </c>
      <c r="CD15" t="s">
        <v>158</v>
      </c>
      <c r="CE15" t="s">
        <v>159</v>
      </c>
      <c r="CF15" t="s">
        <v>160</v>
      </c>
      <c r="CG15" t="s">
        <v>161</v>
      </c>
      <c r="CH15" t="s">
        <v>162</v>
      </c>
      <c r="CI15" t="s">
        <v>163</v>
      </c>
      <c r="CJ15" t="s">
        <v>164</v>
      </c>
      <c r="CK15" t="s">
        <v>165</v>
      </c>
      <c r="CL15" t="s">
        <v>166</v>
      </c>
      <c r="CM15" t="s">
        <v>167</v>
      </c>
      <c r="CN15" t="s">
        <v>168</v>
      </c>
      <c r="CO15" t="s">
        <v>169</v>
      </c>
      <c r="CP15" t="s">
        <v>170</v>
      </c>
      <c r="CQ15" t="s">
        <v>171</v>
      </c>
      <c r="CR15" t="s">
        <v>172</v>
      </c>
      <c r="CS15" t="s">
        <v>173</v>
      </c>
      <c r="CT15" t="s">
        <v>153</v>
      </c>
      <c r="CU15" t="s">
        <v>174</v>
      </c>
      <c r="CV15" t="s">
        <v>175</v>
      </c>
      <c r="CW15" t="s">
        <v>176</v>
      </c>
      <c r="CX15" t="s">
        <v>127</v>
      </c>
      <c r="CY15" t="s">
        <v>177</v>
      </c>
      <c r="CZ15" t="s">
        <v>178</v>
      </c>
      <c r="DA15" t="s">
        <v>179</v>
      </c>
      <c r="DB15" t="s">
        <v>180</v>
      </c>
      <c r="DC15" t="s">
        <v>181</v>
      </c>
      <c r="DD15" t="s">
        <v>182</v>
      </c>
      <c r="DE15" t="s">
        <v>183</v>
      </c>
      <c r="DF15" t="s">
        <v>184</v>
      </c>
      <c r="DG15" t="s">
        <v>185</v>
      </c>
      <c r="DH15" t="s">
        <v>186</v>
      </c>
      <c r="DI15" t="s">
        <v>187</v>
      </c>
      <c r="DJ15" t="s">
        <v>188</v>
      </c>
      <c r="DK15" t="s">
        <v>189</v>
      </c>
      <c r="DL15" t="s">
        <v>190</v>
      </c>
      <c r="DM15" t="s">
        <v>191</v>
      </c>
      <c r="DN15" t="s">
        <v>192</v>
      </c>
      <c r="DO15" t="s">
        <v>193</v>
      </c>
      <c r="DP15" t="s">
        <v>85</v>
      </c>
      <c r="DQ15" t="s">
        <v>194</v>
      </c>
      <c r="DR15" t="s">
        <v>195</v>
      </c>
      <c r="DS15" t="s">
        <v>196</v>
      </c>
      <c r="DT15" t="s">
        <v>197</v>
      </c>
      <c r="DU15" t="s">
        <v>198</v>
      </c>
      <c r="DV15" t="s">
        <v>199</v>
      </c>
      <c r="DW15" t="s">
        <v>200</v>
      </c>
      <c r="DX15" t="s">
        <v>201</v>
      </c>
      <c r="DY15" t="s">
        <v>202</v>
      </c>
      <c r="DZ15" t="s">
        <v>203</v>
      </c>
      <c r="EA15" t="s">
        <v>204</v>
      </c>
      <c r="EB15" t="s">
        <v>205</v>
      </c>
      <c r="EC15" t="s">
        <v>206</v>
      </c>
      <c r="ED15" t="s">
        <v>207</v>
      </c>
      <c r="EE15" t="s">
        <v>208</v>
      </c>
      <c r="EF15" t="s">
        <v>209</v>
      </c>
      <c r="EG15" t="s">
        <v>210</v>
      </c>
      <c r="EH15" t="s">
        <v>211</v>
      </c>
      <c r="EI15" t="s">
        <v>212</v>
      </c>
      <c r="EJ15" t="s">
        <v>213</v>
      </c>
      <c r="EK15" t="s">
        <v>214</v>
      </c>
      <c r="EL15" t="s">
        <v>215</v>
      </c>
      <c r="EM15" t="s">
        <v>216</v>
      </c>
      <c r="EN15" t="s">
        <v>217</v>
      </c>
      <c r="EO15" t="s">
        <v>218</v>
      </c>
      <c r="EP15" t="s">
        <v>219</v>
      </c>
      <c r="EQ15" t="s">
        <v>220</v>
      </c>
      <c r="ER15" t="s">
        <v>221</v>
      </c>
      <c r="ES15" t="s">
        <v>222</v>
      </c>
      <c r="ET15" t="s">
        <v>223</v>
      </c>
      <c r="EU15" t="s">
        <v>224</v>
      </c>
      <c r="EV15" t="s">
        <v>225</v>
      </c>
      <c r="EW15" t="s">
        <v>226</v>
      </c>
      <c r="EX15" t="s">
        <v>227</v>
      </c>
      <c r="EY15" t="s">
        <v>228</v>
      </c>
      <c r="EZ15" t="s">
        <v>229</v>
      </c>
      <c r="FA15" t="s">
        <v>230</v>
      </c>
      <c r="FB15" t="s">
        <v>231</v>
      </c>
      <c r="FC15" t="s">
        <v>232</v>
      </c>
      <c r="FD15" t="s">
        <v>233</v>
      </c>
      <c r="FE15" t="s">
        <v>234</v>
      </c>
      <c r="FF15" t="s">
        <v>235</v>
      </c>
      <c r="FG15" t="s">
        <v>236</v>
      </c>
      <c r="FH15" t="s">
        <v>237</v>
      </c>
      <c r="FI15" t="s">
        <v>238</v>
      </c>
      <c r="FJ15" t="s">
        <v>239</v>
      </c>
      <c r="FK15" t="s">
        <v>240</v>
      </c>
      <c r="FL15" t="s">
        <v>241</v>
      </c>
      <c r="FM15" t="s">
        <v>242</v>
      </c>
      <c r="FN15" t="s">
        <v>243</v>
      </c>
      <c r="FO15" t="s">
        <v>79</v>
      </c>
      <c r="FP15" t="s">
        <v>82</v>
      </c>
      <c r="FQ15" t="s">
        <v>244</v>
      </c>
      <c r="FR15" t="s">
        <v>245</v>
      </c>
      <c r="FS15" t="s">
        <v>246</v>
      </c>
      <c r="FT15" t="s">
        <v>247</v>
      </c>
      <c r="FU15" t="s">
        <v>248</v>
      </c>
      <c r="FV15" t="s">
        <v>249</v>
      </c>
      <c r="FW15" t="s">
        <v>250</v>
      </c>
      <c r="FX15" t="s">
        <v>251</v>
      </c>
      <c r="FY15" t="s">
        <v>252</v>
      </c>
      <c r="FZ15" t="s">
        <v>253</v>
      </c>
      <c r="GA15" t="s">
        <v>254</v>
      </c>
      <c r="GB15" t="s">
        <v>255</v>
      </c>
      <c r="GC15" t="s">
        <v>256</v>
      </c>
      <c r="GD15" t="s">
        <v>257</v>
      </c>
      <c r="GE15" t="s">
        <v>258</v>
      </c>
      <c r="GF15" t="s">
        <v>259</v>
      </c>
      <c r="GG15" t="s">
        <v>260</v>
      </c>
      <c r="GH15" t="s">
        <v>261</v>
      </c>
      <c r="GI15" t="s">
        <v>262</v>
      </c>
      <c r="GJ15" t="s">
        <v>263</v>
      </c>
      <c r="GK15" t="s">
        <v>264</v>
      </c>
      <c r="GL15" t="s">
        <v>265</v>
      </c>
      <c r="GM15" t="s">
        <v>266</v>
      </c>
      <c r="GN15" t="s">
        <v>267</v>
      </c>
      <c r="GO15" t="s">
        <v>268</v>
      </c>
      <c r="GP15" t="s">
        <v>269</v>
      </c>
      <c r="GQ15" t="s">
        <v>270</v>
      </c>
      <c r="GR15" t="s">
        <v>271</v>
      </c>
      <c r="GS15" t="s">
        <v>272</v>
      </c>
      <c r="GT15" t="s">
        <v>273</v>
      </c>
      <c r="GU15" t="s">
        <v>274</v>
      </c>
      <c r="GV15" t="s">
        <v>275</v>
      </c>
      <c r="GW15" t="s">
        <v>276</v>
      </c>
      <c r="GX15" t="s">
        <v>277</v>
      </c>
      <c r="GY15" t="s">
        <v>278</v>
      </c>
      <c r="GZ15" t="s">
        <v>279</v>
      </c>
      <c r="HA15" t="s">
        <v>280</v>
      </c>
      <c r="HB15" t="s">
        <v>281</v>
      </c>
      <c r="HC15" t="s">
        <v>282</v>
      </c>
      <c r="HD15" t="s">
        <v>283</v>
      </c>
      <c r="HE15" t="s">
        <v>284</v>
      </c>
      <c r="HF15" t="s">
        <v>285</v>
      </c>
      <c r="HG15" t="s">
        <v>286</v>
      </c>
      <c r="HH15" t="s">
        <v>287</v>
      </c>
      <c r="HI15" t="s">
        <v>288</v>
      </c>
      <c r="HJ15" t="s">
        <v>289</v>
      </c>
      <c r="HK15" t="s">
        <v>290</v>
      </c>
      <c r="HL15" t="s">
        <v>291</v>
      </c>
      <c r="HM15" t="s">
        <v>292</v>
      </c>
      <c r="HN15" t="s">
        <v>293</v>
      </c>
      <c r="HO15" t="s">
        <v>294</v>
      </c>
      <c r="HP15" t="s">
        <v>295</v>
      </c>
      <c r="HQ15" t="s">
        <v>296</v>
      </c>
      <c r="HR15" t="s">
        <v>297</v>
      </c>
      <c r="HS15" t="s">
        <v>298</v>
      </c>
      <c r="HT15" t="s">
        <v>299</v>
      </c>
      <c r="HU15" t="s">
        <v>300</v>
      </c>
      <c r="HV15" t="s">
        <v>301</v>
      </c>
      <c r="HW15" t="s">
        <v>302</v>
      </c>
      <c r="HX15" t="s">
        <v>303</v>
      </c>
      <c r="HY15" t="s">
        <v>304</v>
      </c>
      <c r="HZ15" t="s">
        <v>305</v>
      </c>
      <c r="IA15" t="s">
        <v>306</v>
      </c>
      <c r="IB15" t="s">
        <v>307</v>
      </c>
      <c r="IC15" t="s">
        <v>308</v>
      </c>
      <c r="ID15" t="s">
        <v>309</v>
      </c>
      <c r="IE15" t="s">
        <v>310</v>
      </c>
      <c r="IF15" t="s">
        <v>311</v>
      </c>
      <c r="IG15" t="s">
        <v>312</v>
      </c>
      <c r="IH15" t="s">
        <v>313</v>
      </c>
      <c r="II15" t="s">
        <v>314</v>
      </c>
      <c r="IJ15" t="s">
        <v>315</v>
      </c>
      <c r="IK15" t="s">
        <v>316</v>
      </c>
      <c r="IL15" t="s">
        <v>317</v>
      </c>
      <c r="IM15" t="s">
        <v>318</v>
      </c>
      <c r="IN15" t="s">
        <v>319</v>
      </c>
      <c r="IO15" t="s">
        <v>320</v>
      </c>
      <c r="IP15" t="s">
        <v>321</v>
      </c>
      <c r="IQ15" t="s">
        <v>322</v>
      </c>
      <c r="IR15" t="s">
        <v>323</v>
      </c>
      <c r="IS15" t="s">
        <v>324</v>
      </c>
      <c r="IT15" t="s">
        <v>325</v>
      </c>
      <c r="IU15" t="s">
        <v>326</v>
      </c>
      <c r="IV15" t="s">
        <v>327</v>
      </c>
      <c r="IW15" t="s">
        <v>328</v>
      </c>
      <c r="IX15" t="s">
        <v>329</v>
      </c>
      <c r="IY15" t="s">
        <v>330</v>
      </c>
      <c r="IZ15" t="s">
        <v>331</v>
      </c>
      <c r="JA15" t="s">
        <v>332</v>
      </c>
      <c r="JB15" t="s">
        <v>333</v>
      </c>
      <c r="JC15" t="s">
        <v>334</v>
      </c>
      <c r="JD15" t="s">
        <v>335</v>
      </c>
      <c r="JE15" t="s">
        <v>336</v>
      </c>
      <c r="JF15" t="s">
        <v>337</v>
      </c>
      <c r="JG15" t="s">
        <v>338</v>
      </c>
      <c r="JH15" t="s">
        <v>339</v>
      </c>
      <c r="JI15" t="s">
        <v>340</v>
      </c>
      <c r="JJ15" t="s">
        <v>341</v>
      </c>
      <c r="JK15" t="s">
        <v>342</v>
      </c>
      <c r="JL15" t="s">
        <v>343</v>
      </c>
      <c r="JM15" t="s">
        <v>344</v>
      </c>
      <c r="JN15" t="s">
        <v>345</v>
      </c>
      <c r="JO15" t="s">
        <v>346</v>
      </c>
      <c r="JP15" t="s">
        <v>347</v>
      </c>
      <c r="JQ15" t="s">
        <v>348</v>
      </c>
      <c r="JR15" t="s">
        <v>349</v>
      </c>
      <c r="JS15" t="s">
        <v>350</v>
      </c>
      <c r="JT15" t="s">
        <v>351</v>
      </c>
      <c r="JU15" t="s">
        <v>352</v>
      </c>
      <c r="JV15" t="s">
        <v>353</v>
      </c>
      <c r="JW15" t="s">
        <v>354</v>
      </c>
      <c r="JX15" t="s">
        <v>355</v>
      </c>
      <c r="JY15" t="s">
        <v>356</v>
      </c>
      <c r="JZ15" t="s">
        <v>357</v>
      </c>
      <c r="KA15" t="s">
        <v>358</v>
      </c>
      <c r="KB15" t="s">
        <v>359</v>
      </c>
      <c r="KC15" t="s">
        <v>360</v>
      </c>
      <c r="KD15" t="s">
        <v>361</v>
      </c>
      <c r="KE15" t="s">
        <v>362</v>
      </c>
      <c r="KF15" t="s">
        <v>363</v>
      </c>
      <c r="KG15" t="s">
        <v>364</v>
      </c>
      <c r="KH15" t="s">
        <v>365</v>
      </c>
      <c r="KI15" t="s">
        <v>366</v>
      </c>
      <c r="KJ15" t="s">
        <v>367</v>
      </c>
    </row>
    <row r="16" spans="1:296" x14ac:dyDescent="0.3">
      <c r="B16" t="s">
        <v>368</v>
      </c>
      <c r="C16" t="s">
        <v>368</v>
      </c>
      <c r="F16" t="s">
        <v>368</v>
      </c>
      <c r="H16" t="s">
        <v>368</v>
      </c>
      <c r="I16" t="s">
        <v>369</v>
      </c>
      <c r="J16" t="s">
        <v>370</v>
      </c>
      <c r="K16" t="s">
        <v>371</v>
      </c>
      <c r="L16" t="s">
        <v>372</v>
      </c>
      <c r="M16" t="s">
        <v>372</v>
      </c>
      <c r="N16" t="s">
        <v>201</v>
      </c>
      <c r="O16" t="s">
        <v>201</v>
      </c>
      <c r="P16" t="s">
        <v>369</v>
      </c>
      <c r="Q16" t="s">
        <v>369</v>
      </c>
      <c r="R16" t="s">
        <v>369</v>
      </c>
      <c r="S16" t="s">
        <v>369</v>
      </c>
      <c r="T16" t="s">
        <v>373</v>
      </c>
      <c r="U16" t="s">
        <v>374</v>
      </c>
      <c r="V16" t="s">
        <v>374</v>
      </c>
      <c r="W16" t="s">
        <v>375</v>
      </c>
      <c r="X16" t="s">
        <v>376</v>
      </c>
      <c r="Y16" t="s">
        <v>375</v>
      </c>
      <c r="Z16" t="s">
        <v>375</v>
      </c>
      <c r="AA16" t="s">
        <v>375</v>
      </c>
      <c r="AB16" t="s">
        <v>373</v>
      </c>
      <c r="AC16" t="s">
        <v>373</v>
      </c>
      <c r="AD16" t="s">
        <v>373</v>
      </c>
      <c r="AE16" t="s">
        <v>373</v>
      </c>
      <c r="AF16" t="s">
        <v>371</v>
      </c>
      <c r="AG16" t="s">
        <v>370</v>
      </c>
      <c r="AH16" t="s">
        <v>371</v>
      </c>
      <c r="AI16" t="s">
        <v>372</v>
      </c>
      <c r="AJ16" t="s">
        <v>372</v>
      </c>
      <c r="AK16" t="s">
        <v>377</v>
      </c>
      <c r="AL16" t="s">
        <v>378</v>
      </c>
      <c r="AM16" t="s">
        <v>370</v>
      </c>
      <c r="AN16" t="s">
        <v>379</v>
      </c>
      <c r="AO16" t="s">
        <v>379</v>
      </c>
      <c r="AP16" t="s">
        <v>380</v>
      </c>
      <c r="AQ16" t="s">
        <v>378</v>
      </c>
      <c r="AR16" t="s">
        <v>381</v>
      </c>
      <c r="AS16" t="s">
        <v>376</v>
      </c>
      <c r="AU16" t="s">
        <v>376</v>
      </c>
      <c r="AV16" t="s">
        <v>381</v>
      </c>
      <c r="BB16" t="s">
        <v>371</v>
      </c>
      <c r="BI16" t="s">
        <v>371</v>
      </c>
      <c r="BJ16" t="s">
        <v>371</v>
      </c>
      <c r="BK16" t="s">
        <v>371</v>
      </c>
      <c r="BL16" t="s">
        <v>382</v>
      </c>
      <c r="BZ16" t="s">
        <v>383</v>
      </c>
      <c r="CB16" t="s">
        <v>383</v>
      </c>
      <c r="CC16" t="s">
        <v>371</v>
      </c>
      <c r="CF16" t="s">
        <v>383</v>
      </c>
      <c r="CG16" t="s">
        <v>376</v>
      </c>
      <c r="CJ16" t="s">
        <v>384</v>
      </c>
      <c r="CK16" t="s">
        <v>384</v>
      </c>
      <c r="CM16" t="s">
        <v>385</v>
      </c>
      <c r="CN16" t="s">
        <v>383</v>
      </c>
      <c r="CP16" t="s">
        <v>383</v>
      </c>
      <c r="CQ16" t="s">
        <v>371</v>
      </c>
      <c r="CU16" t="s">
        <v>383</v>
      </c>
      <c r="CW16" t="s">
        <v>386</v>
      </c>
      <c r="CZ16" t="s">
        <v>383</v>
      </c>
      <c r="DA16" t="s">
        <v>383</v>
      </c>
      <c r="DC16" t="s">
        <v>383</v>
      </c>
      <c r="DE16" t="s">
        <v>383</v>
      </c>
      <c r="DG16" t="s">
        <v>371</v>
      </c>
      <c r="DH16" t="s">
        <v>371</v>
      </c>
      <c r="DJ16" t="s">
        <v>387</v>
      </c>
      <c r="DK16" t="s">
        <v>388</v>
      </c>
      <c r="DN16" t="s">
        <v>369</v>
      </c>
      <c r="DP16" t="s">
        <v>368</v>
      </c>
      <c r="DQ16" t="s">
        <v>372</v>
      </c>
      <c r="DR16" t="s">
        <v>372</v>
      </c>
      <c r="DS16" t="s">
        <v>379</v>
      </c>
      <c r="DT16" t="s">
        <v>379</v>
      </c>
      <c r="DU16" t="s">
        <v>372</v>
      </c>
      <c r="DV16" t="s">
        <v>379</v>
      </c>
      <c r="DW16" t="s">
        <v>381</v>
      </c>
      <c r="DX16" t="s">
        <v>375</v>
      </c>
      <c r="DY16" t="s">
        <v>375</v>
      </c>
      <c r="DZ16" t="s">
        <v>374</v>
      </c>
      <c r="EA16" t="s">
        <v>374</v>
      </c>
      <c r="EB16" t="s">
        <v>374</v>
      </c>
      <c r="EC16" t="s">
        <v>374</v>
      </c>
      <c r="ED16" t="s">
        <v>374</v>
      </c>
      <c r="EE16" t="s">
        <v>389</v>
      </c>
      <c r="EF16" t="s">
        <v>371</v>
      </c>
      <c r="EG16" t="s">
        <v>371</v>
      </c>
      <c r="EH16" t="s">
        <v>372</v>
      </c>
      <c r="EI16" t="s">
        <v>372</v>
      </c>
      <c r="EJ16" t="s">
        <v>372</v>
      </c>
      <c r="EK16" t="s">
        <v>379</v>
      </c>
      <c r="EL16" t="s">
        <v>372</v>
      </c>
      <c r="EM16" t="s">
        <v>379</v>
      </c>
      <c r="EN16" t="s">
        <v>375</v>
      </c>
      <c r="EO16" t="s">
        <v>375</v>
      </c>
      <c r="EP16" t="s">
        <v>374</v>
      </c>
      <c r="EQ16" t="s">
        <v>374</v>
      </c>
      <c r="ER16" t="s">
        <v>371</v>
      </c>
      <c r="EW16" t="s">
        <v>371</v>
      </c>
      <c r="EZ16" t="s">
        <v>374</v>
      </c>
      <c r="FA16" t="s">
        <v>374</v>
      </c>
      <c r="FB16" t="s">
        <v>374</v>
      </c>
      <c r="FC16" t="s">
        <v>374</v>
      </c>
      <c r="FD16" t="s">
        <v>374</v>
      </c>
      <c r="FE16" t="s">
        <v>371</v>
      </c>
      <c r="FF16" t="s">
        <v>371</v>
      </c>
      <c r="FG16" t="s">
        <v>371</v>
      </c>
      <c r="FH16" t="s">
        <v>368</v>
      </c>
      <c r="FK16" t="s">
        <v>390</v>
      </c>
      <c r="FL16" t="s">
        <v>390</v>
      </c>
      <c r="FN16" t="s">
        <v>368</v>
      </c>
      <c r="FO16" t="s">
        <v>391</v>
      </c>
      <c r="FQ16" t="s">
        <v>368</v>
      </c>
      <c r="FR16" t="s">
        <v>368</v>
      </c>
      <c r="FT16" t="s">
        <v>392</v>
      </c>
      <c r="FU16" t="s">
        <v>393</v>
      </c>
      <c r="FV16" t="s">
        <v>392</v>
      </c>
      <c r="FW16" t="s">
        <v>393</v>
      </c>
      <c r="FX16" t="s">
        <v>392</v>
      </c>
      <c r="FY16" t="s">
        <v>393</v>
      </c>
      <c r="FZ16" t="s">
        <v>376</v>
      </c>
      <c r="GA16" t="s">
        <v>376</v>
      </c>
      <c r="GB16" t="s">
        <v>372</v>
      </c>
      <c r="GC16" t="s">
        <v>394</v>
      </c>
      <c r="GD16" t="s">
        <v>372</v>
      </c>
      <c r="GG16" t="s">
        <v>395</v>
      </c>
      <c r="GJ16" t="s">
        <v>379</v>
      </c>
      <c r="GK16" t="s">
        <v>396</v>
      </c>
      <c r="GL16" t="s">
        <v>379</v>
      </c>
      <c r="GQ16" t="s">
        <v>397</v>
      </c>
      <c r="GR16" t="s">
        <v>397</v>
      </c>
      <c r="HE16" t="s">
        <v>397</v>
      </c>
      <c r="HF16" t="s">
        <v>397</v>
      </c>
      <c r="HG16" t="s">
        <v>398</v>
      </c>
      <c r="HH16" t="s">
        <v>398</v>
      </c>
      <c r="HI16" t="s">
        <v>374</v>
      </c>
      <c r="HJ16" t="s">
        <v>374</v>
      </c>
      <c r="HK16" t="s">
        <v>376</v>
      </c>
      <c r="HL16" t="s">
        <v>374</v>
      </c>
      <c r="HM16" t="s">
        <v>379</v>
      </c>
      <c r="HN16" t="s">
        <v>376</v>
      </c>
      <c r="HO16" t="s">
        <v>376</v>
      </c>
      <c r="HQ16" t="s">
        <v>397</v>
      </c>
      <c r="HR16" t="s">
        <v>397</v>
      </c>
      <c r="HS16" t="s">
        <v>397</v>
      </c>
      <c r="HT16" t="s">
        <v>397</v>
      </c>
      <c r="HU16" t="s">
        <v>397</v>
      </c>
      <c r="HV16" t="s">
        <v>397</v>
      </c>
      <c r="HW16" t="s">
        <v>397</v>
      </c>
      <c r="HX16" t="s">
        <v>399</v>
      </c>
      <c r="HY16" t="s">
        <v>399</v>
      </c>
      <c r="HZ16" t="s">
        <v>399</v>
      </c>
      <c r="IA16" t="s">
        <v>400</v>
      </c>
      <c r="IB16" t="s">
        <v>397</v>
      </c>
      <c r="IC16" t="s">
        <v>397</v>
      </c>
      <c r="ID16" t="s">
        <v>397</v>
      </c>
      <c r="IE16" t="s">
        <v>397</v>
      </c>
      <c r="IF16" t="s">
        <v>397</v>
      </c>
      <c r="IG16" t="s">
        <v>397</v>
      </c>
      <c r="IH16" t="s">
        <v>397</v>
      </c>
      <c r="II16" t="s">
        <v>397</v>
      </c>
      <c r="IJ16" t="s">
        <v>397</v>
      </c>
      <c r="IK16" t="s">
        <v>397</v>
      </c>
      <c r="IL16" t="s">
        <v>397</v>
      </c>
      <c r="IM16" t="s">
        <v>397</v>
      </c>
      <c r="IT16" t="s">
        <v>397</v>
      </c>
      <c r="IU16" t="s">
        <v>376</v>
      </c>
      <c r="IV16" t="s">
        <v>376</v>
      </c>
      <c r="IW16" t="s">
        <v>392</v>
      </c>
      <c r="IX16" t="s">
        <v>393</v>
      </c>
      <c r="IY16" t="s">
        <v>392</v>
      </c>
      <c r="JC16" t="s">
        <v>393</v>
      </c>
      <c r="JG16" t="s">
        <v>372</v>
      </c>
      <c r="JH16" t="s">
        <v>372</v>
      </c>
      <c r="JI16" t="s">
        <v>379</v>
      </c>
      <c r="JJ16" t="s">
        <v>379</v>
      </c>
      <c r="JK16" t="s">
        <v>401</v>
      </c>
      <c r="JL16" t="s">
        <v>401</v>
      </c>
      <c r="JM16" t="s">
        <v>397</v>
      </c>
      <c r="JN16" t="s">
        <v>397</v>
      </c>
      <c r="JO16" t="s">
        <v>397</v>
      </c>
      <c r="JP16" t="s">
        <v>397</v>
      </c>
      <c r="JQ16" t="s">
        <v>397</v>
      </c>
      <c r="JR16" t="s">
        <v>397</v>
      </c>
      <c r="JS16" t="s">
        <v>374</v>
      </c>
      <c r="JT16" t="s">
        <v>397</v>
      </c>
      <c r="JV16" t="s">
        <v>381</v>
      </c>
      <c r="JW16" t="s">
        <v>381</v>
      </c>
      <c r="JX16" t="s">
        <v>374</v>
      </c>
      <c r="JY16" t="s">
        <v>374</v>
      </c>
      <c r="JZ16" t="s">
        <v>374</v>
      </c>
      <c r="KA16" t="s">
        <v>374</v>
      </c>
      <c r="KB16" t="s">
        <v>374</v>
      </c>
      <c r="KC16" t="s">
        <v>376</v>
      </c>
      <c r="KD16" t="s">
        <v>376</v>
      </c>
      <c r="KE16" t="s">
        <v>376</v>
      </c>
      <c r="KF16" t="s">
        <v>374</v>
      </c>
      <c r="KG16" t="s">
        <v>372</v>
      </c>
      <c r="KH16" t="s">
        <v>379</v>
      </c>
      <c r="KI16" t="s">
        <v>376</v>
      </c>
      <c r="KJ16" t="s">
        <v>376</v>
      </c>
    </row>
    <row r="17" spans="1:296" x14ac:dyDescent="0.3">
      <c r="A17">
        <v>1</v>
      </c>
      <c r="B17">
        <v>1785255121.5999999</v>
      </c>
      <c r="C17">
        <v>0</v>
      </c>
      <c r="D17" t="s">
        <v>625</v>
      </c>
      <c r="E17" t="s">
        <v>626</v>
      </c>
      <c r="F17">
        <v>15</v>
      </c>
      <c r="H17">
        <v>1785255113.849999</v>
      </c>
      <c r="I17">
        <f t="shared" ref="I17:I29" si="0">(J17)/1000</f>
        <v>1.766062762302249E-3</v>
      </c>
      <c r="J17">
        <f t="shared" ref="J17:J29" si="1">IF(DO17, AM17, AG17)</f>
        <v>1.7660627623022489</v>
      </c>
      <c r="K17">
        <f t="shared" ref="K17:K29" si="2">IF(DO17, AH17, AF17)</f>
        <v>25.424087721926764</v>
      </c>
      <c r="L17">
        <f t="shared" ref="L17:L29" si="3">DQ17 - IF(AT17&gt;1, K17*DK17*100/(AV17), 0)</f>
        <v>388.66809999999998</v>
      </c>
      <c r="M17">
        <f t="shared" ref="M17:M29" si="4">((S17-I17/2)*L17-K17)/(S17+I17/2)</f>
        <v>106.56402780638466</v>
      </c>
      <c r="N17">
        <f t="shared" ref="N17:N29" si="5">M17*(DX17+DY17)/1000</f>
        <v>10.380690695575311</v>
      </c>
      <c r="O17">
        <f t="shared" ref="O17:O29" si="6">(DQ17 - IF(AT17&gt;1, K17*DK17*100/(AV17), 0))*(DX17+DY17)/1000</f>
        <v>37.861212759970435</v>
      </c>
      <c r="P17">
        <f t="shared" ref="P17:P29" si="7">2/((1/R17-1/Q17)+SIGN(R17)*SQRT((1/R17-1/Q17)*(1/R17-1/Q17) + 4*DL17/((DL17+1)*(DL17+1))*(2*1/R17*1/Q17-1/Q17*1/Q17)))</f>
        <v>0.15030626011525122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2.8842009077350839</v>
      </c>
      <c r="R17">
        <f t="shared" ref="R17:R29" si="9">I17*(1000-(1000*0.61365*EXP(17.502*V17/(240.97+V17))/(DX17+DY17)+DS17)/2)/(1000*0.61365*EXP(17.502*V17/(240.97+V17))/(DX17+DY17)-DS17)</f>
        <v>0.14608633817537311</v>
      </c>
      <c r="S17">
        <f t="shared" ref="S17:S29" si="10">1/((DL17+1)/(P17/1.6)+1/(Q17/1.37)) + DL17/((DL17+1)/(P17/1.6) + DL17/(Q17/1.37))</f>
        <v>9.167323615940115E-2</v>
      </c>
      <c r="T17">
        <f t="shared" ref="T17:T29" si="11">(DG17*DJ17)</f>
        <v>319.77767589054417</v>
      </c>
      <c r="U17">
        <f t="shared" ref="U17:U29" si="12">(DZ17+(T17+2*0.95*0.0000000567*(((DZ17+$B$7)+273)^4-(DZ17+273)^4)-44100*I17)/(1.84*29.3*Q17+8*0.95*0.0000000567*(DZ17+273)^3))</f>
        <v>26.170170254623823</v>
      </c>
      <c r="V17">
        <f t="shared" ref="V17:V29" si="13">($C$7*EA17+$D$7*EB17+$E$7*U17)</f>
        <v>24.999916666666671</v>
      </c>
      <c r="W17">
        <f t="shared" ref="W17:W29" si="14">0.61365*EXP(17.502*V17/(240.97+V17))</f>
        <v>3.1796617925552888</v>
      </c>
      <c r="X17">
        <f t="shared" ref="X17:X29" si="15">(Y17/Z17*100)</f>
        <v>65.029775691430785</v>
      </c>
      <c r="Y17">
        <f t="shared" ref="Y17:Y29" si="16">DS17*(DX17+DY17)/1000</f>
        <v>2.0335344735371055</v>
      </c>
      <c r="Z17">
        <f t="shared" ref="Z17:Z29" si="17">0.61365*EXP(17.502*DZ17/(240.97+DZ17))</f>
        <v>3.1270820972631337</v>
      </c>
      <c r="AA17">
        <f t="shared" ref="AA17:AA29" si="18">(W17-DS17*(DX17+DY17)/1000)</f>
        <v>1.1461273190181833</v>
      </c>
      <c r="AB17">
        <f t="shared" ref="AB17:AB29" si="19">(-I17*44100)</f>
        <v>-77.883367817529177</v>
      </c>
      <c r="AC17">
        <f t="shared" ref="AC17:AC29" si="20">2*29.3*Q17*0.92*(DZ17-V17)</f>
        <v>-43.443200260593372</v>
      </c>
      <c r="AD17">
        <f t="shared" ref="AD17:AD29" si="21">2*0.95*0.0000000567*(((DZ17+$B$7)+273)^4-(V17+273)^4)</f>
        <v>-3.1815967143918527</v>
      </c>
      <c r="AE17">
        <f t="shared" ref="AE17:AE29" si="22">T17+AD17+AB17+AC17</f>
        <v>195.2695110980298</v>
      </c>
      <c r="AF17">
        <f t="shared" ref="AF17:AF29" si="23">DW17*AT17*(DR17-DQ17*(1000-AT17*DT17)/(1000-AT17*DS17))/(100*DK17)</f>
        <v>25.424087721926764</v>
      </c>
      <c r="AG17">
        <f t="shared" ref="AG17:AG29" si="24">1000*DW17*AT17*(DS17-DT17)/(100*DK17*(1000-AT17*DS17))</f>
        <v>1.7660627623022489</v>
      </c>
      <c r="AH17">
        <f t="shared" ref="AH17:AH29" si="25">(AI17 - AJ17 - DX17*1000/(8.314*(DZ17+273.15)) * AL17/DW17 * AK17) * DW17/(100*DK17) * (1000 - DT17)/1000</f>
        <v>26.007452641163955</v>
      </c>
      <c r="AI17">
        <v>428.07510050581197</v>
      </c>
      <c r="AJ17">
        <v>396.67217575757581</v>
      </c>
      <c r="AK17">
        <v>-7.6122874731232873E-2</v>
      </c>
      <c r="AL17">
        <v>67.089149893623869</v>
      </c>
      <c r="AM17">
        <f t="shared" ref="AM17:AM29" si="26">(AO17 - AN17 + DX17*1000/(8.314*(DZ17+273.15)) * AQ17/DW17 * AP17) * DW17/(100*DK17) * 1000/(1000 - AO17)</f>
        <v>1.7540310234533738</v>
      </c>
      <c r="AN17">
        <v>18.78754934520645</v>
      </c>
      <c r="AO17">
        <v>20.851495757575751</v>
      </c>
      <c r="AP17">
        <v>-5.1340089159638744E-4</v>
      </c>
      <c r="AQ17">
        <v>78.240356180544865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51914.943550281321</v>
      </c>
      <c r="AW17" t="s">
        <v>627</v>
      </c>
      <c r="AX17">
        <v>13256.9</v>
      </c>
      <c r="AY17">
        <v>592.51470588235293</v>
      </c>
      <c r="AZ17">
        <v>2263.5100000000002</v>
      </c>
      <c r="BA17">
        <f t="shared" ref="BA17:BA29" si="30">1-AY17/AZ17</f>
        <v>0.73823190271642147</v>
      </c>
      <c r="BB17">
        <v>-2.8506644766585501</v>
      </c>
      <c r="BC17" t="s">
        <v>628</v>
      </c>
      <c r="BD17">
        <v>13228.5</v>
      </c>
      <c r="BE17">
        <v>906.36958823529415</v>
      </c>
      <c r="BF17">
        <v>1058.33</v>
      </c>
      <c r="BG17">
        <f t="shared" ref="BG17:BG29" si="31">1-BE17/BF17</f>
        <v>0.14358509327403157</v>
      </c>
      <c r="BH17">
        <v>0.5</v>
      </c>
      <c r="BI17">
        <f t="shared" ref="BI17:BI29" si="32">DH17</f>
        <v>1680.2957798396601</v>
      </c>
      <c r="BJ17">
        <f t="shared" ref="BJ17:BJ29" si="33">K17</f>
        <v>25.424087721926764</v>
      </c>
      <c r="BK17">
        <f t="shared" ref="BK17:BK29" si="34">BG17*BH17*BI17</f>
        <v>120.63271313811961</v>
      </c>
      <c r="BL17">
        <f t="shared" ref="BL17:BL29" si="35">(BJ17-BB17)/BI17</f>
        <v>1.6827247046519032E-2</v>
      </c>
      <c r="BM17">
        <f t="shared" ref="BM17:BM29" si="36">(AZ17-BF17)/BF17</f>
        <v>1.1387563425396618</v>
      </c>
      <c r="BN17">
        <f t="shared" ref="BN17:BN29" si="37">AY17/(BA17+AY17/BF17)</f>
        <v>456.4511465954987</v>
      </c>
      <c r="BO17" t="s">
        <v>402</v>
      </c>
      <c r="BP17">
        <v>0</v>
      </c>
      <c r="BQ17">
        <f t="shared" ref="BQ17:BQ29" si="38">IF(BP17&lt;&gt;0, BP17, BN17)</f>
        <v>456.4511465954987</v>
      </c>
      <c r="BR17">
        <f t="shared" ref="BR17:BR29" si="39">1-BQ17/BF17</f>
        <v>0.56870621961439372</v>
      </c>
      <c r="BS17">
        <f t="shared" ref="BS17:BS29" si="40">(BF17-BE17)/(BF17-BQ17)</f>
        <v>0.25247674163188888</v>
      </c>
      <c r="BT17">
        <f t="shared" ref="BT17:BT29" si="41">(AZ17-BF17)/(AZ17-BQ17)</f>
        <v>0.66692902543237009</v>
      </c>
      <c r="BU17">
        <f t="shared" ref="BU17:BU29" si="42">(BF17-BE17)/(BF17-AY17)</f>
        <v>0.32622460808752757</v>
      </c>
      <c r="BV17">
        <f t="shared" ref="BV17:BV29" si="43">(AZ17-BF17)/(AZ17-AY17)</f>
        <v>0.72123482588045451</v>
      </c>
      <c r="BW17">
        <f t="shared" ref="BW17:BW29" si="44">(BS17*BQ17/BE17)</f>
        <v>0.12714824030112307</v>
      </c>
      <c r="BX17">
        <f t="shared" ref="BX17:BX29" si="45">(1-BW17)</f>
        <v>0.87285175969887696</v>
      </c>
      <c r="DG17">
        <f t="shared" ref="DG17:DG29" si="46">$B$11*EF17+$C$11*EG17+$F$11*ER17*(1-EU17)</f>
        <v>1999.9953333333331</v>
      </c>
      <c r="DH17">
        <f t="shared" ref="DH17:DH29" si="47">DG17*DI17</f>
        <v>1680.2957798396601</v>
      </c>
      <c r="DI17">
        <f t="shared" ref="DI17:DI29" si="48">($B$11*$D$9+$C$11*$D$9+$F$11*((FE17+EW17)/MAX(FE17+EW17+FF17, 0.1)*$I$9+FF17/MAX(FE17+EW17+FF17, 0.1)*$J$9))/($B$11+$C$11+$F$11)</f>
        <v>0.84014985026948075</v>
      </c>
      <c r="DJ17">
        <f t="shared" ref="DJ17:DJ29" si="49">($B$11*$K$9+$C$11*$K$9+$F$11*((FE17+EW17)/MAX(FE17+EW17+FF17, 0.1)*$P$9+FF17/MAX(FE17+EW17+FF17, 0.1)*$Q$9))/($B$11+$C$11+$F$11)</f>
        <v>0.15988921102009782</v>
      </c>
      <c r="DK17">
        <v>6</v>
      </c>
      <c r="DL17">
        <v>0.5</v>
      </c>
      <c r="DM17" t="s">
        <v>403</v>
      </c>
      <c r="DN17">
        <v>2</v>
      </c>
      <c r="DO17" t="b">
        <v>0</v>
      </c>
      <c r="DP17">
        <v>1785255113.849999</v>
      </c>
      <c r="DQ17">
        <v>388.66809999999998</v>
      </c>
      <c r="DR17">
        <v>419.99826666666672</v>
      </c>
      <c r="DS17">
        <v>20.875453333333329</v>
      </c>
      <c r="DT17">
        <v>18.80058</v>
      </c>
      <c r="DU17">
        <v>401.89926666666668</v>
      </c>
      <c r="DV17">
        <v>22.29325333333334</v>
      </c>
      <c r="DW17">
        <v>500.03883333333329</v>
      </c>
      <c r="DX17">
        <v>97.364229999999978</v>
      </c>
      <c r="DY17">
        <v>4.8479609999999992E-2</v>
      </c>
      <c r="DZ17">
        <v>24.720526666666661</v>
      </c>
      <c r="EA17">
        <v>24.999916666666671</v>
      </c>
      <c r="EB17">
        <v>999.9000000000002</v>
      </c>
      <c r="EC17">
        <v>0</v>
      </c>
      <c r="ED17">
        <v>0</v>
      </c>
      <c r="EE17">
        <v>10007.5</v>
      </c>
      <c r="EF17">
        <v>0</v>
      </c>
      <c r="EG17">
        <v>257.02866666666671</v>
      </c>
      <c r="EH17">
        <v>-31.330083333333331</v>
      </c>
      <c r="EI17">
        <v>396.95480000000009</v>
      </c>
      <c r="EJ17">
        <v>428.04573333333332</v>
      </c>
      <c r="EK17">
        <v>2.0748756666666659</v>
      </c>
      <c r="EL17">
        <v>419.99826666666672</v>
      </c>
      <c r="EM17">
        <v>18.80058</v>
      </c>
      <c r="EN17">
        <v>2.032522333333334</v>
      </c>
      <c r="EO17">
        <v>1.8305043333333331</v>
      </c>
      <c r="EP17">
        <v>17.699986666666671</v>
      </c>
      <c r="EQ17">
        <v>16.049723333333329</v>
      </c>
      <c r="ER17">
        <v>1999.9953333333331</v>
      </c>
      <c r="ES17">
        <v>0.99499199999999999</v>
      </c>
      <c r="ET17">
        <v>5.0079899999999986E-3</v>
      </c>
      <c r="EU17">
        <v>0</v>
      </c>
      <c r="EV17">
        <v>906.38993333333315</v>
      </c>
      <c r="EW17">
        <v>5.0010700000000003</v>
      </c>
      <c r="EX17">
        <v>19929.103333333329</v>
      </c>
      <c r="EY17">
        <v>18241.55</v>
      </c>
      <c r="EZ17">
        <v>38.599799999999988</v>
      </c>
      <c r="FA17">
        <v>39.803733333333319</v>
      </c>
      <c r="FB17">
        <v>39.178733333333319</v>
      </c>
      <c r="FC17">
        <v>39.311999999999991</v>
      </c>
      <c r="FD17">
        <v>39.733199999999997</v>
      </c>
      <c r="FE17">
        <v>1985.005333333334</v>
      </c>
      <c r="FF17">
        <v>9.990000000000002</v>
      </c>
      <c r="FG17">
        <v>0</v>
      </c>
      <c r="FH17">
        <v>1702.900000095367</v>
      </c>
      <c r="FI17">
        <v>0</v>
      </c>
      <c r="FJ17">
        <v>906.36958823529415</v>
      </c>
      <c r="FK17">
        <v>-1.3610293986057931</v>
      </c>
      <c r="FL17">
        <v>-53.161764652846209</v>
      </c>
      <c r="FM17">
        <v>19928.147058823532</v>
      </c>
      <c r="FN17">
        <v>10</v>
      </c>
      <c r="FO17">
        <v>1785255006</v>
      </c>
      <c r="FP17" t="s">
        <v>629</v>
      </c>
      <c r="FQ17">
        <v>1785255005.5</v>
      </c>
      <c r="FR17">
        <v>1785255006</v>
      </c>
      <c r="FS17">
        <v>17</v>
      </c>
      <c r="FT17">
        <v>-4.2000000000000003E-2</v>
      </c>
      <c r="FU17">
        <v>1.4999999999999999E-2</v>
      </c>
      <c r="FV17">
        <v>-13.351000000000001</v>
      </c>
      <c r="FW17">
        <v>-1.466</v>
      </c>
      <c r="FX17">
        <v>420</v>
      </c>
      <c r="FY17">
        <v>19</v>
      </c>
      <c r="FZ17">
        <v>0.26</v>
      </c>
      <c r="GA17">
        <v>0.16</v>
      </c>
      <c r="GB17">
        <v>388.66809999999998</v>
      </c>
      <c r="GC17">
        <v>-1.4484093437159351</v>
      </c>
      <c r="GD17">
        <v>0.1172661786990061</v>
      </c>
      <c r="GE17">
        <v>-1</v>
      </c>
      <c r="GF17">
        <v>906.4396764705881</v>
      </c>
      <c r="GG17">
        <v>-1.0421848705047501</v>
      </c>
      <c r="GH17">
        <v>0.22774259471247391</v>
      </c>
      <c r="GI17">
        <v>1</v>
      </c>
      <c r="GJ17">
        <v>2.061966</v>
      </c>
      <c r="GK17">
        <v>0.15503347091932179</v>
      </c>
      <c r="GL17">
        <v>2.5219071136740989E-2</v>
      </c>
      <c r="GM17">
        <v>1</v>
      </c>
      <c r="GN17">
        <v>2</v>
      </c>
      <c r="GO17">
        <v>2</v>
      </c>
      <c r="GP17" t="s">
        <v>404</v>
      </c>
      <c r="GQ17">
        <v>3.1311800000000001</v>
      </c>
      <c r="GR17">
        <v>2.7249500000000002</v>
      </c>
      <c r="GS17">
        <v>8.7726399999999996E-2</v>
      </c>
      <c r="GT17">
        <v>9.1446700000000006E-2</v>
      </c>
      <c r="GU17">
        <v>0.106379</v>
      </c>
      <c r="GV17">
        <v>9.4574400000000003E-2</v>
      </c>
      <c r="GW17">
        <v>22927.5</v>
      </c>
      <c r="GX17">
        <v>30446.7</v>
      </c>
      <c r="GY17">
        <v>27249.9</v>
      </c>
      <c r="GZ17">
        <v>34441.4</v>
      </c>
      <c r="HA17">
        <v>35644.699999999997</v>
      </c>
      <c r="HB17">
        <v>38845.800000000003</v>
      </c>
      <c r="HC17">
        <v>40228.800000000003</v>
      </c>
      <c r="HD17">
        <v>42986.5</v>
      </c>
      <c r="HE17">
        <v>1.9944</v>
      </c>
      <c r="HF17">
        <v>1.8216000000000001</v>
      </c>
      <c r="HG17">
        <v>-1.07288E-2</v>
      </c>
      <c r="HH17">
        <v>0</v>
      </c>
      <c r="HI17">
        <v>25.165099999999999</v>
      </c>
      <c r="HJ17">
        <v>999.9</v>
      </c>
      <c r="HK17">
        <v>67.5</v>
      </c>
      <c r="HL17">
        <v>33.5</v>
      </c>
      <c r="HM17">
        <v>36.018300000000004</v>
      </c>
      <c r="HN17">
        <v>59.7239</v>
      </c>
      <c r="HO17">
        <v>4.7916600000000003</v>
      </c>
      <c r="HP17">
        <v>1</v>
      </c>
      <c r="HQ17">
        <v>0.31707299999999999</v>
      </c>
      <c r="HR17">
        <v>3.9090400000000001</v>
      </c>
      <c r="HS17">
        <v>20.195900000000002</v>
      </c>
      <c r="HT17">
        <v>5.2112999999999996</v>
      </c>
      <c r="HU17">
        <v>11.908099999999999</v>
      </c>
      <c r="HV17">
        <v>4.9855999999999998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1.8674299999999999</v>
      </c>
      <c r="IC17">
        <v>1.8629800000000001</v>
      </c>
      <c r="ID17">
        <v>1.86249</v>
      </c>
      <c r="IE17">
        <v>1.86188</v>
      </c>
      <c r="IF17">
        <v>1.8620300000000001</v>
      </c>
      <c r="IG17">
        <v>1.8626400000000001</v>
      </c>
      <c r="IH17">
        <v>1.8635600000000001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405</v>
      </c>
      <c r="IO17" t="s">
        <v>406</v>
      </c>
      <c r="IP17" t="s">
        <v>407</v>
      </c>
      <c r="IQ17" t="s">
        <v>408</v>
      </c>
      <c r="IR17" t="s">
        <v>408</v>
      </c>
      <c r="IS17" t="s">
        <v>407</v>
      </c>
      <c r="IT17">
        <v>0</v>
      </c>
      <c r="IU17">
        <v>100</v>
      </c>
      <c r="IV17">
        <v>100</v>
      </c>
      <c r="IW17">
        <v>-13.23</v>
      </c>
      <c r="IX17">
        <v>-1.4184000000000001</v>
      </c>
      <c r="IY17">
        <v>-11.3355874202125</v>
      </c>
      <c r="IZ17">
        <v>-5.6215304933332991E-3</v>
      </c>
      <c r="JA17">
        <v>2.3979931213773931E-6</v>
      </c>
      <c r="JB17">
        <v>-3.6297174575716598E-10</v>
      </c>
      <c r="JC17">
        <v>-1.763612467041147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1.9</v>
      </c>
      <c r="JM17">
        <v>1.1035200000000001</v>
      </c>
      <c r="JN17">
        <v>2.50488</v>
      </c>
      <c r="JO17">
        <v>1.50024</v>
      </c>
      <c r="JP17">
        <v>2.2766099999999998</v>
      </c>
      <c r="JQ17">
        <v>1.4477500000000001</v>
      </c>
      <c r="JR17">
        <v>2.3156699999999999</v>
      </c>
      <c r="JS17">
        <v>37.795299999999997</v>
      </c>
      <c r="JT17">
        <v>23.903600000000001</v>
      </c>
      <c r="JU17">
        <v>18</v>
      </c>
      <c r="JV17">
        <v>539.31700000000001</v>
      </c>
      <c r="JW17">
        <v>442.76299999999998</v>
      </c>
      <c r="JX17">
        <v>21.322099999999999</v>
      </c>
      <c r="JY17">
        <v>31.1159</v>
      </c>
      <c r="JZ17">
        <v>29.9999</v>
      </c>
      <c r="KA17">
        <v>31.078900000000001</v>
      </c>
      <c r="KB17">
        <v>31.072700000000001</v>
      </c>
      <c r="KC17">
        <v>22.0623</v>
      </c>
      <c r="KD17">
        <v>47.6736</v>
      </c>
      <c r="KE17">
        <v>0</v>
      </c>
      <c r="KF17">
        <v>21.325700000000001</v>
      </c>
      <c r="KG17">
        <v>420</v>
      </c>
      <c r="KH17">
        <v>18.820900000000002</v>
      </c>
      <c r="KI17">
        <v>100.554</v>
      </c>
      <c r="KJ17">
        <v>97.4208</v>
      </c>
    </row>
    <row r="18" spans="1:296" x14ac:dyDescent="0.3">
      <c r="A18">
        <v>2</v>
      </c>
      <c r="B18">
        <v>1785255303.0999999</v>
      </c>
      <c r="C18">
        <v>181.5</v>
      </c>
      <c r="D18" t="s">
        <v>630</v>
      </c>
      <c r="E18" t="s">
        <v>631</v>
      </c>
      <c r="F18">
        <v>15</v>
      </c>
      <c r="H18">
        <v>1785255295.099999</v>
      </c>
      <c r="I18">
        <f t="shared" si="0"/>
        <v>1.8663995304725987E-3</v>
      </c>
      <c r="J18">
        <f t="shared" si="1"/>
        <v>1.8663995304725987</v>
      </c>
      <c r="K18">
        <f t="shared" si="2"/>
        <v>27.163127574877198</v>
      </c>
      <c r="L18">
        <f t="shared" si="3"/>
        <v>386.54303225806461</v>
      </c>
      <c r="M18">
        <f t="shared" si="4"/>
        <v>104.70139591613034</v>
      </c>
      <c r="N18">
        <f t="shared" si="5"/>
        <v>10.199931378314885</v>
      </c>
      <c r="O18">
        <f t="shared" si="6"/>
        <v>37.656731978590557</v>
      </c>
      <c r="P18">
        <f t="shared" si="7"/>
        <v>0.16096236485531784</v>
      </c>
      <c r="Q18">
        <f t="shared" si="8"/>
        <v>2.8827616929580975</v>
      </c>
      <c r="R18">
        <f t="shared" si="9"/>
        <v>0.15613089774434324</v>
      </c>
      <c r="S18">
        <f t="shared" si="10"/>
        <v>9.8003819160388833E-2</v>
      </c>
      <c r="T18">
        <f t="shared" si="11"/>
        <v>271.90791591969679</v>
      </c>
      <c r="U18">
        <f t="shared" si="12"/>
        <v>25.957037580805423</v>
      </c>
      <c r="V18">
        <f t="shared" si="13"/>
        <v>25.004458064516129</v>
      </c>
      <c r="W18">
        <f t="shared" si="14"/>
        <v>3.1805228011356488</v>
      </c>
      <c r="X18">
        <f t="shared" si="15"/>
        <v>65.078099972472941</v>
      </c>
      <c r="Y18">
        <f t="shared" si="16"/>
        <v>2.0472127265833149</v>
      </c>
      <c r="Z18">
        <f t="shared" si="17"/>
        <v>3.1457782686483702</v>
      </c>
      <c r="AA18">
        <f t="shared" si="18"/>
        <v>1.1333100745523339</v>
      </c>
      <c r="AB18">
        <f t="shared" si="19"/>
        <v>-82.308219293841603</v>
      </c>
      <c r="AC18">
        <f t="shared" si="20"/>
        <v>-28.6149920896734</v>
      </c>
      <c r="AD18">
        <f t="shared" si="21"/>
        <v>-2.0977893230544424</v>
      </c>
      <c r="AE18">
        <f t="shared" si="22"/>
        <v>158.88691521312737</v>
      </c>
      <c r="AF18">
        <f t="shared" si="23"/>
        <v>27.163127574877198</v>
      </c>
      <c r="AG18">
        <f t="shared" si="24"/>
        <v>1.8663995304725987</v>
      </c>
      <c r="AH18">
        <f t="shared" si="25"/>
        <v>27.205215873654542</v>
      </c>
      <c r="AI18">
        <v>428.05726296934671</v>
      </c>
      <c r="AJ18">
        <v>394.76593333333329</v>
      </c>
      <c r="AK18">
        <v>3.4415992742808238E-3</v>
      </c>
      <c r="AL18">
        <v>67.086760839110099</v>
      </c>
      <c r="AM18">
        <f t="shared" si="26"/>
        <v>1.8094872613713548</v>
      </c>
      <c r="AN18">
        <v>18.867135473150451</v>
      </c>
      <c r="AO18">
        <v>20.995325454545451</v>
      </c>
      <c r="AP18">
        <v>-3.8230995231308012E-4</v>
      </c>
      <c r="AQ18">
        <v>78.235208782431371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51856.50800127157</v>
      </c>
      <c r="AW18" t="s">
        <v>627</v>
      </c>
      <c r="AX18">
        <v>13256.9</v>
      </c>
      <c r="AY18">
        <v>592.51470588235293</v>
      </c>
      <c r="AZ18">
        <v>2263.5100000000002</v>
      </c>
      <c r="BA18">
        <f t="shared" si="30"/>
        <v>0.73823190271642147</v>
      </c>
      <c r="BB18">
        <v>-2.8506644766585501</v>
      </c>
      <c r="BC18" t="s">
        <v>632</v>
      </c>
      <c r="BD18">
        <v>13216.6</v>
      </c>
      <c r="BE18">
        <v>898.01994117647064</v>
      </c>
      <c r="BF18">
        <v>1092.74</v>
      </c>
      <c r="BG18">
        <f t="shared" si="31"/>
        <v>0.17819431779154182</v>
      </c>
      <c r="BH18">
        <v>0.5</v>
      </c>
      <c r="BI18">
        <f t="shared" si="32"/>
        <v>1428.3002223886108</v>
      </c>
      <c r="BJ18">
        <f t="shared" si="33"/>
        <v>27.163127574877198</v>
      </c>
      <c r="BK18">
        <f t="shared" si="34"/>
        <v>127.25749186502298</v>
      </c>
      <c r="BL18">
        <f t="shared" si="35"/>
        <v>2.1013643757152353E-2</v>
      </c>
      <c r="BM18">
        <f t="shared" si="36"/>
        <v>1.0714076541537787</v>
      </c>
      <c r="BN18">
        <f t="shared" si="37"/>
        <v>462.73569431622997</v>
      </c>
      <c r="BO18" t="s">
        <v>402</v>
      </c>
      <c r="BP18">
        <v>0</v>
      </c>
      <c r="BQ18">
        <f t="shared" si="38"/>
        <v>462.73569431622997</v>
      </c>
      <c r="BR18">
        <f t="shared" si="39"/>
        <v>0.57653632674174093</v>
      </c>
      <c r="BS18">
        <f t="shared" si="40"/>
        <v>0.30907734608605814</v>
      </c>
      <c r="BT18">
        <f t="shared" si="41"/>
        <v>0.65014810368223697</v>
      </c>
      <c r="BU18">
        <f t="shared" si="42"/>
        <v>0.38926471954401715</v>
      </c>
      <c r="BV18">
        <f t="shared" si="43"/>
        <v>0.70064230828262974</v>
      </c>
      <c r="BW18">
        <f t="shared" si="44"/>
        <v>0.15926274437868482</v>
      </c>
      <c r="BX18">
        <f t="shared" si="45"/>
        <v>0.84073725562131518</v>
      </c>
      <c r="DG18">
        <f t="shared" si="46"/>
        <v>1699.9941935483871</v>
      </c>
      <c r="DH18">
        <f t="shared" si="47"/>
        <v>1428.3002223886108</v>
      </c>
      <c r="DI18">
        <f t="shared" si="48"/>
        <v>0.84017947108826818</v>
      </c>
      <c r="DJ18">
        <f t="shared" si="49"/>
        <v>0.15994637920035781</v>
      </c>
      <c r="DK18">
        <v>6</v>
      </c>
      <c r="DL18">
        <v>0.5</v>
      </c>
      <c r="DM18" t="s">
        <v>403</v>
      </c>
      <c r="DN18">
        <v>2</v>
      </c>
      <c r="DO18" t="b">
        <v>0</v>
      </c>
      <c r="DP18">
        <v>1785255295.099999</v>
      </c>
      <c r="DQ18">
        <v>386.54303225806461</v>
      </c>
      <c r="DR18">
        <v>420.00519354838713</v>
      </c>
      <c r="DS18">
        <v>21.014458064516131</v>
      </c>
      <c r="DT18">
        <v>18.821799999999989</v>
      </c>
      <c r="DU18">
        <v>399.7404516129032</v>
      </c>
      <c r="DV18">
        <v>22.422551612903231</v>
      </c>
      <c r="DW18">
        <v>499.98990322580647</v>
      </c>
      <c r="DX18">
        <v>97.370774193548385</v>
      </c>
      <c r="DY18">
        <v>4.8474987096774197E-2</v>
      </c>
      <c r="DZ18">
        <v>24.820338709677429</v>
      </c>
      <c r="EA18">
        <v>25.004458064516129</v>
      </c>
      <c r="EB18">
        <v>999.90000000000032</v>
      </c>
      <c r="EC18">
        <v>0</v>
      </c>
      <c r="ED18">
        <v>0</v>
      </c>
      <c r="EE18">
        <v>9998.5483870967746</v>
      </c>
      <c r="EF18">
        <v>0</v>
      </c>
      <c r="EG18">
        <v>245.04538709677419</v>
      </c>
      <c r="EH18">
        <v>-33.462196774193544</v>
      </c>
      <c r="EI18">
        <v>394.84025806451609</v>
      </c>
      <c r="EJ18">
        <v>428.06209677419361</v>
      </c>
      <c r="EK18">
        <v>2.1926603225806449</v>
      </c>
      <c r="EL18">
        <v>420.00519354838713</v>
      </c>
      <c r="EM18">
        <v>18.821799999999989</v>
      </c>
      <c r="EN18">
        <v>2.0461938709677421</v>
      </c>
      <c r="EO18">
        <v>1.8326941935483869</v>
      </c>
      <c r="EP18">
        <v>17.806390322580651</v>
      </c>
      <c r="EQ18">
        <v>16.0683935483871</v>
      </c>
      <c r="ER18">
        <v>1699.9941935483871</v>
      </c>
      <c r="ES18">
        <v>0.99399974193548379</v>
      </c>
      <c r="ET18">
        <v>6.0001525806451629E-3</v>
      </c>
      <c r="EU18">
        <v>0</v>
      </c>
      <c r="EV18">
        <v>897.95335483870963</v>
      </c>
      <c r="EW18">
        <v>5.0010700000000003</v>
      </c>
      <c r="EX18">
        <v>16935.83870967742</v>
      </c>
      <c r="EY18">
        <v>15492.467741935479</v>
      </c>
      <c r="EZ18">
        <v>38.46951612903225</v>
      </c>
      <c r="FA18">
        <v>39.991870967741939</v>
      </c>
      <c r="FB18">
        <v>39.253999999999998</v>
      </c>
      <c r="FC18">
        <v>39.5</v>
      </c>
      <c r="FD18">
        <v>39.745935483870973</v>
      </c>
      <c r="FE18">
        <v>1684.824193548387</v>
      </c>
      <c r="FF18">
        <v>10.17</v>
      </c>
      <c r="FG18">
        <v>0</v>
      </c>
      <c r="FH18">
        <v>180.70000004768369</v>
      </c>
      <c r="FI18">
        <v>0</v>
      </c>
      <c r="FJ18">
        <v>898.01994117647064</v>
      </c>
      <c r="FK18">
        <v>2.494852955408255</v>
      </c>
      <c r="FL18">
        <v>54.803921507054859</v>
      </c>
      <c r="FM18">
        <v>16936.311764705879</v>
      </c>
      <c r="FN18">
        <v>10</v>
      </c>
      <c r="FO18">
        <v>1785255180.5999999</v>
      </c>
      <c r="FP18" t="s">
        <v>633</v>
      </c>
      <c r="FQ18">
        <v>1785255175.5999999</v>
      </c>
      <c r="FR18">
        <v>1785255180.5999999</v>
      </c>
      <c r="FS18">
        <v>18</v>
      </c>
      <c r="FT18">
        <v>2.5000000000000001E-2</v>
      </c>
      <c r="FU18">
        <v>6.0000000000000001E-3</v>
      </c>
      <c r="FV18">
        <v>-13.326000000000001</v>
      </c>
      <c r="FW18">
        <v>-1.4650000000000001</v>
      </c>
      <c r="FX18">
        <v>420</v>
      </c>
      <c r="FY18">
        <v>19</v>
      </c>
      <c r="FZ18">
        <v>0.2</v>
      </c>
      <c r="GA18">
        <v>0.11</v>
      </c>
      <c r="GB18">
        <v>386.56029032258073</v>
      </c>
      <c r="GC18">
        <v>-0.92167741935534453</v>
      </c>
      <c r="GD18">
        <v>8.5585721430620793E-2</v>
      </c>
      <c r="GE18">
        <v>-1</v>
      </c>
      <c r="GF18">
        <v>897.85179411764716</v>
      </c>
      <c r="GG18">
        <v>2.189809015352282</v>
      </c>
      <c r="GH18">
        <v>0.30054996446825483</v>
      </c>
      <c r="GI18">
        <v>1</v>
      </c>
      <c r="GJ18">
        <v>2.1976953658536589</v>
      </c>
      <c r="GK18">
        <v>-6.2581672473861316E-2</v>
      </c>
      <c r="GL18">
        <v>5.4281621293325512E-2</v>
      </c>
      <c r="GM18">
        <v>1</v>
      </c>
      <c r="GN18">
        <v>2</v>
      </c>
      <c r="GO18">
        <v>2</v>
      </c>
      <c r="GP18" t="s">
        <v>404</v>
      </c>
      <c r="GQ18">
        <v>3.1312799999999998</v>
      </c>
      <c r="GR18">
        <v>2.72404</v>
      </c>
      <c r="GS18">
        <v>8.7395399999999998E-2</v>
      </c>
      <c r="GT18">
        <v>9.1445299999999993E-2</v>
      </c>
      <c r="GU18">
        <v>0.10687000000000001</v>
      </c>
      <c r="GV18">
        <v>9.5228999999999994E-2</v>
      </c>
      <c r="GW18">
        <v>22938.9</v>
      </c>
      <c r="GX18">
        <v>30449.5</v>
      </c>
      <c r="GY18">
        <v>27253.3</v>
      </c>
      <c r="GZ18">
        <v>34444</v>
      </c>
      <c r="HA18">
        <v>35629.599999999999</v>
      </c>
      <c r="HB18">
        <v>38819.699999999997</v>
      </c>
      <c r="HC18">
        <v>40234.400000000001</v>
      </c>
      <c r="HD18">
        <v>42988.9</v>
      </c>
      <c r="HE18">
        <v>1.9952000000000001</v>
      </c>
      <c r="HF18">
        <v>1.8216000000000001</v>
      </c>
      <c r="HG18">
        <v>-1.07884E-2</v>
      </c>
      <c r="HH18">
        <v>0</v>
      </c>
      <c r="HI18">
        <v>25.194800000000001</v>
      </c>
      <c r="HJ18">
        <v>999.9</v>
      </c>
      <c r="HK18">
        <v>67.3</v>
      </c>
      <c r="HL18">
        <v>33.6</v>
      </c>
      <c r="HM18">
        <v>36.115000000000002</v>
      </c>
      <c r="HN18">
        <v>59.973999999999997</v>
      </c>
      <c r="HO18">
        <v>5.0601000000000003</v>
      </c>
      <c r="HP18">
        <v>1</v>
      </c>
      <c r="HQ18">
        <v>0.31105699999999997</v>
      </c>
      <c r="HR18">
        <v>3.73272</v>
      </c>
      <c r="HS18">
        <v>20.200600000000001</v>
      </c>
      <c r="HT18">
        <v>5.2100999999999997</v>
      </c>
      <c r="HU18">
        <v>11.908099999999999</v>
      </c>
      <c r="HV18">
        <v>4.9851999999999999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1.8675200000000001</v>
      </c>
      <c r="IC18">
        <v>1.8631</v>
      </c>
      <c r="ID18">
        <v>1.8626100000000001</v>
      </c>
      <c r="IE18">
        <v>1.8620300000000001</v>
      </c>
      <c r="IF18">
        <v>1.86206</v>
      </c>
      <c r="IG18">
        <v>1.8627899999999999</v>
      </c>
      <c r="IH18">
        <v>1.86371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405</v>
      </c>
      <c r="IO18" t="s">
        <v>406</v>
      </c>
      <c r="IP18" t="s">
        <v>407</v>
      </c>
      <c r="IQ18" t="s">
        <v>408</v>
      </c>
      <c r="IR18" t="s">
        <v>408</v>
      </c>
      <c r="IS18" t="s">
        <v>407</v>
      </c>
      <c r="IT18">
        <v>0</v>
      </c>
      <c r="IU18">
        <v>100</v>
      </c>
      <c r="IV18">
        <v>100</v>
      </c>
      <c r="IW18">
        <v>-13.196999999999999</v>
      </c>
      <c r="IX18">
        <v>-1.4085000000000001</v>
      </c>
      <c r="IY18">
        <v>-11.31033919260121</v>
      </c>
      <c r="IZ18">
        <v>-5.6215304933332991E-3</v>
      </c>
      <c r="JA18">
        <v>2.3979931213773931E-6</v>
      </c>
      <c r="JB18">
        <v>-3.6297174575716598E-10</v>
      </c>
      <c r="JC18">
        <v>-1.7573569652531631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2.1</v>
      </c>
      <c r="JL18">
        <v>2</v>
      </c>
      <c r="JM18">
        <v>1.10229</v>
      </c>
      <c r="JN18">
        <v>2.4939</v>
      </c>
      <c r="JO18">
        <v>1.50024</v>
      </c>
      <c r="JP18">
        <v>2.2778299999999998</v>
      </c>
      <c r="JQ18">
        <v>1.4477500000000001</v>
      </c>
      <c r="JR18">
        <v>2.4023400000000001</v>
      </c>
      <c r="JS18">
        <v>38.403399999999998</v>
      </c>
      <c r="JT18">
        <v>23.912400000000002</v>
      </c>
      <c r="JU18">
        <v>18</v>
      </c>
      <c r="JV18">
        <v>539.39800000000002</v>
      </c>
      <c r="JW18">
        <v>442.44900000000001</v>
      </c>
      <c r="JX18">
        <v>21.7225</v>
      </c>
      <c r="JY18">
        <v>31.0427</v>
      </c>
      <c r="JZ18">
        <v>30.001200000000001</v>
      </c>
      <c r="KA18">
        <v>31.0276</v>
      </c>
      <c r="KB18">
        <v>31.029699999999998</v>
      </c>
      <c r="KC18">
        <v>22.058</v>
      </c>
      <c r="KD18">
        <v>47.226799999999997</v>
      </c>
      <c r="KE18">
        <v>0</v>
      </c>
      <c r="KF18">
        <v>21.704599999999999</v>
      </c>
      <c r="KG18">
        <v>420</v>
      </c>
      <c r="KH18">
        <v>18.895299999999999</v>
      </c>
      <c r="KI18">
        <v>100.56699999999999</v>
      </c>
      <c r="KJ18">
        <v>97.427199999999999</v>
      </c>
    </row>
    <row r="19" spans="1:296" x14ac:dyDescent="0.3">
      <c r="A19">
        <v>3</v>
      </c>
      <c r="B19">
        <v>1785255484.5999999</v>
      </c>
      <c r="C19">
        <v>363</v>
      </c>
      <c r="D19" t="s">
        <v>634</v>
      </c>
      <c r="E19" t="s">
        <v>635</v>
      </c>
      <c r="F19">
        <v>15</v>
      </c>
      <c r="H19">
        <v>1785255476.849999</v>
      </c>
      <c r="I19">
        <f t="shared" si="0"/>
        <v>1.9708880690894959E-3</v>
      </c>
      <c r="J19">
        <f t="shared" si="1"/>
        <v>1.9708880690894961</v>
      </c>
      <c r="K19">
        <f t="shared" si="2"/>
        <v>28.940569896800579</v>
      </c>
      <c r="L19">
        <f t="shared" si="3"/>
        <v>384.37653333333333</v>
      </c>
      <c r="M19">
        <f t="shared" si="4"/>
        <v>99.377405297177248</v>
      </c>
      <c r="N19">
        <f t="shared" si="5"/>
        <v>9.6817242677177759</v>
      </c>
      <c r="O19">
        <f t="shared" si="6"/>
        <v>37.447421771438314</v>
      </c>
      <c r="P19">
        <f t="shared" si="7"/>
        <v>0.16976689256459976</v>
      </c>
      <c r="Q19">
        <f t="shared" si="8"/>
        <v>2.8825199146597149</v>
      </c>
      <c r="R19">
        <f t="shared" si="9"/>
        <v>0.16440146127620475</v>
      </c>
      <c r="S19">
        <f t="shared" si="10"/>
        <v>0.10321885029093684</v>
      </c>
      <c r="T19">
        <f t="shared" si="11"/>
        <v>255.91686902944801</v>
      </c>
      <c r="U19">
        <f t="shared" si="12"/>
        <v>25.880822236545299</v>
      </c>
      <c r="V19">
        <f t="shared" si="13"/>
        <v>25.013226666666661</v>
      </c>
      <c r="W19">
        <f t="shared" si="14"/>
        <v>3.1821858264887566</v>
      </c>
      <c r="X19">
        <f t="shared" si="15"/>
        <v>64.843107699682704</v>
      </c>
      <c r="Y19">
        <f t="shared" si="16"/>
        <v>2.0455795602002991</v>
      </c>
      <c r="Z19">
        <f t="shared" si="17"/>
        <v>3.1546599673696836</v>
      </c>
      <c r="AA19">
        <f t="shared" si="18"/>
        <v>1.1366062662884575</v>
      </c>
      <c r="AB19">
        <f t="shared" si="19"/>
        <v>-86.916163846846771</v>
      </c>
      <c r="AC19">
        <f t="shared" si="20"/>
        <v>-22.634879554585186</v>
      </c>
      <c r="AD19">
        <f t="shared" si="21"/>
        <v>-1.6599893229846603</v>
      </c>
      <c r="AE19">
        <f t="shared" si="22"/>
        <v>144.7058363050314</v>
      </c>
      <c r="AF19">
        <f t="shared" si="23"/>
        <v>28.940569896800579</v>
      </c>
      <c r="AG19">
        <f t="shared" si="24"/>
        <v>1.9708880690894961</v>
      </c>
      <c r="AH19">
        <f t="shared" si="25"/>
        <v>28.861815345816247</v>
      </c>
      <c r="AI19">
        <v>427.83791180193577</v>
      </c>
      <c r="AJ19">
        <v>392.56567878787882</v>
      </c>
      <c r="AK19">
        <v>-4.2542512287044622E-3</v>
      </c>
      <c r="AL19">
        <v>67.086980414014533</v>
      </c>
      <c r="AM19">
        <f t="shared" si="26"/>
        <v>1.9691963587143613</v>
      </c>
      <c r="AN19">
        <v>18.682036906248641</v>
      </c>
      <c r="AO19">
        <v>20.995271515151511</v>
      </c>
      <c r="AP19">
        <v>4.3033286472727613E-5</v>
      </c>
      <c r="AQ19">
        <v>78.235802124614864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51841.473124748234</v>
      </c>
      <c r="AW19" t="s">
        <v>627</v>
      </c>
      <c r="AX19">
        <v>13256.9</v>
      </c>
      <c r="AY19">
        <v>592.51470588235293</v>
      </c>
      <c r="AZ19">
        <v>2263.5100000000002</v>
      </c>
      <c r="BA19">
        <f t="shared" si="30"/>
        <v>0.73823190271642147</v>
      </c>
      <c r="BB19">
        <v>-2.8506644766585501</v>
      </c>
      <c r="BC19" t="s">
        <v>636</v>
      </c>
      <c r="BD19">
        <v>13225</v>
      </c>
      <c r="BE19">
        <v>900.84564705882349</v>
      </c>
      <c r="BF19">
        <v>1127.44</v>
      </c>
      <c r="BG19">
        <f t="shared" si="31"/>
        <v>0.20098129651349661</v>
      </c>
      <c r="BH19">
        <v>0.5</v>
      </c>
      <c r="BI19">
        <f t="shared" si="32"/>
        <v>1344.3016598080046</v>
      </c>
      <c r="BJ19">
        <f t="shared" si="33"/>
        <v>28.940569896800579</v>
      </c>
      <c r="BK19">
        <f t="shared" si="34"/>
        <v>135.08974524672911</v>
      </c>
      <c r="BL19">
        <f t="shared" si="35"/>
        <v>2.3648884267538289E-2</v>
      </c>
      <c r="BM19">
        <f t="shared" si="36"/>
        <v>1.0076545093308735</v>
      </c>
      <c r="BN19">
        <f t="shared" si="37"/>
        <v>468.84627761274589</v>
      </c>
      <c r="BO19" t="s">
        <v>402</v>
      </c>
      <c r="BP19">
        <v>0</v>
      </c>
      <c r="BQ19">
        <f t="shared" si="38"/>
        <v>468.84627761274589</v>
      </c>
      <c r="BR19">
        <f t="shared" si="39"/>
        <v>0.58414968635781428</v>
      </c>
      <c r="BS19">
        <f t="shared" si="40"/>
        <v>0.34405786942490585</v>
      </c>
      <c r="BT19">
        <f t="shared" si="41"/>
        <v>0.63302667002640722</v>
      </c>
      <c r="BU19">
        <f t="shared" si="42"/>
        <v>0.42359999692095557</v>
      </c>
      <c r="BV19">
        <f t="shared" si="43"/>
        <v>0.67987624142286462</v>
      </c>
      <c r="BW19">
        <f t="shared" si="44"/>
        <v>0.17906536140780843</v>
      </c>
      <c r="BX19">
        <f t="shared" si="45"/>
        <v>0.82093463859219162</v>
      </c>
      <c r="DG19">
        <f t="shared" si="46"/>
        <v>1600.0173333333339</v>
      </c>
      <c r="DH19">
        <f t="shared" si="47"/>
        <v>1344.3016598080046</v>
      </c>
      <c r="DI19">
        <f t="shared" si="48"/>
        <v>0.84017943543611873</v>
      </c>
      <c r="DJ19">
        <f t="shared" si="49"/>
        <v>0.15994631039170903</v>
      </c>
      <c r="DK19">
        <v>6</v>
      </c>
      <c r="DL19">
        <v>0.5</v>
      </c>
      <c r="DM19" t="s">
        <v>403</v>
      </c>
      <c r="DN19">
        <v>2</v>
      </c>
      <c r="DO19" t="b">
        <v>0</v>
      </c>
      <c r="DP19">
        <v>1785255476.849999</v>
      </c>
      <c r="DQ19">
        <v>384.37653333333333</v>
      </c>
      <c r="DR19">
        <v>420.01546666666673</v>
      </c>
      <c r="DS19">
        <v>20.996713333333329</v>
      </c>
      <c r="DT19">
        <v>18.681229999999999</v>
      </c>
      <c r="DU19">
        <v>397.58886666666677</v>
      </c>
      <c r="DV19">
        <v>22.411190000000001</v>
      </c>
      <c r="DW19">
        <v>499.98353333333318</v>
      </c>
      <c r="DX19">
        <v>97.375560000000007</v>
      </c>
      <c r="DY19">
        <v>4.8238083333333327E-2</v>
      </c>
      <c r="DZ19">
        <v>24.867573333333329</v>
      </c>
      <c r="EA19">
        <v>25.013226666666661</v>
      </c>
      <c r="EB19">
        <v>999.9000000000002</v>
      </c>
      <c r="EC19">
        <v>0</v>
      </c>
      <c r="ED19">
        <v>0</v>
      </c>
      <c r="EE19">
        <v>9996.6666666666661</v>
      </c>
      <c r="EF19">
        <v>0</v>
      </c>
      <c r="EG19">
        <v>252.61523333333341</v>
      </c>
      <c r="EH19">
        <v>-35.638863333333333</v>
      </c>
      <c r="EI19">
        <v>392.62036666666671</v>
      </c>
      <c r="EJ19">
        <v>428.01123333333339</v>
      </c>
      <c r="EK19">
        <v>2.3154849999999998</v>
      </c>
      <c r="EL19">
        <v>420.01546666666673</v>
      </c>
      <c r="EM19">
        <v>18.681229999999999</v>
      </c>
      <c r="EN19">
        <v>2.0445669999999998</v>
      </c>
      <c r="EO19">
        <v>1.819096</v>
      </c>
      <c r="EP19">
        <v>17.793769999999999</v>
      </c>
      <c r="EQ19">
        <v>15.951846666666659</v>
      </c>
      <c r="ER19">
        <v>1600.0173333333339</v>
      </c>
      <c r="ES19">
        <v>0.99400256666666686</v>
      </c>
      <c r="ET19">
        <v>5.997664666666667E-3</v>
      </c>
      <c r="EU19">
        <v>0</v>
      </c>
      <c r="EV19">
        <v>900.72309999999993</v>
      </c>
      <c r="EW19">
        <v>5.0010700000000003</v>
      </c>
      <c r="EX19">
        <v>16083.4</v>
      </c>
      <c r="EY19">
        <v>14578.663333333339</v>
      </c>
      <c r="EZ19">
        <v>38.353999999999999</v>
      </c>
      <c r="FA19">
        <v>40.004133333333343</v>
      </c>
      <c r="FB19">
        <v>39.25</v>
      </c>
      <c r="FC19">
        <v>39.553733333333319</v>
      </c>
      <c r="FD19">
        <v>39.686999999999983</v>
      </c>
      <c r="FE19">
        <v>1585.4473333333331</v>
      </c>
      <c r="FF19">
        <v>9.5699999999999985</v>
      </c>
      <c r="FG19">
        <v>0</v>
      </c>
      <c r="FH19">
        <v>180.9000000953674</v>
      </c>
      <c r="FI19">
        <v>0</v>
      </c>
      <c r="FJ19">
        <v>900.84564705882349</v>
      </c>
      <c r="FK19">
        <v>4.0134803739427758</v>
      </c>
      <c r="FL19">
        <v>60.490196399050021</v>
      </c>
      <c r="FM19">
        <v>16086.523529411759</v>
      </c>
      <c r="FN19">
        <v>10</v>
      </c>
      <c r="FO19">
        <v>1785255357.5999999</v>
      </c>
      <c r="FP19" t="s">
        <v>637</v>
      </c>
      <c r="FQ19">
        <v>1785255357.5999999</v>
      </c>
      <c r="FR19">
        <v>1785255353.5999999</v>
      </c>
      <c r="FS19">
        <v>19</v>
      </c>
      <c r="FT19">
        <v>-2.3E-2</v>
      </c>
      <c r="FU19">
        <v>-6.0000000000000001E-3</v>
      </c>
      <c r="FV19">
        <v>-13.349</v>
      </c>
      <c r="FW19">
        <v>-1.47</v>
      </c>
      <c r="FX19">
        <v>420</v>
      </c>
      <c r="FY19">
        <v>19</v>
      </c>
      <c r="FZ19">
        <v>0.3</v>
      </c>
      <c r="GA19">
        <v>0.14000000000000001</v>
      </c>
      <c r="GB19">
        <v>384.38138709677418</v>
      </c>
      <c r="GC19">
        <v>-0.46800000000029812</v>
      </c>
      <c r="GD19">
        <v>6.2825758750201202E-2</v>
      </c>
      <c r="GE19">
        <v>-1</v>
      </c>
      <c r="GF19">
        <v>900.59429411764711</v>
      </c>
      <c r="GG19">
        <v>2.5559358242861969</v>
      </c>
      <c r="GH19">
        <v>0.29372401305945439</v>
      </c>
      <c r="GI19">
        <v>1</v>
      </c>
      <c r="GJ19">
        <v>2.3160634146341459</v>
      </c>
      <c r="GK19">
        <v>-1.4247804878051251E-2</v>
      </c>
      <c r="GL19">
        <v>4.0479567924982E-3</v>
      </c>
      <c r="GM19">
        <v>1</v>
      </c>
      <c r="GN19">
        <v>2</v>
      </c>
      <c r="GO19">
        <v>2</v>
      </c>
      <c r="GP19" t="s">
        <v>404</v>
      </c>
      <c r="GQ19">
        <v>3.13103</v>
      </c>
      <c r="GR19">
        <v>2.7243599999999999</v>
      </c>
      <c r="GS19">
        <v>8.7059800000000007E-2</v>
      </c>
      <c r="GT19">
        <v>9.1480199999999998E-2</v>
      </c>
      <c r="GU19">
        <v>0.106895</v>
      </c>
      <c r="GV19">
        <v>9.4217599999999999E-2</v>
      </c>
      <c r="GW19">
        <v>22948.1</v>
      </c>
      <c r="GX19">
        <v>30450.7</v>
      </c>
      <c r="GY19">
        <v>27254</v>
      </c>
      <c r="GZ19">
        <v>34446.400000000001</v>
      </c>
      <c r="HA19">
        <v>35629.300000000003</v>
      </c>
      <c r="HB19">
        <v>38864</v>
      </c>
      <c r="HC19">
        <v>40235.5</v>
      </c>
      <c r="HD19">
        <v>42989.9</v>
      </c>
      <c r="HE19">
        <v>1.9965999999999999</v>
      </c>
      <c r="HF19">
        <v>1.8211999999999999</v>
      </c>
      <c r="HG19">
        <v>-1.2815E-2</v>
      </c>
      <c r="HH19">
        <v>0</v>
      </c>
      <c r="HI19">
        <v>25.241599999999998</v>
      </c>
      <c r="HJ19">
        <v>999.9</v>
      </c>
      <c r="HK19">
        <v>67</v>
      </c>
      <c r="HL19">
        <v>33.700000000000003</v>
      </c>
      <c r="HM19">
        <v>36.153799999999997</v>
      </c>
      <c r="HN19">
        <v>60.234000000000002</v>
      </c>
      <c r="HO19">
        <v>5.0040100000000001</v>
      </c>
      <c r="HP19">
        <v>1</v>
      </c>
      <c r="HQ19">
        <v>0.30691099999999999</v>
      </c>
      <c r="HR19">
        <v>3.6355300000000002</v>
      </c>
      <c r="HS19">
        <v>20.203600000000002</v>
      </c>
      <c r="HT19">
        <v>5.2112999999999996</v>
      </c>
      <c r="HU19">
        <v>11.908099999999999</v>
      </c>
      <c r="HV19">
        <v>4.9855999999999998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1.8631</v>
      </c>
      <c r="ID19">
        <v>1.86252</v>
      </c>
      <c r="IE19">
        <v>1.8620300000000001</v>
      </c>
      <c r="IF19">
        <v>1.86209</v>
      </c>
      <c r="IG19">
        <v>1.8627899999999999</v>
      </c>
      <c r="IH19">
        <v>1.8636200000000001</v>
      </c>
      <c r="II19">
        <v>1.8615999999999999</v>
      </c>
      <c r="IJ19">
        <v>0</v>
      </c>
      <c r="IK19">
        <v>0</v>
      </c>
      <c r="IL19">
        <v>0</v>
      </c>
      <c r="IM19">
        <v>4.5</v>
      </c>
      <c r="IN19" t="s">
        <v>405</v>
      </c>
      <c r="IO19" t="s">
        <v>406</v>
      </c>
      <c r="IP19" t="s">
        <v>407</v>
      </c>
      <c r="IQ19" t="s">
        <v>408</v>
      </c>
      <c r="IR19" t="s">
        <v>408</v>
      </c>
      <c r="IS19" t="s">
        <v>407</v>
      </c>
      <c r="IT19">
        <v>0</v>
      </c>
      <c r="IU19">
        <v>100</v>
      </c>
      <c r="IV19">
        <v>100</v>
      </c>
      <c r="IW19">
        <v>-13.212</v>
      </c>
      <c r="IX19">
        <v>-1.4145000000000001</v>
      </c>
      <c r="IY19">
        <v>-11.333371935487101</v>
      </c>
      <c r="IZ19">
        <v>-5.6215304933332991E-3</v>
      </c>
      <c r="JA19">
        <v>2.3979931213773931E-6</v>
      </c>
      <c r="JB19">
        <v>-3.6297174575716598E-10</v>
      </c>
      <c r="JC19">
        <v>-1.7634321350661351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2.2000000000000002</v>
      </c>
      <c r="JM19">
        <v>1.10229</v>
      </c>
      <c r="JN19">
        <v>2.50732</v>
      </c>
      <c r="JO19">
        <v>1.50024</v>
      </c>
      <c r="JP19">
        <v>2.2778299999999998</v>
      </c>
      <c r="JQ19">
        <v>1.4477500000000001</v>
      </c>
      <c r="JR19">
        <v>2.32666</v>
      </c>
      <c r="JS19">
        <v>38.821100000000001</v>
      </c>
      <c r="JT19">
        <v>23.8949</v>
      </c>
      <c r="JU19">
        <v>18</v>
      </c>
      <c r="JV19">
        <v>539.91999999999996</v>
      </c>
      <c r="JW19">
        <v>441.86700000000002</v>
      </c>
      <c r="JX19">
        <v>21.7501</v>
      </c>
      <c r="JY19">
        <v>30.991299999999999</v>
      </c>
      <c r="JZ19">
        <v>30.0001</v>
      </c>
      <c r="KA19">
        <v>30.9818</v>
      </c>
      <c r="KB19">
        <v>30.984100000000002</v>
      </c>
      <c r="KC19">
        <v>22.0458</v>
      </c>
      <c r="KD19">
        <v>47.673400000000001</v>
      </c>
      <c r="KE19">
        <v>0</v>
      </c>
      <c r="KF19">
        <v>21.752099999999999</v>
      </c>
      <c r="KG19">
        <v>420</v>
      </c>
      <c r="KH19">
        <v>18.720400000000001</v>
      </c>
      <c r="KI19">
        <v>100.57</v>
      </c>
      <c r="KJ19">
        <v>97.431399999999996</v>
      </c>
    </row>
    <row r="20" spans="1:296" x14ac:dyDescent="0.3">
      <c r="A20">
        <v>4</v>
      </c>
      <c r="B20">
        <v>1785255666.0999999</v>
      </c>
      <c r="C20">
        <v>544.5</v>
      </c>
      <c r="D20" t="s">
        <v>638</v>
      </c>
      <c r="E20" t="s">
        <v>639</v>
      </c>
      <c r="F20">
        <v>15</v>
      </c>
      <c r="H20">
        <v>1785255658.099999</v>
      </c>
      <c r="I20">
        <f t="shared" si="0"/>
        <v>2.0409100426157928E-3</v>
      </c>
      <c r="J20">
        <f t="shared" si="1"/>
        <v>2.0409100426157929</v>
      </c>
      <c r="K20">
        <f t="shared" si="2"/>
        <v>29.401809999885213</v>
      </c>
      <c r="L20">
        <f t="shared" si="3"/>
        <v>383.77467741935487</v>
      </c>
      <c r="M20">
        <f t="shared" si="4"/>
        <v>106.20990567813</v>
      </c>
      <c r="N20">
        <f t="shared" si="5"/>
        <v>10.347863446235266</v>
      </c>
      <c r="O20">
        <f t="shared" si="6"/>
        <v>37.390560990548025</v>
      </c>
      <c r="P20">
        <f t="shared" si="7"/>
        <v>0.17739851411635393</v>
      </c>
      <c r="Q20">
        <f t="shared" si="8"/>
        <v>2.8840792097425458</v>
      </c>
      <c r="R20">
        <f t="shared" si="9"/>
        <v>0.17155184549616001</v>
      </c>
      <c r="S20">
        <f t="shared" si="10"/>
        <v>0.10772915107522407</v>
      </c>
      <c r="T20">
        <f t="shared" si="11"/>
        <v>224.00667343818284</v>
      </c>
      <c r="U20">
        <f t="shared" si="12"/>
        <v>25.679838755042216</v>
      </c>
      <c r="V20">
        <f t="shared" si="13"/>
        <v>25.001964516129039</v>
      </c>
      <c r="W20">
        <f t="shared" si="14"/>
        <v>3.1800500213534111</v>
      </c>
      <c r="X20">
        <f t="shared" si="15"/>
        <v>65.013577149479659</v>
      </c>
      <c r="Y20">
        <f t="shared" si="16"/>
        <v>2.0520908398121231</v>
      </c>
      <c r="Z20">
        <f t="shared" si="17"/>
        <v>3.156403523365499</v>
      </c>
      <c r="AA20">
        <f t="shared" si="18"/>
        <v>1.1279591815412879</v>
      </c>
      <c r="AB20">
        <f t="shared" si="19"/>
        <v>-90.004132879356462</v>
      </c>
      <c r="AC20">
        <f t="shared" si="20"/>
        <v>-19.456374135141054</v>
      </c>
      <c r="AD20">
        <f t="shared" si="21"/>
        <v>-1.4260992827013568</v>
      </c>
      <c r="AE20">
        <f t="shared" si="22"/>
        <v>113.12006714098396</v>
      </c>
      <c r="AF20">
        <f t="shared" si="23"/>
        <v>29.401809999885213</v>
      </c>
      <c r="AG20">
        <f t="shared" si="24"/>
        <v>2.0409100426157929</v>
      </c>
      <c r="AH20">
        <f t="shared" si="25"/>
        <v>29.233478616182737</v>
      </c>
      <c r="AI20">
        <v>427.93624599442433</v>
      </c>
      <c r="AJ20">
        <v>392.01839393939389</v>
      </c>
      <c r="AK20">
        <v>3.1926216859863042E-2</v>
      </c>
      <c r="AL20">
        <v>67.08660373055551</v>
      </c>
      <c r="AM20">
        <f t="shared" si="26"/>
        <v>2.044958751626627</v>
      </c>
      <c r="AN20">
        <v>18.664955882836459</v>
      </c>
      <c r="AO20">
        <v>21.067265454545449</v>
      </c>
      <c r="AP20">
        <v>1.360007400585381E-5</v>
      </c>
      <c r="AQ20">
        <v>78.234515117828906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51884.568716028567</v>
      </c>
      <c r="AW20" t="s">
        <v>627</v>
      </c>
      <c r="AX20">
        <v>13256.9</v>
      </c>
      <c r="AY20">
        <v>592.51470588235293</v>
      </c>
      <c r="AZ20">
        <v>2263.5100000000002</v>
      </c>
      <c r="BA20">
        <f t="shared" si="30"/>
        <v>0.73823190271642147</v>
      </c>
      <c r="BB20">
        <v>-2.8506644766585501</v>
      </c>
      <c r="BC20" t="s">
        <v>640</v>
      </c>
      <c r="BD20">
        <v>13232.9</v>
      </c>
      <c r="BE20">
        <v>900.18605882352938</v>
      </c>
      <c r="BF20">
        <v>1175.6199999999999</v>
      </c>
      <c r="BG20">
        <f t="shared" si="31"/>
        <v>0.2342882403978076</v>
      </c>
      <c r="BH20">
        <v>0.5</v>
      </c>
      <c r="BI20">
        <f t="shared" si="32"/>
        <v>1176.2955675176943</v>
      </c>
      <c r="BJ20">
        <f t="shared" si="33"/>
        <v>29.401809999885213</v>
      </c>
      <c r="BK20">
        <f t="shared" si="34"/>
        <v>137.79610935073055</v>
      </c>
      <c r="BL20">
        <f t="shared" si="35"/>
        <v>2.7418682316898729E-2</v>
      </c>
      <c r="BM20">
        <f t="shared" si="36"/>
        <v>0.92537554652013443</v>
      </c>
      <c r="BN20">
        <f t="shared" si="37"/>
        <v>476.97519400096405</v>
      </c>
      <c r="BO20" t="s">
        <v>402</v>
      </c>
      <c r="BP20">
        <v>0</v>
      </c>
      <c r="BQ20">
        <f t="shared" si="38"/>
        <v>476.97519400096405</v>
      </c>
      <c r="BR20">
        <f t="shared" si="39"/>
        <v>0.59427774791092014</v>
      </c>
      <c r="BS20">
        <f t="shared" si="40"/>
        <v>0.39424030467471999</v>
      </c>
      <c r="BT20">
        <f t="shared" si="41"/>
        <v>0.60893859797578853</v>
      </c>
      <c r="BU20">
        <f t="shared" si="42"/>
        <v>0.47235712650020828</v>
      </c>
      <c r="BV20">
        <f t="shared" si="43"/>
        <v>0.65104312611152504</v>
      </c>
      <c r="BW20">
        <f t="shared" si="44"/>
        <v>0.20889331040183026</v>
      </c>
      <c r="BX20">
        <f t="shared" si="45"/>
        <v>0.79110668959816977</v>
      </c>
      <c r="DG20">
        <f t="shared" si="46"/>
        <v>1400.0025806451611</v>
      </c>
      <c r="DH20">
        <f t="shared" si="47"/>
        <v>1176.2955675176943</v>
      </c>
      <c r="DI20">
        <f t="shared" si="48"/>
        <v>0.84020957088209358</v>
      </c>
      <c r="DJ20">
        <f t="shared" si="49"/>
        <v>0.16000447180244068</v>
      </c>
      <c r="DK20">
        <v>6</v>
      </c>
      <c r="DL20">
        <v>0.5</v>
      </c>
      <c r="DM20" t="s">
        <v>403</v>
      </c>
      <c r="DN20">
        <v>2</v>
      </c>
      <c r="DO20" t="b">
        <v>0</v>
      </c>
      <c r="DP20">
        <v>1785255658.099999</v>
      </c>
      <c r="DQ20">
        <v>383.77467741935487</v>
      </c>
      <c r="DR20">
        <v>419.99887096774182</v>
      </c>
      <c r="DS20">
        <v>21.062548387096768</v>
      </c>
      <c r="DT20">
        <v>18.664899999999999</v>
      </c>
      <c r="DU20">
        <v>396.93774193548393</v>
      </c>
      <c r="DV20">
        <v>22.47646774193548</v>
      </c>
      <c r="DW20">
        <v>499.97070967741939</v>
      </c>
      <c r="DX20">
        <v>97.380174193548385</v>
      </c>
      <c r="DY20">
        <v>4.8247196774193542E-2</v>
      </c>
      <c r="DZ20">
        <v>24.876832258064521</v>
      </c>
      <c r="EA20">
        <v>25.001964516129039</v>
      </c>
      <c r="EB20">
        <v>999.90000000000032</v>
      </c>
      <c r="EC20">
        <v>0</v>
      </c>
      <c r="ED20">
        <v>0</v>
      </c>
      <c r="EE20">
        <v>10005.16129032258</v>
      </c>
      <c r="EF20">
        <v>0</v>
      </c>
      <c r="EG20">
        <v>269.12512903225797</v>
      </c>
      <c r="EH20">
        <v>-36.224274193548389</v>
      </c>
      <c r="EI20">
        <v>392.03170967741931</v>
      </c>
      <c r="EJ20">
        <v>427.98719354838721</v>
      </c>
      <c r="EK20">
        <v>2.3976500000000001</v>
      </c>
      <c r="EL20">
        <v>419.99887096774182</v>
      </c>
      <c r="EM20">
        <v>18.664899999999999</v>
      </c>
      <c r="EN20">
        <v>2.0510748387096771</v>
      </c>
      <c r="EO20">
        <v>1.817590967741936</v>
      </c>
      <c r="EP20">
        <v>17.84422903225807</v>
      </c>
      <c r="EQ20">
        <v>15.938906451612899</v>
      </c>
      <c r="ER20">
        <v>1400.0025806451611</v>
      </c>
      <c r="ES20">
        <v>0.99298812903225819</v>
      </c>
      <c r="ET20">
        <v>7.0119954838709668E-3</v>
      </c>
      <c r="EU20">
        <v>0</v>
      </c>
      <c r="EV20">
        <v>900.05258064516147</v>
      </c>
      <c r="EW20">
        <v>5.0010700000000003</v>
      </c>
      <c r="EX20">
        <v>14289.722580645161</v>
      </c>
      <c r="EY20">
        <v>12745.47741935484</v>
      </c>
      <c r="EZ20">
        <v>38.023999999999987</v>
      </c>
      <c r="FA20">
        <v>39.936999999999983</v>
      </c>
      <c r="FB20">
        <v>39.106709677419353</v>
      </c>
      <c r="FC20">
        <v>39.5</v>
      </c>
      <c r="FD20">
        <v>39.436999999999983</v>
      </c>
      <c r="FE20">
        <v>1385.2225806451611</v>
      </c>
      <c r="FF20">
        <v>9.779999999999994</v>
      </c>
      <c r="FG20">
        <v>0</v>
      </c>
      <c r="FH20">
        <v>180.70000004768369</v>
      </c>
      <c r="FI20">
        <v>0</v>
      </c>
      <c r="FJ20">
        <v>900.18605882352938</v>
      </c>
      <c r="FK20">
        <v>3.2046568876886981</v>
      </c>
      <c r="FL20">
        <v>111.0784316676683</v>
      </c>
      <c r="FM20">
        <v>14293.87058823529</v>
      </c>
      <c r="FN20">
        <v>10</v>
      </c>
      <c r="FO20">
        <v>1785255549.5999999</v>
      </c>
      <c r="FP20" t="s">
        <v>641</v>
      </c>
      <c r="FQ20">
        <v>1785255549.5999999</v>
      </c>
      <c r="FR20">
        <v>1785255547.0999999</v>
      </c>
      <c r="FS20">
        <v>20</v>
      </c>
      <c r="FT20">
        <v>4.7E-2</v>
      </c>
      <c r="FU20">
        <v>-1E-3</v>
      </c>
      <c r="FV20">
        <v>-13.302</v>
      </c>
      <c r="FW20">
        <v>-1.472</v>
      </c>
      <c r="FX20">
        <v>420</v>
      </c>
      <c r="FY20">
        <v>19</v>
      </c>
      <c r="FZ20">
        <v>0.26</v>
      </c>
      <c r="GA20">
        <v>0.1</v>
      </c>
      <c r="GB20">
        <v>383.7759333333334</v>
      </c>
      <c r="GC20">
        <v>-0.58496996663091627</v>
      </c>
      <c r="GD20">
        <v>7.6912042114490695E-2</v>
      </c>
      <c r="GE20">
        <v>-1</v>
      </c>
      <c r="GF20">
        <v>899.93747058823544</v>
      </c>
      <c r="GG20">
        <v>2.5202139032639761</v>
      </c>
      <c r="GH20">
        <v>0.32510262952363023</v>
      </c>
      <c r="GI20">
        <v>1</v>
      </c>
      <c r="GJ20">
        <v>2.39897275</v>
      </c>
      <c r="GK20">
        <v>-1.5971819887430551E-2</v>
      </c>
      <c r="GL20">
        <v>4.4031465950499556E-3</v>
      </c>
      <c r="GM20">
        <v>1</v>
      </c>
      <c r="GN20">
        <v>2</v>
      </c>
      <c r="GO20">
        <v>2</v>
      </c>
      <c r="GP20" t="s">
        <v>404</v>
      </c>
      <c r="GQ20">
        <v>3.1314700000000002</v>
      </c>
      <c r="GR20">
        <v>2.7236899999999999</v>
      </c>
      <c r="GS20">
        <v>8.6980500000000002E-2</v>
      </c>
      <c r="GT20">
        <v>9.1491199999999995E-2</v>
      </c>
      <c r="GU20">
        <v>0.107157</v>
      </c>
      <c r="GV20">
        <v>9.4192100000000001E-2</v>
      </c>
      <c r="GW20">
        <v>22950.9</v>
      </c>
      <c r="GX20">
        <v>30451.1</v>
      </c>
      <c r="GY20">
        <v>27254.7</v>
      </c>
      <c r="GZ20">
        <v>34447.1</v>
      </c>
      <c r="HA20">
        <v>35620</v>
      </c>
      <c r="HB20">
        <v>38863.699999999997</v>
      </c>
      <c r="HC20">
        <v>40237</v>
      </c>
      <c r="HD20">
        <v>42988.4</v>
      </c>
      <c r="HE20">
        <v>1.9967999999999999</v>
      </c>
      <c r="HF20">
        <v>1.82</v>
      </c>
      <c r="HG20">
        <v>-1.8775500000000001E-2</v>
      </c>
      <c r="HH20">
        <v>0</v>
      </c>
      <c r="HI20">
        <v>25.314</v>
      </c>
      <c r="HJ20">
        <v>999.9</v>
      </c>
      <c r="HK20">
        <v>66.599999999999994</v>
      </c>
      <c r="HL20">
        <v>33.799999999999997</v>
      </c>
      <c r="HM20">
        <v>36.136299999999999</v>
      </c>
      <c r="HN20">
        <v>59.914000000000001</v>
      </c>
      <c r="HO20">
        <v>5.2523999999999997</v>
      </c>
      <c r="HP20">
        <v>1</v>
      </c>
      <c r="HQ20">
        <v>0.303232</v>
      </c>
      <c r="HR20">
        <v>3.4649200000000002</v>
      </c>
      <c r="HS20">
        <v>20.208300000000001</v>
      </c>
      <c r="HT20">
        <v>5.2112999999999996</v>
      </c>
      <c r="HU20">
        <v>11.908099999999999</v>
      </c>
      <c r="HV20">
        <v>4.9851999999999999</v>
      </c>
      <c r="HW20">
        <v>3.2702</v>
      </c>
      <c r="HX20">
        <v>9999</v>
      </c>
      <c r="HY20">
        <v>9999</v>
      </c>
      <c r="HZ20">
        <v>9999</v>
      </c>
      <c r="IA20">
        <v>999.9</v>
      </c>
      <c r="IB20">
        <v>1.8675200000000001</v>
      </c>
      <c r="IC20">
        <v>1.8631</v>
      </c>
      <c r="ID20">
        <v>1.8626400000000001</v>
      </c>
      <c r="IE20">
        <v>1.8620300000000001</v>
      </c>
      <c r="IF20">
        <v>1.86212</v>
      </c>
      <c r="IG20">
        <v>1.8627899999999999</v>
      </c>
      <c r="IH20">
        <v>1.86371</v>
      </c>
      <c r="II20">
        <v>1.8616299999999999</v>
      </c>
      <c r="IJ20">
        <v>0</v>
      </c>
      <c r="IK20">
        <v>0</v>
      </c>
      <c r="IL20">
        <v>0</v>
      </c>
      <c r="IM20">
        <v>4.5</v>
      </c>
      <c r="IN20" t="s">
        <v>405</v>
      </c>
      <c r="IO20" t="s">
        <v>406</v>
      </c>
      <c r="IP20" t="s">
        <v>407</v>
      </c>
      <c r="IQ20" t="s">
        <v>408</v>
      </c>
      <c r="IR20" t="s">
        <v>408</v>
      </c>
      <c r="IS20" t="s">
        <v>407</v>
      </c>
      <c r="IT20">
        <v>0</v>
      </c>
      <c r="IU20">
        <v>100</v>
      </c>
      <c r="IV20">
        <v>100</v>
      </c>
      <c r="IW20">
        <v>-13.164</v>
      </c>
      <c r="IX20">
        <v>-1.4137</v>
      </c>
      <c r="IY20">
        <v>-11.2868304045579</v>
      </c>
      <c r="IZ20">
        <v>-5.6215304933332991E-3</v>
      </c>
      <c r="JA20">
        <v>2.3979931213773931E-6</v>
      </c>
      <c r="JB20">
        <v>-3.6297174575716598E-10</v>
      </c>
      <c r="JC20">
        <v>-1.7646216599792219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2</v>
      </c>
      <c r="JM20">
        <v>1.10229</v>
      </c>
      <c r="JN20">
        <v>2.5</v>
      </c>
      <c r="JO20">
        <v>1.50024</v>
      </c>
      <c r="JP20">
        <v>2.2766099999999998</v>
      </c>
      <c r="JQ20">
        <v>1.4477500000000001</v>
      </c>
      <c r="JR20">
        <v>2.3791500000000001</v>
      </c>
      <c r="JS20">
        <v>39.0931</v>
      </c>
      <c r="JT20">
        <v>23.903600000000001</v>
      </c>
      <c r="JU20">
        <v>18</v>
      </c>
      <c r="JV20">
        <v>539.77300000000002</v>
      </c>
      <c r="JW20">
        <v>440.88499999999999</v>
      </c>
      <c r="JX20">
        <v>21.9268</v>
      </c>
      <c r="JY20">
        <v>30.9588</v>
      </c>
      <c r="JZ20">
        <v>30.0001</v>
      </c>
      <c r="KA20">
        <v>30.9496</v>
      </c>
      <c r="KB20">
        <v>30.952000000000002</v>
      </c>
      <c r="KC20">
        <v>22.0428</v>
      </c>
      <c r="KD20">
        <v>47.814100000000003</v>
      </c>
      <c r="KE20">
        <v>0</v>
      </c>
      <c r="KF20">
        <v>21.9316</v>
      </c>
      <c r="KG20">
        <v>420</v>
      </c>
      <c r="KH20">
        <v>18.613499999999998</v>
      </c>
      <c r="KI20">
        <v>100.57299999999999</v>
      </c>
      <c r="KJ20">
        <v>97.430300000000003</v>
      </c>
    </row>
    <row r="21" spans="1:296" x14ac:dyDescent="0.3">
      <c r="A21">
        <v>5</v>
      </c>
      <c r="B21">
        <v>1785255847.5999999</v>
      </c>
      <c r="C21">
        <v>726</v>
      </c>
      <c r="D21" t="s">
        <v>642</v>
      </c>
      <c r="E21" t="s">
        <v>643</v>
      </c>
      <c r="F21">
        <v>15</v>
      </c>
      <c r="H21">
        <v>1785255839.849999</v>
      </c>
      <c r="I21">
        <f t="shared" si="0"/>
        <v>1.9648052235196247E-3</v>
      </c>
      <c r="J21">
        <f t="shared" si="1"/>
        <v>1.9648052235196245</v>
      </c>
      <c r="K21">
        <f t="shared" si="2"/>
        <v>27.826112842073616</v>
      </c>
      <c r="L21">
        <f t="shared" si="3"/>
        <v>385.67476666666659</v>
      </c>
      <c r="M21">
        <f t="shared" si="4"/>
        <v>115.77101068593353</v>
      </c>
      <c r="N21">
        <f t="shared" si="5"/>
        <v>11.279017595790338</v>
      </c>
      <c r="O21">
        <f t="shared" si="6"/>
        <v>37.574453688467329</v>
      </c>
      <c r="P21">
        <f t="shared" si="7"/>
        <v>0.17264713885564731</v>
      </c>
      <c r="Q21">
        <f t="shared" si="8"/>
        <v>2.8823756945612793</v>
      </c>
      <c r="R21">
        <f t="shared" si="9"/>
        <v>0.1671010373233624</v>
      </c>
      <c r="S21">
        <f t="shared" si="10"/>
        <v>0.10492160207441598</v>
      </c>
      <c r="T21">
        <f t="shared" si="11"/>
        <v>160.17896110645808</v>
      </c>
      <c r="U21">
        <f t="shared" si="12"/>
        <v>25.379683277124801</v>
      </c>
      <c r="V21">
        <f t="shared" si="13"/>
        <v>25.006319999999999</v>
      </c>
      <c r="W21">
        <f t="shared" si="14"/>
        <v>3.1808758664042305</v>
      </c>
      <c r="X21">
        <f t="shared" si="15"/>
        <v>65.218271686293818</v>
      </c>
      <c r="Y21">
        <f t="shared" si="16"/>
        <v>2.0661797102886137</v>
      </c>
      <c r="Z21">
        <f t="shared" si="17"/>
        <v>3.1680994556665616</v>
      </c>
      <c r="AA21">
        <f t="shared" si="18"/>
        <v>1.1146961561156168</v>
      </c>
      <c r="AB21">
        <f t="shared" si="19"/>
        <v>-86.647910357215451</v>
      </c>
      <c r="AC21">
        <f t="shared" si="20"/>
        <v>-10.488102130793017</v>
      </c>
      <c r="AD21">
        <f t="shared" si="21"/>
        <v>-0.76946063925286512</v>
      </c>
      <c r="AE21">
        <f t="shared" si="22"/>
        <v>62.273487979196751</v>
      </c>
      <c r="AF21">
        <f t="shared" si="23"/>
        <v>27.826112842073616</v>
      </c>
      <c r="AG21">
        <f t="shared" si="24"/>
        <v>1.9648052235196245</v>
      </c>
      <c r="AH21">
        <f t="shared" si="25"/>
        <v>27.904622579982902</v>
      </c>
      <c r="AI21">
        <v>428.11847646956608</v>
      </c>
      <c r="AJ21">
        <v>393.98486666666668</v>
      </c>
      <c r="AK21">
        <v>1.6558068009859259E-4</v>
      </c>
      <c r="AL21">
        <v>67.086984278052839</v>
      </c>
      <c r="AM21">
        <f t="shared" si="26"/>
        <v>1.9759859300924236</v>
      </c>
      <c r="AN21">
        <v>18.89928690044465</v>
      </c>
      <c r="AO21">
        <v>21.219665454545449</v>
      </c>
      <c r="AP21">
        <v>1.029888938000321E-4</v>
      </c>
      <c r="AQ21">
        <v>78.235370207071412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51824.987042506837</v>
      </c>
      <c r="AW21" t="s">
        <v>627</v>
      </c>
      <c r="AX21">
        <v>13256.9</v>
      </c>
      <c r="AY21">
        <v>592.51470588235293</v>
      </c>
      <c r="AZ21">
        <v>2263.5100000000002</v>
      </c>
      <c r="BA21">
        <f t="shared" si="30"/>
        <v>0.73823190271642147</v>
      </c>
      <c r="BB21">
        <v>-2.8506644766585501</v>
      </c>
      <c r="BC21" t="s">
        <v>644</v>
      </c>
      <c r="BD21">
        <v>13246.5</v>
      </c>
      <c r="BE21">
        <v>884.95170588235294</v>
      </c>
      <c r="BF21">
        <v>1284.51</v>
      </c>
      <c r="BG21">
        <f t="shared" si="31"/>
        <v>0.31105892061381157</v>
      </c>
      <c r="BH21">
        <v>0.5</v>
      </c>
      <c r="BI21">
        <f t="shared" si="32"/>
        <v>840.30858788935666</v>
      </c>
      <c r="BJ21">
        <f t="shared" si="33"/>
        <v>27.826112842073616</v>
      </c>
      <c r="BK21">
        <f t="shared" si="34"/>
        <v>130.69274116568974</v>
      </c>
      <c r="BL21">
        <f t="shared" si="35"/>
        <v>3.6506561709412605E-2</v>
      </c>
      <c r="BM21">
        <f t="shared" si="36"/>
        <v>0.76215833274945333</v>
      </c>
      <c r="BN21">
        <f t="shared" si="37"/>
        <v>493.964477128748</v>
      </c>
      <c r="BO21" t="s">
        <v>402</v>
      </c>
      <c r="BP21">
        <v>0</v>
      </c>
      <c r="BQ21">
        <f t="shared" si="38"/>
        <v>493.964477128748</v>
      </c>
      <c r="BR21">
        <f t="shared" si="39"/>
        <v>0.61544520702155059</v>
      </c>
      <c r="BS21">
        <f t="shared" si="40"/>
        <v>0.5054209815349483</v>
      </c>
      <c r="BT21">
        <f t="shared" si="41"/>
        <v>0.55324940067745854</v>
      </c>
      <c r="BU21">
        <f t="shared" si="42"/>
        <v>0.57740030534039677</v>
      </c>
      <c r="BV21">
        <f t="shared" si="43"/>
        <v>0.58587837048155877</v>
      </c>
      <c r="BW21">
        <f t="shared" si="44"/>
        <v>0.28211710222636666</v>
      </c>
      <c r="BX21">
        <f t="shared" si="45"/>
        <v>0.71788289777363334</v>
      </c>
      <c r="DG21">
        <f t="shared" si="46"/>
        <v>1000.011366666667</v>
      </c>
      <c r="DH21">
        <f t="shared" si="47"/>
        <v>840.30858788935666</v>
      </c>
      <c r="DI21">
        <f t="shared" si="48"/>
        <v>0.84029903649030835</v>
      </c>
      <c r="DJ21">
        <f t="shared" si="49"/>
        <v>0.16017714042629519</v>
      </c>
      <c r="DK21">
        <v>6</v>
      </c>
      <c r="DL21">
        <v>0.5</v>
      </c>
      <c r="DM21" t="s">
        <v>403</v>
      </c>
      <c r="DN21">
        <v>2</v>
      </c>
      <c r="DO21" t="b">
        <v>0</v>
      </c>
      <c r="DP21">
        <v>1785255839.849999</v>
      </c>
      <c r="DQ21">
        <v>385.67476666666659</v>
      </c>
      <c r="DR21">
        <v>419.97756666666658</v>
      </c>
      <c r="DS21">
        <v>21.207850000000001</v>
      </c>
      <c r="DT21">
        <v>18.899943333333329</v>
      </c>
      <c r="DU21">
        <v>398.82883333333331</v>
      </c>
      <c r="DV21">
        <v>22.615580000000001</v>
      </c>
      <c r="DW21">
        <v>499.96890000000002</v>
      </c>
      <c r="DX21">
        <v>97.377223333333362</v>
      </c>
      <c r="DY21">
        <v>4.8008846666666667E-2</v>
      </c>
      <c r="DZ21">
        <v>24.938826666666671</v>
      </c>
      <c r="EA21">
        <v>25.006319999999999</v>
      </c>
      <c r="EB21">
        <v>999.9000000000002</v>
      </c>
      <c r="EC21">
        <v>0</v>
      </c>
      <c r="ED21">
        <v>0</v>
      </c>
      <c r="EE21">
        <v>9995.6666666666661</v>
      </c>
      <c r="EF21">
        <v>0</v>
      </c>
      <c r="EG21">
        <v>314.02190000000002</v>
      </c>
      <c r="EH21">
        <v>-34.302819999999997</v>
      </c>
      <c r="EI21">
        <v>394.03133333333341</v>
      </c>
      <c r="EJ21">
        <v>428.06796666666662</v>
      </c>
      <c r="EK21">
        <v>2.3078993333333329</v>
      </c>
      <c r="EL21">
        <v>419.97756666666658</v>
      </c>
      <c r="EM21">
        <v>18.899943333333329</v>
      </c>
      <c r="EN21">
        <v>2.0651609999999998</v>
      </c>
      <c r="EO21">
        <v>1.8404233333333331</v>
      </c>
      <c r="EP21">
        <v>17.952983333333329</v>
      </c>
      <c r="EQ21">
        <v>16.134419999999999</v>
      </c>
      <c r="ER21">
        <v>1000.011366666667</v>
      </c>
      <c r="ES21">
        <v>0.98998459999999999</v>
      </c>
      <c r="ET21">
        <v>1.0015113333333331E-2</v>
      </c>
      <c r="EU21">
        <v>0</v>
      </c>
      <c r="EV21">
        <v>884.70359999999994</v>
      </c>
      <c r="EW21">
        <v>5.0010700000000003</v>
      </c>
      <c r="EX21">
        <v>10571.513333333331</v>
      </c>
      <c r="EY21">
        <v>9080.3220000000019</v>
      </c>
      <c r="EZ21">
        <v>37.351899999999993</v>
      </c>
      <c r="FA21">
        <v>39.75</v>
      </c>
      <c r="FB21">
        <v>38.731099999999991</v>
      </c>
      <c r="FC21">
        <v>39.375</v>
      </c>
      <c r="FD21">
        <v>39</v>
      </c>
      <c r="FE21">
        <v>985.04266666666649</v>
      </c>
      <c r="FF21">
        <v>9.9680000000000053</v>
      </c>
      <c r="FG21">
        <v>0</v>
      </c>
      <c r="FH21">
        <v>180.9000000953674</v>
      </c>
      <c r="FI21">
        <v>0</v>
      </c>
      <c r="FJ21">
        <v>884.95170588235294</v>
      </c>
      <c r="FK21">
        <v>2.3259803571383122</v>
      </c>
      <c r="FL21">
        <v>95.539215969629566</v>
      </c>
      <c r="FM21">
        <v>10576.482352941181</v>
      </c>
      <c r="FN21">
        <v>10</v>
      </c>
      <c r="FO21">
        <v>1785255723.5999999</v>
      </c>
      <c r="FP21" t="s">
        <v>645</v>
      </c>
      <c r="FQ21">
        <v>1785255717.0999999</v>
      </c>
      <c r="FR21">
        <v>1785255723.5999999</v>
      </c>
      <c r="FS21">
        <v>21</v>
      </c>
      <c r="FT21">
        <v>1.6E-2</v>
      </c>
      <c r="FU21">
        <v>2E-3</v>
      </c>
      <c r="FV21">
        <v>-13.286</v>
      </c>
      <c r="FW21">
        <v>-1.472</v>
      </c>
      <c r="FX21">
        <v>420</v>
      </c>
      <c r="FY21">
        <v>19</v>
      </c>
      <c r="FZ21">
        <v>0.25</v>
      </c>
      <c r="GA21">
        <v>0.09</v>
      </c>
      <c r="GB21">
        <v>385.68463333333341</v>
      </c>
      <c r="GC21">
        <v>-0.58312791991041313</v>
      </c>
      <c r="GD21">
        <v>6.817207802482389E-2</v>
      </c>
      <c r="GE21">
        <v>-1</v>
      </c>
      <c r="GF21">
        <v>884.53858823529401</v>
      </c>
      <c r="GG21">
        <v>2.6726661544429908</v>
      </c>
      <c r="GH21">
        <v>0.38076765477179148</v>
      </c>
      <c r="GI21">
        <v>1</v>
      </c>
      <c r="GJ21">
        <v>2.300602</v>
      </c>
      <c r="GK21">
        <v>0.12068420262663709</v>
      </c>
      <c r="GL21">
        <v>1.199274097110414E-2</v>
      </c>
      <c r="GM21">
        <v>1</v>
      </c>
      <c r="GN21">
        <v>2</v>
      </c>
      <c r="GO21">
        <v>2</v>
      </c>
      <c r="GP21" t="s">
        <v>404</v>
      </c>
      <c r="GQ21">
        <v>3.1313399999999998</v>
      </c>
      <c r="GR21">
        <v>2.7239100000000001</v>
      </c>
      <c r="GS21">
        <v>8.7268200000000004E-2</v>
      </c>
      <c r="GT21">
        <v>9.1496999999999995E-2</v>
      </c>
      <c r="GU21">
        <v>0.10764799999999999</v>
      </c>
      <c r="GV21">
        <v>9.5031400000000002E-2</v>
      </c>
      <c r="GW21">
        <v>22943.599999999999</v>
      </c>
      <c r="GX21">
        <v>30451.9</v>
      </c>
      <c r="GY21">
        <v>27254.6</v>
      </c>
      <c r="GZ21">
        <v>34448</v>
      </c>
      <c r="HA21">
        <v>35600.699999999997</v>
      </c>
      <c r="HB21">
        <v>38827.800000000003</v>
      </c>
      <c r="HC21">
        <v>40237.599999999999</v>
      </c>
      <c r="HD21">
        <v>42988.6</v>
      </c>
      <c r="HE21">
        <v>1.9974000000000001</v>
      </c>
      <c r="HF21">
        <v>1.819</v>
      </c>
      <c r="HG21">
        <v>-2.6076999999999999E-2</v>
      </c>
      <c r="HH21">
        <v>0</v>
      </c>
      <c r="HI21">
        <v>25.442299999999999</v>
      </c>
      <c r="HJ21">
        <v>999.9</v>
      </c>
      <c r="HK21">
        <v>66.400000000000006</v>
      </c>
      <c r="HL21">
        <v>33.9</v>
      </c>
      <c r="HM21">
        <v>36.230699999999999</v>
      </c>
      <c r="HN21">
        <v>59.933999999999997</v>
      </c>
      <c r="HO21">
        <v>5.0160299999999998</v>
      </c>
      <c r="HP21">
        <v>1</v>
      </c>
      <c r="HQ21">
        <v>0.301423</v>
      </c>
      <c r="HR21">
        <v>3.2971699999999999</v>
      </c>
      <c r="HS21">
        <v>20.214700000000001</v>
      </c>
      <c r="HT21">
        <v>5.2112999999999996</v>
      </c>
      <c r="HU21">
        <v>11.908099999999999</v>
      </c>
      <c r="HV21">
        <v>4.9851999999999999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1.8631</v>
      </c>
      <c r="ID21">
        <v>1.8625799999999999</v>
      </c>
      <c r="IE21">
        <v>1.86209</v>
      </c>
      <c r="IF21">
        <v>1.86212</v>
      </c>
      <c r="IG21">
        <v>1.8627899999999999</v>
      </c>
      <c r="IH21">
        <v>1.86371</v>
      </c>
      <c r="II21">
        <v>1.8616299999999999</v>
      </c>
      <c r="IJ21">
        <v>0</v>
      </c>
      <c r="IK21">
        <v>0</v>
      </c>
      <c r="IL21">
        <v>0</v>
      </c>
      <c r="IM21">
        <v>4.5</v>
      </c>
      <c r="IN21" t="s">
        <v>405</v>
      </c>
      <c r="IO21" t="s">
        <v>406</v>
      </c>
      <c r="IP21" t="s">
        <v>407</v>
      </c>
      <c r="IQ21" t="s">
        <v>408</v>
      </c>
      <c r="IR21" t="s">
        <v>408</v>
      </c>
      <c r="IS21" t="s">
        <v>407</v>
      </c>
      <c r="IT21">
        <v>0</v>
      </c>
      <c r="IU21">
        <v>100</v>
      </c>
      <c r="IV21">
        <v>100</v>
      </c>
      <c r="IW21">
        <v>-13.154</v>
      </c>
      <c r="IX21">
        <v>-1.4075</v>
      </c>
      <c r="IY21">
        <v>-11.270524850254221</v>
      </c>
      <c r="IZ21">
        <v>-5.6215304933332991E-3</v>
      </c>
      <c r="JA21">
        <v>2.3979931213773931E-6</v>
      </c>
      <c r="JB21">
        <v>-3.6297174575716598E-10</v>
      </c>
      <c r="JC21">
        <v>-1.76215854154701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2.2000000000000002</v>
      </c>
      <c r="JL21">
        <v>2.1</v>
      </c>
      <c r="JM21">
        <v>1.10229</v>
      </c>
      <c r="JN21">
        <v>2.50488</v>
      </c>
      <c r="JO21">
        <v>1.50024</v>
      </c>
      <c r="JP21">
        <v>2.2778299999999998</v>
      </c>
      <c r="JQ21">
        <v>1.4477500000000001</v>
      </c>
      <c r="JR21">
        <v>2.36816</v>
      </c>
      <c r="JS21">
        <v>39.316899999999997</v>
      </c>
      <c r="JT21">
        <v>23.903600000000001</v>
      </c>
      <c r="JU21">
        <v>18</v>
      </c>
      <c r="JV21">
        <v>540.02499999999998</v>
      </c>
      <c r="JW21">
        <v>440.16699999999997</v>
      </c>
      <c r="JX21">
        <v>22.2606</v>
      </c>
      <c r="JY21">
        <v>30.942699999999999</v>
      </c>
      <c r="JZ21">
        <v>30.0001</v>
      </c>
      <c r="KA21">
        <v>30.933399999999999</v>
      </c>
      <c r="KB21">
        <v>30.938600000000001</v>
      </c>
      <c r="KC21">
        <v>22.0457</v>
      </c>
      <c r="KD21">
        <v>47.256500000000003</v>
      </c>
      <c r="KE21">
        <v>0</v>
      </c>
      <c r="KF21">
        <v>22.26</v>
      </c>
      <c r="KG21">
        <v>420</v>
      </c>
      <c r="KH21">
        <v>18.8385</v>
      </c>
      <c r="KI21">
        <v>100.574</v>
      </c>
      <c r="KJ21">
        <v>97.431799999999996</v>
      </c>
    </row>
    <row r="22" spans="1:296" x14ac:dyDescent="0.3">
      <c r="A22">
        <v>6</v>
      </c>
      <c r="B22">
        <v>1785256029.0999999</v>
      </c>
      <c r="C22">
        <v>907.5</v>
      </c>
      <c r="D22" t="s">
        <v>646</v>
      </c>
      <c r="E22" t="s">
        <v>647</v>
      </c>
      <c r="F22">
        <v>15</v>
      </c>
      <c r="H22">
        <v>1785256021.349999</v>
      </c>
      <c r="I22">
        <f t="shared" si="0"/>
        <v>1.9584846387692527E-3</v>
      </c>
      <c r="J22">
        <f t="shared" si="1"/>
        <v>1.9584846387692527</v>
      </c>
      <c r="K22">
        <f t="shared" si="2"/>
        <v>26.490767950850763</v>
      </c>
      <c r="L22">
        <f t="shared" si="3"/>
        <v>387.29203333333328</v>
      </c>
      <c r="M22">
        <f t="shared" si="4"/>
        <v>128.32132046858405</v>
      </c>
      <c r="N22">
        <f t="shared" si="5"/>
        <v>12.501687208639824</v>
      </c>
      <c r="O22">
        <f t="shared" si="6"/>
        <v>37.731873717094615</v>
      </c>
      <c r="P22">
        <f t="shared" si="7"/>
        <v>0.17149935902678085</v>
      </c>
      <c r="Q22">
        <f t="shared" si="8"/>
        <v>2.881387037255041</v>
      </c>
      <c r="R22">
        <f t="shared" si="9"/>
        <v>0.16602368285857272</v>
      </c>
      <c r="S22">
        <f t="shared" si="10"/>
        <v>0.10424220587998409</v>
      </c>
      <c r="T22">
        <f t="shared" si="11"/>
        <v>128.27770251347368</v>
      </c>
      <c r="U22">
        <f t="shared" si="12"/>
        <v>25.183884680583446</v>
      </c>
      <c r="V22">
        <f t="shared" si="13"/>
        <v>24.990123333333329</v>
      </c>
      <c r="W22">
        <f t="shared" si="14"/>
        <v>3.1778057569849261</v>
      </c>
      <c r="X22">
        <f t="shared" si="15"/>
        <v>65.029654545933724</v>
      </c>
      <c r="Y22">
        <f t="shared" si="16"/>
        <v>2.0594317273961247</v>
      </c>
      <c r="Z22">
        <f t="shared" si="17"/>
        <v>3.166911683255897</v>
      </c>
      <c r="AA22">
        <f t="shared" si="18"/>
        <v>1.1183740295888014</v>
      </c>
      <c r="AB22">
        <f t="shared" si="19"/>
        <v>-86.369172569724043</v>
      </c>
      <c r="AC22">
        <f t="shared" si="20"/>
        <v>-8.9450720437639131</v>
      </c>
      <c r="AD22">
        <f t="shared" si="21"/>
        <v>-0.65640695847713193</v>
      </c>
      <c r="AE22">
        <f t="shared" si="22"/>
        <v>32.307050941508592</v>
      </c>
      <c r="AF22">
        <f t="shared" si="23"/>
        <v>26.490767950850763</v>
      </c>
      <c r="AG22">
        <f t="shared" si="24"/>
        <v>1.9584846387692527</v>
      </c>
      <c r="AH22">
        <f t="shared" si="25"/>
        <v>26.314718634355135</v>
      </c>
      <c r="AI22">
        <v>427.91932475776758</v>
      </c>
      <c r="AJ22">
        <v>395.67082424242409</v>
      </c>
      <c r="AK22">
        <v>1.218702247665634E-2</v>
      </c>
      <c r="AL22">
        <v>67.087942945313145</v>
      </c>
      <c r="AM22">
        <f t="shared" si="26"/>
        <v>1.9611789363538159</v>
      </c>
      <c r="AN22">
        <v>18.83967322939144</v>
      </c>
      <c r="AO22">
        <v>21.143085454545449</v>
      </c>
      <c r="AP22">
        <v>4.3190308498465778E-5</v>
      </c>
      <c r="AQ22">
        <v>78.237910533904838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51797.808351525833</v>
      </c>
      <c r="AW22" t="s">
        <v>627</v>
      </c>
      <c r="AX22">
        <v>13256.9</v>
      </c>
      <c r="AY22">
        <v>592.51470588235293</v>
      </c>
      <c r="AZ22">
        <v>2263.5100000000002</v>
      </c>
      <c r="BA22">
        <f t="shared" si="30"/>
        <v>0.73823190271642147</v>
      </c>
      <c r="BB22">
        <v>-2.8506644766585501</v>
      </c>
      <c r="BC22" t="s">
        <v>648</v>
      </c>
      <c r="BD22">
        <v>13266</v>
      </c>
      <c r="BE22">
        <v>876.61947058823534</v>
      </c>
      <c r="BF22">
        <v>1388.41</v>
      </c>
      <c r="BG22">
        <f t="shared" si="31"/>
        <v>0.36861628006983871</v>
      </c>
      <c r="BH22">
        <v>0.5</v>
      </c>
      <c r="BI22">
        <f t="shared" si="32"/>
        <v>672.3100438308154</v>
      </c>
      <c r="BJ22">
        <f t="shared" si="33"/>
        <v>26.490767950850763</v>
      </c>
      <c r="BK22">
        <f t="shared" si="34"/>
        <v>123.9122137052527</v>
      </c>
      <c r="BL22">
        <f t="shared" si="35"/>
        <v>4.3642710229825139E-2</v>
      </c>
      <c r="BM22">
        <f t="shared" si="36"/>
        <v>0.63028932375883207</v>
      </c>
      <c r="BN22">
        <f t="shared" si="37"/>
        <v>508.60083820036789</v>
      </c>
      <c r="BO22" t="s">
        <v>402</v>
      </c>
      <c r="BP22">
        <v>0</v>
      </c>
      <c r="BQ22">
        <f t="shared" si="38"/>
        <v>508.60083820036789</v>
      </c>
      <c r="BR22">
        <f t="shared" si="39"/>
        <v>0.63368108973547588</v>
      </c>
      <c r="BS22">
        <f t="shared" si="40"/>
        <v>0.58170629681203523</v>
      </c>
      <c r="BT22">
        <f t="shared" si="41"/>
        <v>0.49865828901514114</v>
      </c>
      <c r="BU22">
        <f t="shared" si="42"/>
        <v>0.64303751158517741</v>
      </c>
      <c r="BV22">
        <f t="shared" si="43"/>
        <v>0.52369985904842908</v>
      </c>
      <c r="BW22">
        <f t="shared" si="44"/>
        <v>0.33749685019716197</v>
      </c>
      <c r="BX22">
        <f t="shared" si="45"/>
        <v>0.66250314980283798</v>
      </c>
      <c r="DG22">
        <f t="shared" si="46"/>
        <v>800.00046666666674</v>
      </c>
      <c r="DH22">
        <f t="shared" si="47"/>
        <v>672.3100438308154</v>
      </c>
      <c r="DI22">
        <f t="shared" si="48"/>
        <v>0.84038706456273149</v>
      </c>
      <c r="DJ22">
        <f t="shared" si="49"/>
        <v>0.16034703460607191</v>
      </c>
      <c r="DK22">
        <v>6</v>
      </c>
      <c r="DL22">
        <v>0.5</v>
      </c>
      <c r="DM22" t="s">
        <v>403</v>
      </c>
      <c r="DN22">
        <v>2</v>
      </c>
      <c r="DO22" t="b">
        <v>0</v>
      </c>
      <c r="DP22">
        <v>1785256021.349999</v>
      </c>
      <c r="DQ22">
        <v>387.29203333333328</v>
      </c>
      <c r="DR22">
        <v>419.99146666666661</v>
      </c>
      <c r="DS22">
        <v>21.138666666666669</v>
      </c>
      <c r="DT22">
        <v>18.838143333333331</v>
      </c>
      <c r="DU22">
        <v>400.50796666666668</v>
      </c>
      <c r="DV22">
        <v>22.55757333333333</v>
      </c>
      <c r="DW22">
        <v>499.99533333333329</v>
      </c>
      <c r="DX22">
        <v>97.37706</v>
      </c>
      <c r="DY22">
        <v>4.7804106666666679E-2</v>
      </c>
      <c r="DZ22">
        <v>24.932539999999999</v>
      </c>
      <c r="EA22">
        <v>24.990123333333329</v>
      </c>
      <c r="EB22">
        <v>999.9000000000002</v>
      </c>
      <c r="EC22">
        <v>0</v>
      </c>
      <c r="ED22">
        <v>0</v>
      </c>
      <c r="EE22">
        <v>9990</v>
      </c>
      <c r="EF22">
        <v>0</v>
      </c>
      <c r="EG22">
        <v>337.70366666666672</v>
      </c>
      <c r="EH22">
        <v>-32.699443333333328</v>
      </c>
      <c r="EI22">
        <v>395.65563333333341</v>
      </c>
      <c r="EJ22">
        <v>428.05526666666663</v>
      </c>
      <c r="EK22">
        <v>2.3005089999999999</v>
      </c>
      <c r="EL22">
        <v>419.99146666666661</v>
      </c>
      <c r="EM22">
        <v>18.838143333333331</v>
      </c>
      <c r="EN22">
        <v>2.0584203333333329</v>
      </c>
      <c r="EO22">
        <v>1.8344039999999999</v>
      </c>
      <c r="EP22">
        <v>17.901016666666671</v>
      </c>
      <c r="EQ22">
        <v>16.083083333333331</v>
      </c>
      <c r="ER22">
        <v>800.00046666666674</v>
      </c>
      <c r="ES22">
        <v>0.98701249999999996</v>
      </c>
      <c r="ET22">
        <v>1.298731333333333E-2</v>
      </c>
      <c r="EU22">
        <v>0</v>
      </c>
      <c r="EV22">
        <v>876.51840000000027</v>
      </c>
      <c r="EW22">
        <v>5.0010700000000003</v>
      </c>
      <c r="EX22">
        <v>8725.7816666666677</v>
      </c>
      <c r="EY22">
        <v>7246.6603333333333</v>
      </c>
      <c r="EZ22">
        <v>36.75</v>
      </c>
      <c r="FA22">
        <v>39.441199999999988</v>
      </c>
      <c r="FB22">
        <v>38.295466666666663</v>
      </c>
      <c r="FC22">
        <v>39.125</v>
      </c>
      <c r="FD22">
        <v>38.54546666666667</v>
      </c>
      <c r="FE22">
        <v>784.673</v>
      </c>
      <c r="FF22">
        <v>10.321666666666671</v>
      </c>
      <c r="FG22">
        <v>0</v>
      </c>
      <c r="FH22">
        <v>180.70000004768369</v>
      </c>
      <c r="FI22">
        <v>0</v>
      </c>
      <c r="FJ22">
        <v>876.61947058823534</v>
      </c>
      <c r="FK22">
        <v>1.505637205246275</v>
      </c>
      <c r="FL22">
        <v>90.330882493313609</v>
      </c>
      <c r="FM22">
        <v>8727.2347058823525</v>
      </c>
      <c r="FN22">
        <v>10</v>
      </c>
      <c r="FO22">
        <v>1785255901.0999999</v>
      </c>
      <c r="FP22" t="s">
        <v>649</v>
      </c>
      <c r="FQ22">
        <v>1785255897.0999999</v>
      </c>
      <c r="FR22">
        <v>1785255901.0999999</v>
      </c>
      <c r="FS22">
        <v>22</v>
      </c>
      <c r="FT22">
        <v>-5.5E-2</v>
      </c>
      <c r="FU22">
        <v>-0.01</v>
      </c>
      <c r="FV22">
        <v>-13.340999999999999</v>
      </c>
      <c r="FW22">
        <v>-1.478</v>
      </c>
      <c r="FX22">
        <v>420</v>
      </c>
      <c r="FY22">
        <v>19</v>
      </c>
      <c r="FZ22">
        <v>0.27</v>
      </c>
      <c r="GA22">
        <v>0.13</v>
      </c>
      <c r="GB22">
        <v>387.28516129032261</v>
      </c>
      <c r="GC22">
        <v>-0.1289516129045522</v>
      </c>
      <c r="GD22">
        <v>5.140296010943856E-2</v>
      </c>
      <c r="GE22">
        <v>-1</v>
      </c>
      <c r="GF22">
        <v>876.32644117647067</v>
      </c>
      <c r="GG22">
        <v>3.0350649310881952</v>
      </c>
      <c r="GH22">
        <v>0.36969885926222718</v>
      </c>
      <c r="GI22">
        <v>1</v>
      </c>
      <c r="GJ22">
        <v>2.300153414634146</v>
      </c>
      <c r="GK22">
        <v>2.1280139372819341E-3</v>
      </c>
      <c r="GL22">
        <v>3.4763532965900569E-3</v>
      </c>
      <c r="GM22">
        <v>1</v>
      </c>
      <c r="GN22">
        <v>2</v>
      </c>
      <c r="GO22">
        <v>2</v>
      </c>
      <c r="GP22" t="s">
        <v>404</v>
      </c>
      <c r="GQ22">
        <v>3.1305399999999999</v>
      </c>
      <c r="GR22">
        <v>2.7242000000000002</v>
      </c>
      <c r="GS22">
        <v>8.7575600000000003E-2</v>
      </c>
      <c r="GT22">
        <v>9.1494000000000006E-2</v>
      </c>
      <c r="GU22">
        <v>0.10742500000000001</v>
      </c>
      <c r="GV22">
        <v>9.4818200000000005E-2</v>
      </c>
      <c r="GW22">
        <v>22936.799999999999</v>
      </c>
      <c r="GX22">
        <v>30450.3</v>
      </c>
      <c r="GY22">
        <v>27255.599999999999</v>
      </c>
      <c r="GZ22">
        <v>34446.199999999997</v>
      </c>
      <c r="HA22">
        <v>35610.6</v>
      </c>
      <c r="HB22">
        <v>38833.4</v>
      </c>
      <c r="HC22">
        <v>40238.6</v>
      </c>
      <c r="HD22">
        <v>42984.7</v>
      </c>
      <c r="HE22">
        <v>1.9962</v>
      </c>
      <c r="HF22">
        <v>1.8196000000000001</v>
      </c>
      <c r="HG22">
        <v>-3.1858699999999997E-2</v>
      </c>
      <c r="HH22">
        <v>0</v>
      </c>
      <c r="HI22">
        <v>25.537700000000001</v>
      </c>
      <c r="HJ22">
        <v>999.9</v>
      </c>
      <c r="HK22">
        <v>66.099999999999994</v>
      </c>
      <c r="HL22">
        <v>34</v>
      </c>
      <c r="HM22">
        <v>36.269599999999997</v>
      </c>
      <c r="HN22">
        <v>60.154000000000003</v>
      </c>
      <c r="HO22">
        <v>5.0761200000000004</v>
      </c>
      <c r="HP22">
        <v>1</v>
      </c>
      <c r="HQ22">
        <v>0.300732</v>
      </c>
      <c r="HR22">
        <v>3.1596899999999999</v>
      </c>
      <c r="HS22">
        <v>20.2181</v>
      </c>
      <c r="HT22">
        <v>5.2100999999999997</v>
      </c>
      <c r="HU22">
        <v>11.9069</v>
      </c>
      <c r="HV22">
        <v>4.9851999999999999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1.8631</v>
      </c>
      <c r="ID22">
        <v>1.8626400000000001</v>
      </c>
      <c r="IE22">
        <v>1.86206</v>
      </c>
      <c r="IF22">
        <v>1.8621799999999999</v>
      </c>
      <c r="IG22">
        <v>1.8627899999999999</v>
      </c>
      <c r="IH22">
        <v>1.86371</v>
      </c>
      <c r="II22">
        <v>1.8615999999999999</v>
      </c>
      <c r="IJ22">
        <v>0</v>
      </c>
      <c r="IK22">
        <v>0</v>
      </c>
      <c r="IL22">
        <v>0</v>
      </c>
      <c r="IM22">
        <v>4.5</v>
      </c>
      <c r="IN22" t="s">
        <v>405</v>
      </c>
      <c r="IO22" t="s">
        <v>406</v>
      </c>
      <c r="IP22" t="s">
        <v>407</v>
      </c>
      <c r="IQ22" t="s">
        <v>408</v>
      </c>
      <c r="IR22" t="s">
        <v>408</v>
      </c>
      <c r="IS22" t="s">
        <v>407</v>
      </c>
      <c r="IT22">
        <v>0</v>
      </c>
      <c r="IU22">
        <v>100</v>
      </c>
      <c r="IV22">
        <v>100</v>
      </c>
      <c r="IW22">
        <v>-13.215999999999999</v>
      </c>
      <c r="IX22">
        <v>-1.4188000000000001</v>
      </c>
      <c r="IY22">
        <v>-11.32572520940159</v>
      </c>
      <c r="IZ22">
        <v>-5.6215304933332991E-3</v>
      </c>
      <c r="JA22">
        <v>2.3979931213773931E-6</v>
      </c>
      <c r="JB22">
        <v>-3.6297174575716598E-10</v>
      </c>
      <c r="JC22">
        <v>-1.7717871470522439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2.2000000000000002</v>
      </c>
      <c r="JL22">
        <v>2.1</v>
      </c>
      <c r="JM22">
        <v>1.10229</v>
      </c>
      <c r="JN22">
        <v>2.50488</v>
      </c>
      <c r="JO22">
        <v>1.50024</v>
      </c>
      <c r="JP22">
        <v>2.2766099999999998</v>
      </c>
      <c r="JQ22">
        <v>1.4477500000000001</v>
      </c>
      <c r="JR22">
        <v>2.4145500000000002</v>
      </c>
      <c r="JS22">
        <v>39.491599999999998</v>
      </c>
      <c r="JT22">
        <v>23.903600000000001</v>
      </c>
      <c r="JU22">
        <v>18</v>
      </c>
      <c r="JV22">
        <v>539.21799999999996</v>
      </c>
      <c r="JW22">
        <v>440.5</v>
      </c>
      <c r="JX22">
        <v>22.4206</v>
      </c>
      <c r="JY22">
        <v>30.945399999999999</v>
      </c>
      <c r="JZ22">
        <v>30.0001</v>
      </c>
      <c r="KA22">
        <v>30.930800000000001</v>
      </c>
      <c r="KB22">
        <v>30.933299999999999</v>
      </c>
      <c r="KC22">
        <v>22.044699999999999</v>
      </c>
      <c r="KD22">
        <v>47.427100000000003</v>
      </c>
      <c r="KE22">
        <v>0</v>
      </c>
      <c r="KF22">
        <v>22.420999999999999</v>
      </c>
      <c r="KG22">
        <v>420</v>
      </c>
      <c r="KH22">
        <v>18.7681</v>
      </c>
      <c r="KI22">
        <v>100.577</v>
      </c>
      <c r="KJ22">
        <v>97.424499999999995</v>
      </c>
    </row>
    <row r="23" spans="1:296" x14ac:dyDescent="0.3">
      <c r="A23">
        <v>7</v>
      </c>
      <c r="B23">
        <v>1785256210.5999999</v>
      </c>
      <c r="C23">
        <v>1089</v>
      </c>
      <c r="D23" t="s">
        <v>650</v>
      </c>
      <c r="E23" t="s">
        <v>651</v>
      </c>
      <c r="F23">
        <v>15</v>
      </c>
      <c r="H23">
        <v>1785256202.599999</v>
      </c>
      <c r="I23">
        <f t="shared" si="0"/>
        <v>1.8580747378430654E-3</v>
      </c>
      <c r="J23">
        <f t="shared" si="1"/>
        <v>1.8580747378430655</v>
      </c>
      <c r="K23">
        <f t="shared" si="2"/>
        <v>24.089723615017384</v>
      </c>
      <c r="L23">
        <f t="shared" si="3"/>
        <v>390.23029032258057</v>
      </c>
      <c r="M23">
        <f t="shared" si="4"/>
        <v>141.05551761053729</v>
      </c>
      <c r="N23">
        <f t="shared" si="5"/>
        <v>13.743419862439531</v>
      </c>
      <c r="O23">
        <f t="shared" si="6"/>
        <v>38.021190619091797</v>
      </c>
      <c r="P23">
        <f t="shared" si="7"/>
        <v>0.16206438033165599</v>
      </c>
      <c r="Q23">
        <f t="shared" si="8"/>
        <v>2.884460165900423</v>
      </c>
      <c r="R23">
        <f t="shared" si="9"/>
        <v>0.15717040324529183</v>
      </c>
      <c r="S23">
        <f t="shared" si="10"/>
        <v>9.8658895989340023E-2</v>
      </c>
      <c r="T23">
        <f t="shared" si="11"/>
        <v>96.349749435105878</v>
      </c>
      <c r="U23">
        <f t="shared" si="12"/>
        <v>25.036580085586575</v>
      </c>
      <c r="V23">
        <f t="shared" si="13"/>
        <v>24.99475806451613</v>
      </c>
      <c r="W23">
        <f t="shared" si="14"/>
        <v>3.178684014635428</v>
      </c>
      <c r="X23">
        <f t="shared" si="15"/>
        <v>64.909006658558283</v>
      </c>
      <c r="Y23">
        <f t="shared" si="16"/>
        <v>2.0577836425651372</v>
      </c>
      <c r="Z23">
        <f t="shared" si="17"/>
        <v>3.1702590264394646</v>
      </c>
      <c r="AA23">
        <f t="shared" si="18"/>
        <v>1.1209003720702908</v>
      </c>
      <c r="AB23">
        <f t="shared" si="19"/>
        <v>-81.941095938879187</v>
      </c>
      <c r="AC23">
        <f t="shared" si="20"/>
        <v>-6.9210655037225299</v>
      </c>
      <c r="AD23">
        <f t="shared" si="21"/>
        <v>-0.50739735545880504</v>
      </c>
      <c r="AE23">
        <f t="shared" si="22"/>
        <v>6.9801906370453546</v>
      </c>
      <c r="AF23">
        <f t="shared" si="23"/>
        <v>24.089723615017384</v>
      </c>
      <c r="AG23">
        <f t="shared" si="24"/>
        <v>1.8580747378430655</v>
      </c>
      <c r="AH23">
        <f t="shared" si="25"/>
        <v>24.051564474406774</v>
      </c>
      <c r="AI23">
        <v>428.08570513630309</v>
      </c>
      <c r="AJ23">
        <v>398.65147272727268</v>
      </c>
      <c r="AK23">
        <v>3.2067546215725769E-3</v>
      </c>
      <c r="AL23">
        <v>67.09034158164674</v>
      </c>
      <c r="AM23">
        <f t="shared" si="26"/>
        <v>1.8580550089421783</v>
      </c>
      <c r="AN23">
        <v>18.935554007922342</v>
      </c>
      <c r="AO23">
        <v>21.117973333333332</v>
      </c>
      <c r="AP23">
        <v>5.9085378466868477E-6</v>
      </c>
      <c r="AQ23">
        <v>78.242837284997151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51882.769995523879</v>
      </c>
      <c r="AW23" t="s">
        <v>627</v>
      </c>
      <c r="AX23">
        <v>13256.9</v>
      </c>
      <c r="AY23">
        <v>592.51470588235293</v>
      </c>
      <c r="AZ23">
        <v>2263.5100000000002</v>
      </c>
      <c r="BA23">
        <f t="shared" si="30"/>
        <v>0.73823190271642147</v>
      </c>
      <c r="BB23">
        <v>-2.8506644766585501</v>
      </c>
      <c r="BC23" t="s">
        <v>652</v>
      </c>
      <c r="BD23">
        <v>13262.6</v>
      </c>
      <c r="BE23">
        <v>864.76823529411763</v>
      </c>
      <c r="BF23">
        <v>1541.81</v>
      </c>
      <c r="BG23">
        <f t="shared" si="31"/>
        <v>0.43912139933317484</v>
      </c>
      <c r="BH23">
        <v>0.5</v>
      </c>
      <c r="BI23">
        <f t="shared" si="32"/>
        <v>504.32633448919074</v>
      </c>
      <c r="BJ23">
        <f t="shared" si="33"/>
        <v>24.089723615017384</v>
      </c>
      <c r="BK23">
        <f t="shared" si="34"/>
        <v>110.73024286073212</v>
      </c>
      <c r="BL23">
        <f t="shared" si="35"/>
        <v>5.3418563040065377E-2</v>
      </c>
      <c r="BM23">
        <f t="shared" si="36"/>
        <v>0.46808621036314479</v>
      </c>
      <c r="BN23">
        <f t="shared" si="37"/>
        <v>527.83862038102029</v>
      </c>
      <c r="BO23" t="s">
        <v>402</v>
      </c>
      <c r="BP23">
        <v>0</v>
      </c>
      <c r="BQ23">
        <f t="shared" si="38"/>
        <v>527.83862038102029</v>
      </c>
      <c r="BR23">
        <f t="shared" si="39"/>
        <v>0.65765002148058427</v>
      </c>
      <c r="BS23">
        <f t="shared" si="40"/>
        <v>0.667712894381984</v>
      </c>
      <c r="BT23">
        <f t="shared" si="41"/>
        <v>0.41580451718828831</v>
      </c>
      <c r="BU23">
        <f t="shared" si="42"/>
        <v>0.71320459387211066</v>
      </c>
      <c r="BV23">
        <f t="shared" si="43"/>
        <v>0.4318982839392656</v>
      </c>
      <c r="BW23">
        <f t="shared" si="44"/>
        <v>0.40755966581188524</v>
      </c>
      <c r="BX23">
        <f t="shared" si="45"/>
        <v>0.59244033418811481</v>
      </c>
      <c r="DG23">
        <f t="shared" si="46"/>
        <v>600.02741935483868</v>
      </c>
      <c r="DH23">
        <f t="shared" si="47"/>
        <v>504.32633448919074</v>
      </c>
      <c r="DI23">
        <f t="shared" si="48"/>
        <v>0.84050548061862296</v>
      </c>
      <c r="DJ23">
        <f t="shared" si="49"/>
        <v>0.16057557759394234</v>
      </c>
      <c r="DK23">
        <v>6</v>
      </c>
      <c r="DL23">
        <v>0.5</v>
      </c>
      <c r="DM23" t="s">
        <v>403</v>
      </c>
      <c r="DN23">
        <v>2</v>
      </c>
      <c r="DO23" t="b">
        <v>0</v>
      </c>
      <c r="DP23">
        <v>1785256202.599999</v>
      </c>
      <c r="DQ23">
        <v>390.23029032258057</v>
      </c>
      <c r="DR23">
        <v>420.00635483870968</v>
      </c>
      <c r="DS23">
        <v>21.120051612903229</v>
      </c>
      <c r="DT23">
        <v>18.937577419354842</v>
      </c>
      <c r="DU23">
        <v>403.48409677419357</v>
      </c>
      <c r="DV23">
        <v>22.540916129032261</v>
      </c>
      <c r="DW23">
        <v>500.0284838709677</v>
      </c>
      <c r="DX23">
        <v>97.384238709677433</v>
      </c>
      <c r="DY23">
        <v>4.8460806451612909E-2</v>
      </c>
      <c r="DZ23">
        <v>24.95025161290323</v>
      </c>
      <c r="EA23">
        <v>24.99475806451613</v>
      </c>
      <c r="EB23">
        <v>999.90000000000032</v>
      </c>
      <c r="EC23">
        <v>0</v>
      </c>
      <c r="ED23">
        <v>0</v>
      </c>
      <c r="EE23">
        <v>10006.93548387097</v>
      </c>
      <c r="EF23">
        <v>0</v>
      </c>
      <c r="EG23">
        <v>302.25838709677407</v>
      </c>
      <c r="EH23">
        <v>-29.776051612903231</v>
      </c>
      <c r="EI23">
        <v>398.64977419354841</v>
      </c>
      <c r="EJ23">
        <v>428.11374193548392</v>
      </c>
      <c r="EK23">
        <v>2.182454838709678</v>
      </c>
      <c r="EL23">
        <v>420.00635483870968</v>
      </c>
      <c r="EM23">
        <v>18.937577419354842</v>
      </c>
      <c r="EN23">
        <v>2.0567596774193548</v>
      </c>
      <c r="EO23">
        <v>1.844222258064516</v>
      </c>
      <c r="EP23">
        <v>17.888196774193549</v>
      </c>
      <c r="EQ23">
        <v>16.16674193548387</v>
      </c>
      <c r="ER23">
        <v>600.02741935483868</v>
      </c>
      <c r="ES23">
        <v>0.98300161290322585</v>
      </c>
      <c r="ET23">
        <v>1.6998509677419359E-2</v>
      </c>
      <c r="EU23">
        <v>0</v>
      </c>
      <c r="EV23">
        <v>864.64738709677408</v>
      </c>
      <c r="EW23">
        <v>5.0010700000000003</v>
      </c>
      <c r="EX23">
        <v>6690.7512903225816</v>
      </c>
      <c r="EY23">
        <v>5415.3629032258059</v>
      </c>
      <c r="EZ23">
        <v>36.141000000000012</v>
      </c>
      <c r="FA23">
        <v>39.160999999999987</v>
      </c>
      <c r="FB23">
        <v>37.875</v>
      </c>
      <c r="FC23">
        <v>38.828258064516113</v>
      </c>
      <c r="FD23">
        <v>38.061999999999983</v>
      </c>
      <c r="FE23">
        <v>584.91193548387105</v>
      </c>
      <c r="FF23">
        <v>10.11</v>
      </c>
      <c r="FG23">
        <v>0</v>
      </c>
      <c r="FH23">
        <v>180.9000000953674</v>
      </c>
      <c r="FI23">
        <v>0</v>
      </c>
      <c r="FJ23">
        <v>864.76823529411763</v>
      </c>
      <c r="FK23">
        <v>4.6985293809411868</v>
      </c>
      <c r="FL23">
        <v>-88.078431369481308</v>
      </c>
      <c r="FM23">
        <v>6688.61</v>
      </c>
      <c r="FN23">
        <v>10</v>
      </c>
      <c r="FO23">
        <v>1785256087.0999999</v>
      </c>
      <c r="FP23" t="s">
        <v>653</v>
      </c>
      <c r="FQ23">
        <v>1785256086.5999999</v>
      </c>
      <c r="FR23">
        <v>1785256087.0999999</v>
      </c>
      <c r="FS23">
        <v>23</v>
      </c>
      <c r="FT23">
        <v>-2.5999999999999999E-2</v>
      </c>
      <c r="FU23">
        <v>-2E-3</v>
      </c>
      <c r="FV23">
        <v>-13.368</v>
      </c>
      <c r="FW23">
        <v>-1.4790000000000001</v>
      </c>
      <c r="FX23">
        <v>420</v>
      </c>
      <c r="FY23">
        <v>19</v>
      </c>
      <c r="FZ23">
        <v>0.28000000000000003</v>
      </c>
      <c r="GA23">
        <v>0.15</v>
      </c>
      <c r="GB23">
        <v>390.23066666666671</v>
      </c>
      <c r="GC23">
        <v>-2.1837597329533571E-2</v>
      </c>
      <c r="GD23">
        <v>5.690245064045453E-2</v>
      </c>
      <c r="GE23">
        <v>-1</v>
      </c>
      <c r="GF23">
        <v>864.49858823529405</v>
      </c>
      <c r="GG23">
        <v>2.3019404109600301</v>
      </c>
      <c r="GH23">
        <v>0.28067231444672941</v>
      </c>
      <c r="GI23">
        <v>1</v>
      </c>
      <c r="GJ23">
        <v>2.1829832499999999</v>
      </c>
      <c r="GK23">
        <v>-1.0820825515951329E-2</v>
      </c>
      <c r="GL23">
        <v>3.3449188237534258E-3</v>
      </c>
      <c r="GM23">
        <v>1</v>
      </c>
      <c r="GN23">
        <v>2</v>
      </c>
      <c r="GO23">
        <v>2</v>
      </c>
      <c r="GP23" t="s">
        <v>404</v>
      </c>
      <c r="GQ23">
        <v>3.1305399999999999</v>
      </c>
      <c r="GR23">
        <v>2.7248299999999999</v>
      </c>
      <c r="GS23">
        <v>8.8066000000000005E-2</v>
      </c>
      <c r="GT23">
        <v>9.15213E-2</v>
      </c>
      <c r="GU23">
        <v>0.10735500000000001</v>
      </c>
      <c r="GV23">
        <v>9.5172099999999996E-2</v>
      </c>
      <c r="GW23">
        <v>22922.6</v>
      </c>
      <c r="GX23">
        <v>30447.3</v>
      </c>
      <c r="GY23">
        <v>27253.5</v>
      </c>
      <c r="GZ23">
        <v>34443.9</v>
      </c>
      <c r="HA23">
        <v>35611.1</v>
      </c>
      <c r="HB23">
        <v>38815.800000000003</v>
      </c>
      <c r="HC23">
        <v>40235.9</v>
      </c>
      <c r="HD23">
        <v>42982</v>
      </c>
      <c r="HE23">
        <v>1.9954000000000001</v>
      </c>
      <c r="HF23">
        <v>1.8178000000000001</v>
      </c>
      <c r="HG23">
        <v>-3.5762799999999997E-2</v>
      </c>
      <c r="HH23">
        <v>0</v>
      </c>
      <c r="HI23">
        <v>25.58</v>
      </c>
      <c r="HJ23">
        <v>999.9</v>
      </c>
      <c r="HK23">
        <v>65.7</v>
      </c>
      <c r="HL23">
        <v>34.1</v>
      </c>
      <c r="HM23">
        <v>36.247599999999998</v>
      </c>
      <c r="HN23">
        <v>60.084000000000003</v>
      </c>
      <c r="HO23">
        <v>5.4046500000000002</v>
      </c>
      <c r="HP23">
        <v>1</v>
      </c>
      <c r="HQ23">
        <v>0.30195100000000002</v>
      </c>
      <c r="HR23">
        <v>3.04969</v>
      </c>
      <c r="HS23">
        <v>20.221599999999999</v>
      </c>
      <c r="HT23">
        <v>5.2100999999999997</v>
      </c>
      <c r="HU23">
        <v>11.908099999999999</v>
      </c>
      <c r="HV23">
        <v>4.9855999999999998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1.8675200000000001</v>
      </c>
      <c r="IC23">
        <v>1.8631</v>
      </c>
      <c r="ID23">
        <v>1.8626400000000001</v>
      </c>
      <c r="IE23">
        <v>1.86209</v>
      </c>
      <c r="IF23">
        <v>1.8621799999999999</v>
      </c>
      <c r="IG23">
        <v>1.8627899999999999</v>
      </c>
      <c r="IH23">
        <v>1.86371</v>
      </c>
      <c r="II23">
        <v>1.8615999999999999</v>
      </c>
      <c r="IJ23">
        <v>0</v>
      </c>
      <c r="IK23">
        <v>0</v>
      </c>
      <c r="IL23">
        <v>0</v>
      </c>
      <c r="IM23">
        <v>4.5</v>
      </c>
      <c r="IN23" t="s">
        <v>405</v>
      </c>
      <c r="IO23" t="s">
        <v>406</v>
      </c>
      <c r="IP23" t="s">
        <v>407</v>
      </c>
      <c r="IQ23" t="s">
        <v>408</v>
      </c>
      <c r="IR23" t="s">
        <v>408</v>
      </c>
      <c r="IS23" t="s">
        <v>407</v>
      </c>
      <c r="IT23">
        <v>0</v>
      </c>
      <c r="IU23">
        <v>100</v>
      </c>
      <c r="IV23">
        <v>100</v>
      </c>
      <c r="IW23">
        <v>-13.254</v>
      </c>
      <c r="IX23">
        <v>-1.4209000000000001</v>
      </c>
      <c r="IY23">
        <v>-11.352121027408529</v>
      </c>
      <c r="IZ23">
        <v>-5.6215304933332991E-3</v>
      </c>
      <c r="JA23">
        <v>2.3979931213773931E-6</v>
      </c>
      <c r="JB23">
        <v>-3.6297174575716598E-10</v>
      </c>
      <c r="JC23">
        <v>-1.773299746458276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2.1</v>
      </c>
      <c r="JL23">
        <v>2.1</v>
      </c>
      <c r="JM23">
        <v>1.10229</v>
      </c>
      <c r="JN23">
        <v>2.49634</v>
      </c>
      <c r="JO23">
        <v>1.50024</v>
      </c>
      <c r="JP23">
        <v>2.2778299999999998</v>
      </c>
      <c r="JQ23">
        <v>1.4477500000000001</v>
      </c>
      <c r="JR23">
        <v>2.4719199999999999</v>
      </c>
      <c r="JS23">
        <v>39.641800000000003</v>
      </c>
      <c r="JT23">
        <v>23.912400000000002</v>
      </c>
      <c r="JU23">
        <v>18</v>
      </c>
      <c r="JV23">
        <v>538.81100000000004</v>
      </c>
      <c r="JW23">
        <v>439.48099999999999</v>
      </c>
      <c r="JX23">
        <v>22.5886</v>
      </c>
      <c r="JY23">
        <v>30.961500000000001</v>
      </c>
      <c r="JZ23">
        <v>30</v>
      </c>
      <c r="KA23">
        <v>30.944199999999999</v>
      </c>
      <c r="KB23">
        <v>30.9466</v>
      </c>
      <c r="KC23">
        <v>22.0395</v>
      </c>
      <c r="KD23">
        <v>47.286099999999998</v>
      </c>
      <c r="KE23">
        <v>0</v>
      </c>
      <c r="KF23">
        <v>22.589200000000002</v>
      </c>
      <c r="KG23">
        <v>420</v>
      </c>
      <c r="KH23">
        <v>18.9329</v>
      </c>
      <c r="KI23">
        <v>100.57</v>
      </c>
      <c r="KJ23">
        <v>97.418199999999999</v>
      </c>
    </row>
    <row r="24" spans="1:296" x14ac:dyDescent="0.3">
      <c r="A24">
        <v>8</v>
      </c>
      <c r="B24">
        <v>1785256392.0999999</v>
      </c>
      <c r="C24">
        <v>1270.5</v>
      </c>
      <c r="D24" t="s">
        <v>654</v>
      </c>
      <c r="E24" t="s">
        <v>655</v>
      </c>
      <c r="F24">
        <v>15</v>
      </c>
      <c r="H24">
        <v>1785256384.349999</v>
      </c>
      <c r="I24">
        <f t="shared" si="0"/>
        <v>1.6107252334530047E-3</v>
      </c>
      <c r="J24">
        <f t="shared" si="1"/>
        <v>1.6107252334530047</v>
      </c>
      <c r="K24">
        <f t="shared" si="2"/>
        <v>19.261912699406579</v>
      </c>
      <c r="L24">
        <f t="shared" si="3"/>
        <v>396.10323333333332</v>
      </c>
      <c r="M24">
        <f t="shared" si="4"/>
        <v>164.39632892772161</v>
      </c>
      <c r="N24">
        <f t="shared" si="5"/>
        <v>16.017348822442109</v>
      </c>
      <c r="O24">
        <f t="shared" si="6"/>
        <v>38.592854836719667</v>
      </c>
      <c r="P24">
        <f t="shared" si="7"/>
        <v>0.13924811587421951</v>
      </c>
      <c r="Q24">
        <f t="shared" si="8"/>
        <v>2.8827661844629109</v>
      </c>
      <c r="R24">
        <f t="shared" si="9"/>
        <v>0.13561644862263444</v>
      </c>
      <c r="S24">
        <f t="shared" si="10"/>
        <v>8.5078682243470372E-2</v>
      </c>
      <c r="T24">
        <f t="shared" si="11"/>
        <v>64.41347315884623</v>
      </c>
      <c r="U24">
        <f t="shared" si="12"/>
        <v>24.940935438575465</v>
      </c>
      <c r="V24">
        <f t="shared" si="13"/>
        <v>24.99653</v>
      </c>
      <c r="W24">
        <f t="shared" si="14"/>
        <v>3.1790198433134567</v>
      </c>
      <c r="X24">
        <f t="shared" si="15"/>
        <v>64.637552810903614</v>
      </c>
      <c r="Y24">
        <f t="shared" si="16"/>
        <v>2.0528918808667291</v>
      </c>
      <c r="Z24">
        <f t="shared" si="17"/>
        <v>3.1760049562402832</v>
      </c>
      <c r="AA24">
        <f t="shared" si="18"/>
        <v>1.1261279624467275</v>
      </c>
      <c r="AB24">
        <f t="shared" si="19"/>
        <v>-71.032982795277505</v>
      </c>
      <c r="AC24">
        <f t="shared" si="20"/>
        <v>-2.4731816887412115</v>
      </c>
      <c r="AD24">
        <f t="shared" si="21"/>
        <v>-0.18144986284753647</v>
      </c>
      <c r="AE24">
        <f t="shared" si="22"/>
        <v>-9.27414118802003</v>
      </c>
      <c r="AF24">
        <f t="shared" si="23"/>
        <v>19.261912699406579</v>
      </c>
      <c r="AG24">
        <f t="shared" si="24"/>
        <v>1.6107252334530047</v>
      </c>
      <c r="AH24">
        <f t="shared" si="25"/>
        <v>18.988171831835238</v>
      </c>
      <c r="AI24">
        <v>428.18959452192371</v>
      </c>
      <c r="AJ24">
        <v>404.73843030303038</v>
      </c>
      <c r="AK24">
        <v>4.1819382009064168E-2</v>
      </c>
      <c r="AL24">
        <v>67.089570856467745</v>
      </c>
      <c r="AM24">
        <f t="shared" si="26"/>
        <v>1.6041272564700999</v>
      </c>
      <c r="AN24">
        <v>19.179160939171279</v>
      </c>
      <c r="AO24">
        <v>21.06365333333332</v>
      </c>
      <c r="AP24">
        <v>-2.2300753087891211E-5</v>
      </c>
      <c r="AQ24">
        <v>78.241171691359398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51829.006427957407</v>
      </c>
      <c r="AW24" t="s">
        <v>627</v>
      </c>
      <c r="AX24">
        <v>13256.9</v>
      </c>
      <c r="AY24">
        <v>592.51470588235293</v>
      </c>
      <c r="AZ24">
        <v>2263.5100000000002</v>
      </c>
      <c r="BA24">
        <f t="shared" si="30"/>
        <v>0.73823190271642147</v>
      </c>
      <c r="BB24">
        <v>-2.8506644766585501</v>
      </c>
      <c r="BC24" t="s">
        <v>656</v>
      </c>
      <c r="BD24">
        <v>13272.1</v>
      </c>
      <c r="BE24">
        <v>852.98594117647065</v>
      </c>
      <c r="BF24">
        <v>1761.36</v>
      </c>
      <c r="BG24">
        <f t="shared" si="31"/>
        <v>0.515723111018491</v>
      </c>
      <c r="BH24">
        <v>0.5</v>
      </c>
      <c r="BI24">
        <f t="shared" si="32"/>
        <v>336.30665316002387</v>
      </c>
      <c r="BJ24">
        <f t="shared" si="33"/>
        <v>19.261912699406579</v>
      </c>
      <c r="BK24">
        <f t="shared" si="34"/>
        <v>86.720556711952071</v>
      </c>
      <c r="BL24">
        <f t="shared" si="35"/>
        <v>6.5751233192354847E-2</v>
      </c>
      <c r="BM24">
        <f t="shared" si="36"/>
        <v>0.28509220148067421</v>
      </c>
      <c r="BN24">
        <f t="shared" si="37"/>
        <v>551.36724717836341</v>
      </c>
      <c r="BO24" t="s">
        <v>402</v>
      </c>
      <c r="BP24">
        <v>0</v>
      </c>
      <c r="BQ24">
        <f t="shared" si="38"/>
        <v>551.36724717836341</v>
      </c>
      <c r="BR24">
        <f t="shared" si="39"/>
        <v>0.68696504565882988</v>
      </c>
      <c r="BS24">
        <f t="shared" si="40"/>
        <v>0.75072685907023073</v>
      </c>
      <c r="BT24">
        <f t="shared" si="41"/>
        <v>0.29328746050669524</v>
      </c>
      <c r="BU24">
        <f t="shared" si="42"/>
        <v>0.77715508065526706</v>
      </c>
      <c r="BV24">
        <f t="shared" si="43"/>
        <v>0.30050952373576595</v>
      </c>
      <c r="BW24">
        <f t="shared" si="44"/>
        <v>0.48526731999534428</v>
      </c>
      <c r="BX24">
        <f t="shared" si="45"/>
        <v>0.51473268000465566</v>
      </c>
      <c r="DG24">
        <f t="shared" si="46"/>
        <v>400.0125666666666</v>
      </c>
      <c r="DH24">
        <f t="shared" si="47"/>
        <v>336.30665316002387</v>
      </c>
      <c r="DI24">
        <f t="shared" si="48"/>
        <v>0.84074021964482604</v>
      </c>
      <c r="DJ24">
        <f t="shared" si="49"/>
        <v>0.16102862391451428</v>
      </c>
      <c r="DK24">
        <v>6</v>
      </c>
      <c r="DL24">
        <v>0.5</v>
      </c>
      <c r="DM24" t="s">
        <v>403</v>
      </c>
      <c r="DN24">
        <v>2</v>
      </c>
      <c r="DO24" t="b">
        <v>0</v>
      </c>
      <c r="DP24">
        <v>1785256384.349999</v>
      </c>
      <c r="DQ24">
        <v>396.10323333333332</v>
      </c>
      <c r="DR24">
        <v>419.98250000000002</v>
      </c>
      <c r="DS24">
        <v>21.07014666666667</v>
      </c>
      <c r="DT24">
        <v>19.178053333333331</v>
      </c>
      <c r="DU24">
        <v>409.38406666666663</v>
      </c>
      <c r="DV24">
        <v>22.498783333333328</v>
      </c>
      <c r="DW24">
        <v>500.01350000000002</v>
      </c>
      <c r="DX24">
        <v>97.382859999999994</v>
      </c>
      <c r="DY24">
        <v>4.8444743333333339E-2</v>
      </c>
      <c r="DZ24">
        <v>24.98061666666667</v>
      </c>
      <c r="EA24">
        <v>24.99653</v>
      </c>
      <c r="EB24">
        <v>999.9000000000002</v>
      </c>
      <c r="EC24">
        <v>0</v>
      </c>
      <c r="ED24">
        <v>0</v>
      </c>
      <c r="EE24">
        <v>9997.3333333333339</v>
      </c>
      <c r="EF24">
        <v>0</v>
      </c>
      <c r="EG24">
        <v>271.15910000000002</v>
      </c>
      <c r="EH24">
        <v>-23.87934666666667</v>
      </c>
      <c r="EI24">
        <v>404.62873333333329</v>
      </c>
      <c r="EJ24">
        <v>428.19449999999989</v>
      </c>
      <c r="EK24">
        <v>1.892087333333333</v>
      </c>
      <c r="EL24">
        <v>419.98250000000002</v>
      </c>
      <c r="EM24">
        <v>19.178053333333331</v>
      </c>
      <c r="EN24">
        <v>2.051870333333333</v>
      </c>
      <c r="EO24">
        <v>1.867614333333333</v>
      </c>
      <c r="EP24">
        <v>17.850390000000001</v>
      </c>
      <c r="EQ24">
        <v>16.364493333333328</v>
      </c>
      <c r="ER24">
        <v>400.0125666666666</v>
      </c>
      <c r="ES24">
        <v>0.97502000000000022</v>
      </c>
      <c r="ET24">
        <v>2.49804E-2</v>
      </c>
      <c r="EU24">
        <v>0</v>
      </c>
      <c r="EV24">
        <v>852.97586666666689</v>
      </c>
      <c r="EW24">
        <v>5.0010700000000003</v>
      </c>
      <c r="EX24">
        <v>4790.1309999999994</v>
      </c>
      <c r="EY24">
        <v>3583.815000000001</v>
      </c>
      <c r="EZ24">
        <v>35.587199999999989</v>
      </c>
      <c r="FA24">
        <v>38.875</v>
      </c>
      <c r="FB24">
        <v>37.453799999999987</v>
      </c>
      <c r="FC24">
        <v>38.620800000000003</v>
      </c>
      <c r="FD24">
        <v>37.6374</v>
      </c>
      <c r="FE24">
        <v>385.14533333333321</v>
      </c>
      <c r="FF24">
        <v>9.870000000000001</v>
      </c>
      <c r="FG24">
        <v>0</v>
      </c>
      <c r="FH24">
        <v>180.70000004768369</v>
      </c>
      <c r="FI24">
        <v>0</v>
      </c>
      <c r="FJ24">
        <v>852.98594117647065</v>
      </c>
      <c r="FK24">
        <v>2.0941176769030379</v>
      </c>
      <c r="FL24">
        <v>3.595588198520002</v>
      </c>
      <c r="FM24">
        <v>4790.66</v>
      </c>
      <c r="FN24">
        <v>10</v>
      </c>
      <c r="FO24">
        <v>1785256265.0999999</v>
      </c>
      <c r="FP24" t="s">
        <v>657</v>
      </c>
      <c r="FQ24">
        <v>1785256264.5999999</v>
      </c>
      <c r="FR24">
        <v>1785256265.0999999</v>
      </c>
      <c r="FS24">
        <v>24</v>
      </c>
      <c r="FT24">
        <v>-5.0000000000000001E-3</v>
      </c>
      <c r="FU24">
        <v>-7.0000000000000001E-3</v>
      </c>
      <c r="FV24">
        <v>-13.372</v>
      </c>
      <c r="FW24">
        <v>-1.4830000000000001</v>
      </c>
      <c r="FX24">
        <v>420</v>
      </c>
      <c r="FY24">
        <v>19</v>
      </c>
      <c r="FZ24">
        <v>0.33</v>
      </c>
      <c r="GA24">
        <v>0.11</v>
      </c>
      <c r="GB24">
        <v>396.08909677419348</v>
      </c>
      <c r="GC24">
        <v>0.32191935483813261</v>
      </c>
      <c r="GD24">
        <v>6.0606267555539488E-2</v>
      </c>
      <c r="GE24">
        <v>-1</v>
      </c>
      <c r="GF24">
        <v>852.92170588235297</v>
      </c>
      <c r="GG24">
        <v>0.66212376298997733</v>
      </c>
      <c r="GH24">
        <v>0.20683263046294309</v>
      </c>
      <c r="GI24">
        <v>1</v>
      </c>
      <c r="GJ24">
        <v>1.896635853658537</v>
      </c>
      <c r="GK24">
        <v>-6.8915749128920539E-2</v>
      </c>
      <c r="GL24">
        <v>7.6440979865098832E-3</v>
      </c>
      <c r="GM24">
        <v>1</v>
      </c>
      <c r="GN24">
        <v>2</v>
      </c>
      <c r="GO24">
        <v>2</v>
      </c>
      <c r="GP24" t="s">
        <v>404</v>
      </c>
      <c r="GQ24">
        <v>3.1305200000000002</v>
      </c>
      <c r="GR24">
        <v>2.7252100000000001</v>
      </c>
      <c r="GS24">
        <v>8.9051699999999998E-2</v>
      </c>
      <c r="GT24">
        <v>9.15271E-2</v>
      </c>
      <c r="GU24">
        <v>0.107193</v>
      </c>
      <c r="GV24">
        <v>9.6047599999999997E-2</v>
      </c>
      <c r="GW24">
        <v>22895.7</v>
      </c>
      <c r="GX24">
        <v>30446.2</v>
      </c>
      <c r="GY24">
        <v>27251.1</v>
      </c>
      <c r="GZ24">
        <v>34443</v>
      </c>
      <c r="HA24">
        <v>35614.9</v>
      </c>
      <c r="HB24">
        <v>38774.9</v>
      </c>
      <c r="HC24">
        <v>40232.6</v>
      </c>
      <c r="HD24">
        <v>42978.5</v>
      </c>
      <c r="HE24">
        <v>1.9934000000000001</v>
      </c>
      <c r="HF24">
        <v>1.8191999999999999</v>
      </c>
      <c r="HG24">
        <v>-3.7848899999999998E-2</v>
      </c>
      <c r="HH24">
        <v>0</v>
      </c>
      <c r="HI24">
        <v>25.601500000000001</v>
      </c>
      <c r="HJ24">
        <v>999.9</v>
      </c>
      <c r="HK24">
        <v>65.3</v>
      </c>
      <c r="HL24">
        <v>34.200000000000003</v>
      </c>
      <c r="HM24">
        <v>36.230200000000004</v>
      </c>
      <c r="HN24">
        <v>60.423999999999999</v>
      </c>
      <c r="HO24">
        <v>5.3966399999999997</v>
      </c>
      <c r="HP24">
        <v>1</v>
      </c>
      <c r="HQ24">
        <v>0.30402400000000002</v>
      </c>
      <c r="HR24">
        <v>2.8816999999999999</v>
      </c>
      <c r="HS24">
        <v>20.225899999999999</v>
      </c>
      <c r="HT24">
        <v>5.2112999999999996</v>
      </c>
      <c r="HU24">
        <v>11.9057</v>
      </c>
      <c r="HV24">
        <v>4.9859999999999998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1.8675200000000001</v>
      </c>
      <c r="IC24">
        <v>1.8631</v>
      </c>
      <c r="ID24">
        <v>1.8626400000000001</v>
      </c>
      <c r="IE24">
        <v>1.86215</v>
      </c>
      <c r="IF24">
        <v>1.8621799999999999</v>
      </c>
      <c r="IG24">
        <v>1.8627899999999999</v>
      </c>
      <c r="IH24">
        <v>1.86371</v>
      </c>
      <c r="II24">
        <v>1.8616299999999999</v>
      </c>
      <c r="IJ24">
        <v>0</v>
      </c>
      <c r="IK24">
        <v>0</v>
      </c>
      <c r="IL24">
        <v>0</v>
      </c>
      <c r="IM24">
        <v>4.5</v>
      </c>
      <c r="IN24" t="s">
        <v>405</v>
      </c>
      <c r="IO24" t="s">
        <v>406</v>
      </c>
      <c r="IP24" t="s">
        <v>407</v>
      </c>
      <c r="IQ24" t="s">
        <v>408</v>
      </c>
      <c r="IR24" t="s">
        <v>408</v>
      </c>
      <c r="IS24" t="s">
        <v>407</v>
      </c>
      <c r="IT24">
        <v>0</v>
      </c>
      <c r="IU24">
        <v>100</v>
      </c>
      <c r="IV24">
        <v>100</v>
      </c>
      <c r="IW24">
        <v>-13.281000000000001</v>
      </c>
      <c r="IX24">
        <v>-1.4287000000000001</v>
      </c>
      <c r="IY24">
        <v>-11.356514504403631</v>
      </c>
      <c r="IZ24">
        <v>-5.6215304933332991E-3</v>
      </c>
      <c r="JA24">
        <v>2.3979931213773931E-6</v>
      </c>
      <c r="JB24">
        <v>-3.6297174575716598E-10</v>
      </c>
      <c r="JC24">
        <v>-1.7799480051884859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2.1</v>
      </c>
      <c r="JL24">
        <v>2.1</v>
      </c>
      <c r="JM24">
        <v>1.10229</v>
      </c>
      <c r="JN24">
        <v>2.50122</v>
      </c>
      <c r="JO24">
        <v>1.50024</v>
      </c>
      <c r="JP24">
        <v>2.2778299999999998</v>
      </c>
      <c r="JQ24">
        <v>1.4477500000000001</v>
      </c>
      <c r="JR24">
        <v>2.4731399999999999</v>
      </c>
      <c r="JS24">
        <v>39.817700000000002</v>
      </c>
      <c r="JT24">
        <v>23.912400000000002</v>
      </c>
      <c r="JU24">
        <v>18</v>
      </c>
      <c r="JV24">
        <v>537.71199999999999</v>
      </c>
      <c r="JW24">
        <v>440.52499999999998</v>
      </c>
      <c r="JX24">
        <v>22.8413</v>
      </c>
      <c r="JY24">
        <v>30.9832</v>
      </c>
      <c r="JZ24">
        <v>30.000299999999999</v>
      </c>
      <c r="KA24">
        <v>30.968399999999999</v>
      </c>
      <c r="KB24">
        <v>30.970700000000001</v>
      </c>
      <c r="KC24">
        <v>22.045100000000001</v>
      </c>
      <c r="KD24">
        <v>47.025599999999997</v>
      </c>
      <c r="KE24">
        <v>0</v>
      </c>
      <c r="KF24">
        <v>22.841899999999999</v>
      </c>
      <c r="KG24">
        <v>420</v>
      </c>
      <c r="KH24">
        <v>19.201000000000001</v>
      </c>
      <c r="KI24">
        <v>100.56100000000001</v>
      </c>
      <c r="KJ24">
        <v>97.412700000000001</v>
      </c>
    </row>
    <row r="25" spans="1:296" x14ac:dyDescent="0.3">
      <c r="A25">
        <v>9</v>
      </c>
      <c r="B25">
        <v>1785256573.5999999</v>
      </c>
      <c r="C25">
        <v>1452</v>
      </c>
      <c r="D25" t="s">
        <v>658</v>
      </c>
      <c r="E25" t="s">
        <v>659</v>
      </c>
      <c r="F25">
        <v>15</v>
      </c>
      <c r="H25">
        <v>1785256565.599999</v>
      </c>
      <c r="I25">
        <f t="shared" si="0"/>
        <v>1.3151807643003812E-3</v>
      </c>
      <c r="J25">
        <f t="shared" si="1"/>
        <v>1.3151807643003812</v>
      </c>
      <c r="K25">
        <f t="shared" si="2"/>
        <v>15.162063240817158</v>
      </c>
      <c r="L25">
        <f t="shared" si="3"/>
        <v>401.19493548387089</v>
      </c>
      <c r="M25">
        <f t="shared" si="4"/>
        <v>177.97276541226304</v>
      </c>
      <c r="N25">
        <f t="shared" si="5"/>
        <v>17.34032391424401</v>
      </c>
      <c r="O25">
        <f t="shared" si="6"/>
        <v>39.089408527925215</v>
      </c>
      <c r="P25">
        <f t="shared" si="7"/>
        <v>0.11349156533175322</v>
      </c>
      <c r="Q25">
        <f t="shared" si="8"/>
        <v>2.8820153627762615</v>
      </c>
      <c r="R25">
        <f t="shared" si="9"/>
        <v>0.11106591649399256</v>
      </c>
      <c r="S25">
        <f t="shared" si="10"/>
        <v>6.9629814751789434E-2</v>
      </c>
      <c r="T25">
        <f t="shared" si="11"/>
        <v>48.442741732269901</v>
      </c>
      <c r="U25">
        <f t="shared" si="12"/>
        <v>24.921736091254783</v>
      </c>
      <c r="V25">
        <f t="shared" si="13"/>
        <v>25.012135483870971</v>
      </c>
      <c r="W25">
        <f t="shared" si="14"/>
        <v>3.1819788348226008</v>
      </c>
      <c r="X25">
        <f t="shared" si="15"/>
        <v>64.844472011175341</v>
      </c>
      <c r="Y25">
        <f t="shared" si="16"/>
        <v>2.0592698778000003</v>
      </c>
      <c r="Z25">
        <f t="shared" si="17"/>
        <v>3.1757061379805887</v>
      </c>
      <c r="AA25">
        <f t="shared" si="18"/>
        <v>1.1227089570226005</v>
      </c>
      <c r="AB25">
        <f t="shared" si="19"/>
        <v>-57.999471705646812</v>
      </c>
      <c r="AC25">
        <f t="shared" si="20"/>
        <v>-5.1424183147145026</v>
      </c>
      <c r="AD25">
        <f t="shared" si="21"/>
        <v>-0.37740862235291617</v>
      </c>
      <c r="AE25">
        <f t="shared" si="22"/>
        <v>-15.07655691044433</v>
      </c>
      <c r="AF25">
        <f t="shared" si="23"/>
        <v>15.162063240817158</v>
      </c>
      <c r="AG25">
        <f t="shared" si="24"/>
        <v>1.3151807643003812</v>
      </c>
      <c r="AH25">
        <f t="shared" si="25"/>
        <v>15.148445282229535</v>
      </c>
      <c r="AI25">
        <v>428.35747153619837</v>
      </c>
      <c r="AJ25">
        <v>409.86397575757547</v>
      </c>
      <c r="AK25">
        <v>-9.2724524595188748E-3</v>
      </c>
      <c r="AL25">
        <v>67.089233470495159</v>
      </c>
      <c r="AM25">
        <f t="shared" si="26"/>
        <v>1.3076818404639838</v>
      </c>
      <c r="AN25">
        <v>19.593273837626391</v>
      </c>
      <c r="AO25">
        <v>21.129326060606061</v>
      </c>
      <c r="AP25">
        <v>1.5191913217528699E-5</v>
      </c>
      <c r="AQ25">
        <v>78.240611152412527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51807.837260828783</v>
      </c>
      <c r="AW25" t="s">
        <v>627</v>
      </c>
      <c r="AX25">
        <v>13256.9</v>
      </c>
      <c r="AY25">
        <v>592.51470588235293</v>
      </c>
      <c r="AZ25">
        <v>2263.5100000000002</v>
      </c>
      <c r="BA25">
        <f t="shared" si="30"/>
        <v>0.73823190271642147</v>
      </c>
      <c r="BB25">
        <v>-2.8506644766585501</v>
      </c>
      <c r="BC25" t="s">
        <v>660</v>
      </c>
      <c r="BD25">
        <v>13279</v>
      </c>
      <c r="BE25">
        <v>843.67217647058817</v>
      </c>
      <c r="BF25">
        <v>1875.9</v>
      </c>
      <c r="BG25">
        <f t="shared" si="31"/>
        <v>0.55025738233883037</v>
      </c>
      <c r="BH25">
        <v>0.5</v>
      </c>
      <c r="BI25">
        <f t="shared" si="32"/>
        <v>252.28864452114931</v>
      </c>
      <c r="BJ25">
        <f t="shared" si="33"/>
        <v>15.162063240817158</v>
      </c>
      <c r="BK25">
        <f t="shared" si="34"/>
        <v>69.411844564009655</v>
      </c>
      <c r="BL25">
        <f t="shared" si="35"/>
        <v>7.1397298723707342E-2</v>
      </c>
      <c r="BM25">
        <f t="shared" si="36"/>
        <v>0.20662615277999899</v>
      </c>
      <c r="BN25">
        <f t="shared" si="37"/>
        <v>562.11116156789467</v>
      </c>
      <c r="BO25" t="s">
        <v>402</v>
      </c>
      <c r="BP25">
        <v>0</v>
      </c>
      <c r="BQ25">
        <f t="shared" si="38"/>
        <v>562.11116156789467</v>
      </c>
      <c r="BR25">
        <f t="shared" si="39"/>
        <v>0.70035121191540339</v>
      </c>
      <c r="BS25">
        <f t="shared" si="40"/>
        <v>0.78568777061714701</v>
      </c>
      <c r="BT25">
        <f t="shared" si="41"/>
        <v>0.22781842284387321</v>
      </c>
      <c r="BU25">
        <f t="shared" si="42"/>
        <v>0.80430080371077428</v>
      </c>
      <c r="BV25">
        <f t="shared" si="43"/>
        <v>0.23196354972661595</v>
      </c>
      <c r="BW25">
        <f t="shared" si="44"/>
        <v>0.52347804951783961</v>
      </c>
      <c r="BX25">
        <f t="shared" si="45"/>
        <v>0.47652195048216039</v>
      </c>
      <c r="DG25">
        <f t="shared" si="46"/>
        <v>299.99612903225801</v>
      </c>
      <c r="DH25">
        <f t="shared" si="47"/>
        <v>252.28864452114931</v>
      </c>
      <c r="DI25">
        <f t="shared" si="48"/>
        <v>0.84097299966834305</v>
      </c>
      <c r="DJ25">
        <f t="shared" si="49"/>
        <v>0.1614778893599022</v>
      </c>
      <c r="DK25">
        <v>6</v>
      </c>
      <c r="DL25">
        <v>0.5</v>
      </c>
      <c r="DM25" t="s">
        <v>403</v>
      </c>
      <c r="DN25">
        <v>2</v>
      </c>
      <c r="DO25" t="b">
        <v>0</v>
      </c>
      <c r="DP25">
        <v>1785256565.599999</v>
      </c>
      <c r="DQ25">
        <v>401.19493548387089</v>
      </c>
      <c r="DR25">
        <v>420.02361290322568</v>
      </c>
      <c r="DS25">
        <v>21.135358064516129</v>
      </c>
      <c r="DT25">
        <v>19.590412903225811</v>
      </c>
      <c r="DU25">
        <v>414.53074193548389</v>
      </c>
      <c r="DV25">
        <v>22.582096774193559</v>
      </c>
      <c r="DW25">
        <v>499.97267741935468</v>
      </c>
      <c r="DX25">
        <v>97.383964516129041</v>
      </c>
      <c r="DY25">
        <v>4.849305161290323E-2</v>
      </c>
      <c r="DZ25">
        <v>24.979038709677429</v>
      </c>
      <c r="EA25">
        <v>25.012135483870971</v>
      </c>
      <c r="EB25">
        <v>999.90000000000032</v>
      </c>
      <c r="EC25">
        <v>0</v>
      </c>
      <c r="ED25">
        <v>0</v>
      </c>
      <c r="EE25">
        <v>9992.9032258064508</v>
      </c>
      <c r="EF25">
        <v>0</v>
      </c>
      <c r="EG25">
        <v>259.24341935483869</v>
      </c>
      <c r="EH25">
        <v>-18.82861290322581</v>
      </c>
      <c r="EI25">
        <v>409.85748387096771</v>
      </c>
      <c r="EJ25">
        <v>428.41648387096768</v>
      </c>
      <c r="EK25">
        <v>1.544947096774193</v>
      </c>
      <c r="EL25">
        <v>420.02361290322568</v>
      </c>
      <c r="EM25">
        <v>19.590412903225811</v>
      </c>
      <c r="EN25">
        <v>2.058246774193548</v>
      </c>
      <c r="EO25">
        <v>1.907791935483871</v>
      </c>
      <c r="EP25">
        <v>17.899664516129029</v>
      </c>
      <c r="EQ25">
        <v>16.699129032258071</v>
      </c>
      <c r="ER25">
        <v>299.99612903225801</v>
      </c>
      <c r="ES25">
        <v>0.96703009677419371</v>
      </c>
      <c r="ET25">
        <v>3.2969512903225799E-2</v>
      </c>
      <c r="EU25">
        <v>0</v>
      </c>
      <c r="EV25">
        <v>843.70961290322577</v>
      </c>
      <c r="EW25">
        <v>5.0010700000000003</v>
      </c>
      <c r="EX25">
        <v>3876.1316129032248</v>
      </c>
      <c r="EY25">
        <v>2668.023548387097</v>
      </c>
      <c r="EZ25">
        <v>35.186999999999991</v>
      </c>
      <c r="FA25">
        <v>38.616870967741932</v>
      </c>
      <c r="FB25">
        <v>37.125</v>
      </c>
      <c r="FC25">
        <v>38.432999999999993</v>
      </c>
      <c r="FD25">
        <v>37.311999999999983</v>
      </c>
      <c r="FE25">
        <v>285.26903225806461</v>
      </c>
      <c r="FF25">
        <v>9.7300000000000022</v>
      </c>
      <c r="FG25">
        <v>0</v>
      </c>
      <c r="FH25">
        <v>180.9000000953674</v>
      </c>
      <c r="FI25">
        <v>0</v>
      </c>
      <c r="FJ25">
        <v>843.67217647058817</v>
      </c>
      <c r="FK25">
        <v>0.69387253449837516</v>
      </c>
      <c r="FL25">
        <v>-16.69117651811553</v>
      </c>
      <c r="FM25">
        <v>3875.0429411764699</v>
      </c>
      <c r="FN25">
        <v>10</v>
      </c>
      <c r="FO25">
        <v>1785256451.0999999</v>
      </c>
      <c r="FP25" t="s">
        <v>661</v>
      </c>
      <c r="FQ25">
        <v>1785256446.5999999</v>
      </c>
      <c r="FR25">
        <v>1785256451.0999999</v>
      </c>
      <c r="FS25">
        <v>25</v>
      </c>
      <c r="FT25">
        <v>-3.5000000000000003E-2</v>
      </c>
      <c r="FU25">
        <v>-0.02</v>
      </c>
      <c r="FV25">
        <v>-13.407</v>
      </c>
      <c r="FW25">
        <v>-1.488</v>
      </c>
      <c r="FX25">
        <v>420</v>
      </c>
      <c r="FY25">
        <v>20</v>
      </c>
      <c r="FZ25">
        <v>0.28000000000000003</v>
      </c>
      <c r="GA25">
        <v>0.18</v>
      </c>
      <c r="GB25">
        <v>401.19786666666658</v>
      </c>
      <c r="GC25">
        <v>0.32649610678554941</v>
      </c>
      <c r="GD25">
        <v>5.6621982382187103E-2</v>
      </c>
      <c r="GE25">
        <v>-1</v>
      </c>
      <c r="GF25">
        <v>843.76555882352943</v>
      </c>
      <c r="GG25">
        <v>-0.76679908148671694</v>
      </c>
      <c r="GH25">
        <v>0.19755984814384489</v>
      </c>
      <c r="GI25">
        <v>1</v>
      </c>
      <c r="GJ25">
        <v>1.5474645</v>
      </c>
      <c r="GK25">
        <v>-6.5605103189499359E-2</v>
      </c>
      <c r="GL25">
        <v>6.955164609842108E-3</v>
      </c>
      <c r="GM25">
        <v>1</v>
      </c>
      <c r="GN25">
        <v>2</v>
      </c>
      <c r="GO25">
        <v>2</v>
      </c>
      <c r="GP25" t="s">
        <v>404</v>
      </c>
      <c r="GQ25">
        <v>3.13089</v>
      </c>
      <c r="GR25">
        <v>2.72465</v>
      </c>
      <c r="GS25">
        <v>8.9926599999999995E-2</v>
      </c>
      <c r="GT25">
        <v>9.1515700000000005E-2</v>
      </c>
      <c r="GU25">
        <v>0.10745399999999999</v>
      </c>
      <c r="GV25">
        <v>9.7545999999999994E-2</v>
      </c>
      <c r="GW25">
        <v>22872.9</v>
      </c>
      <c r="GX25">
        <v>30445.7</v>
      </c>
      <c r="GY25">
        <v>27250.3</v>
      </c>
      <c r="GZ25">
        <v>34442.1</v>
      </c>
      <c r="HA25">
        <v>35602.800000000003</v>
      </c>
      <c r="HB25">
        <v>38708.199999999997</v>
      </c>
      <c r="HC25">
        <v>40230.6</v>
      </c>
      <c r="HD25">
        <v>42975.9</v>
      </c>
      <c r="HE25">
        <v>1.9938</v>
      </c>
      <c r="HF25">
        <v>1.8164</v>
      </c>
      <c r="HG25">
        <v>-3.8892000000000003E-2</v>
      </c>
      <c r="HH25">
        <v>0</v>
      </c>
      <c r="HI25">
        <v>25.623200000000001</v>
      </c>
      <c r="HJ25">
        <v>999.9</v>
      </c>
      <c r="HK25">
        <v>65.099999999999994</v>
      </c>
      <c r="HL25">
        <v>34.4</v>
      </c>
      <c r="HM25">
        <v>36.521299999999997</v>
      </c>
      <c r="HN25">
        <v>60.173999999999999</v>
      </c>
      <c r="HO25">
        <v>5.4727600000000001</v>
      </c>
      <c r="HP25">
        <v>1</v>
      </c>
      <c r="HQ25">
        <v>0.30585400000000001</v>
      </c>
      <c r="HR25">
        <v>2.9201299999999999</v>
      </c>
      <c r="HS25">
        <v>20.2258</v>
      </c>
      <c r="HT25">
        <v>5.2112999999999996</v>
      </c>
      <c r="HU25">
        <v>11.908099999999999</v>
      </c>
      <c r="HV25">
        <v>4.9855999999999998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1.8675200000000001</v>
      </c>
      <c r="IC25">
        <v>1.8631</v>
      </c>
      <c r="ID25">
        <v>1.8626400000000001</v>
      </c>
      <c r="IE25">
        <v>1.86212</v>
      </c>
      <c r="IF25">
        <v>1.8621799999999999</v>
      </c>
      <c r="IG25">
        <v>1.8627899999999999</v>
      </c>
      <c r="IH25">
        <v>1.86371</v>
      </c>
      <c r="II25">
        <v>1.8615999999999999</v>
      </c>
      <c r="IJ25">
        <v>0</v>
      </c>
      <c r="IK25">
        <v>0</v>
      </c>
      <c r="IL25">
        <v>0</v>
      </c>
      <c r="IM25">
        <v>4.5</v>
      </c>
      <c r="IN25" t="s">
        <v>405</v>
      </c>
      <c r="IO25" t="s">
        <v>406</v>
      </c>
      <c r="IP25" t="s">
        <v>407</v>
      </c>
      <c r="IQ25" t="s">
        <v>408</v>
      </c>
      <c r="IR25" t="s">
        <v>408</v>
      </c>
      <c r="IS25" t="s">
        <v>407</v>
      </c>
      <c r="IT25">
        <v>0</v>
      </c>
      <c r="IU25">
        <v>100</v>
      </c>
      <c r="IV25">
        <v>100</v>
      </c>
      <c r="IW25">
        <v>-13.336</v>
      </c>
      <c r="IX25">
        <v>-1.4470000000000001</v>
      </c>
      <c r="IY25">
        <v>-11.391625814669769</v>
      </c>
      <c r="IZ25">
        <v>-5.6215304933332991E-3</v>
      </c>
      <c r="JA25">
        <v>2.3979931213773931E-6</v>
      </c>
      <c r="JB25">
        <v>-3.6297174575716598E-10</v>
      </c>
      <c r="JC25">
        <v>-1.800272636273067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2.1</v>
      </c>
      <c r="JL25">
        <v>2</v>
      </c>
      <c r="JM25">
        <v>1.10229</v>
      </c>
      <c r="JN25">
        <v>2.5</v>
      </c>
      <c r="JO25">
        <v>1.50024</v>
      </c>
      <c r="JP25">
        <v>2.2766099999999998</v>
      </c>
      <c r="JQ25">
        <v>1.4477500000000001</v>
      </c>
      <c r="JR25">
        <v>2.4206500000000002</v>
      </c>
      <c r="JS25">
        <v>39.994199999999999</v>
      </c>
      <c r="JT25">
        <v>23.912400000000002</v>
      </c>
      <c r="JU25">
        <v>18</v>
      </c>
      <c r="JV25">
        <v>538.15899999999999</v>
      </c>
      <c r="JW25">
        <v>438.94600000000003</v>
      </c>
      <c r="JX25">
        <v>22.8843</v>
      </c>
      <c r="JY25">
        <v>31.001999999999999</v>
      </c>
      <c r="JZ25">
        <v>30.000299999999999</v>
      </c>
      <c r="KA25">
        <v>30.989899999999999</v>
      </c>
      <c r="KB25">
        <v>30.992100000000001</v>
      </c>
      <c r="KC25">
        <v>22.047599999999999</v>
      </c>
      <c r="KD25">
        <v>46.358600000000003</v>
      </c>
      <c r="KE25">
        <v>0</v>
      </c>
      <c r="KF25">
        <v>22.8857</v>
      </c>
      <c r="KG25">
        <v>420</v>
      </c>
      <c r="KH25">
        <v>19.601099999999999</v>
      </c>
      <c r="KI25">
        <v>100.557</v>
      </c>
      <c r="KJ25">
        <v>97.4084</v>
      </c>
    </row>
    <row r="26" spans="1:296" x14ac:dyDescent="0.3">
      <c r="A26">
        <v>10</v>
      </c>
      <c r="B26">
        <v>1785256755.0999999</v>
      </c>
      <c r="C26">
        <v>1633.5</v>
      </c>
      <c r="D26" t="s">
        <v>662</v>
      </c>
      <c r="E26" t="s">
        <v>663</v>
      </c>
      <c r="F26">
        <v>15</v>
      </c>
      <c r="H26">
        <v>1785256747.099999</v>
      </c>
      <c r="I26">
        <f t="shared" si="0"/>
        <v>1.0224816802108887E-3</v>
      </c>
      <c r="J26">
        <f t="shared" si="1"/>
        <v>1.0224816802108887</v>
      </c>
      <c r="K26">
        <f t="shared" si="2"/>
        <v>9.9531865593633668</v>
      </c>
      <c r="L26">
        <f t="shared" si="3"/>
        <v>407.57112903225811</v>
      </c>
      <c r="M26">
        <f t="shared" si="4"/>
        <v>217.40470113507456</v>
      </c>
      <c r="N26">
        <f t="shared" si="5"/>
        <v>21.183042343257164</v>
      </c>
      <c r="O26">
        <f t="shared" si="6"/>
        <v>39.712096560484945</v>
      </c>
      <c r="P26">
        <f t="shared" si="7"/>
        <v>8.768044633333949E-2</v>
      </c>
      <c r="Q26">
        <f t="shared" si="8"/>
        <v>2.8824979853986656</v>
      </c>
      <c r="R26">
        <f t="shared" si="9"/>
        <v>8.6225268392838228E-2</v>
      </c>
      <c r="S26">
        <f t="shared" si="10"/>
        <v>5.4019523011589653E-2</v>
      </c>
      <c r="T26">
        <f t="shared" si="11"/>
        <v>32.484649694603981</v>
      </c>
      <c r="U26">
        <f t="shared" si="12"/>
        <v>24.895097834438072</v>
      </c>
      <c r="V26">
        <f t="shared" si="13"/>
        <v>24.999829032258059</v>
      </c>
      <c r="W26">
        <f t="shared" si="14"/>
        <v>3.1796451798553873</v>
      </c>
      <c r="X26">
        <f t="shared" si="15"/>
        <v>64.750552529307868</v>
      </c>
      <c r="Y26">
        <f t="shared" si="16"/>
        <v>2.0552622889288186</v>
      </c>
      <c r="Z26">
        <f t="shared" si="17"/>
        <v>3.1741231675182244</v>
      </c>
      <c r="AA26">
        <f t="shared" si="18"/>
        <v>1.1243828909265687</v>
      </c>
      <c r="AB26">
        <f t="shared" si="19"/>
        <v>-45.091442097300188</v>
      </c>
      <c r="AC26">
        <f t="shared" si="20"/>
        <v>-4.5301965421304446</v>
      </c>
      <c r="AD26">
        <f t="shared" si="21"/>
        <v>-0.33238663821976999</v>
      </c>
      <c r="AE26">
        <f t="shared" si="22"/>
        <v>-17.469375583046418</v>
      </c>
      <c r="AF26">
        <f t="shared" si="23"/>
        <v>9.9531865593633668</v>
      </c>
      <c r="AG26">
        <f t="shared" si="24"/>
        <v>1.0224816802108887</v>
      </c>
      <c r="AH26">
        <f t="shared" si="25"/>
        <v>9.9059809234133525</v>
      </c>
      <c r="AI26">
        <v>428.48328553682268</v>
      </c>
      <c r="AJ26">
        <v>416.37472121212141</v>
      </c>
      <c r="AK26">
        <v>-3.763752151037868E-3</v>
      </c>
      <c r="AL26">
        <v>67.090911176344932</v>
      </c>
      <c r="AM26">
        <f t="shared" si="26"/>
        <v>1.0195425578664727</v>
      </c>
      <c r="AN26">
        <v>19.896557514025471</v>
      </c>
      <c r="AO26">
        <v>21.094596363636359</v>
      </c>
      <c r="AP26">
        <v>-6.4929759801550101E-5</v>
      </c>
      <c r="AQ26">
        <v>78.244139636369098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51823.165343559558</v>
      </c>
      <c r="AW26" t="s">
        <v>627</v>
      </c>
      <c r="AX26">
        <v>13256.9</v>
      </c>
      <c r="AY26">
        <v>592.51470588235293</v>
      </c>
      <c r="AZ26">
        <v>2263.5100000000002</v>
      </c>
      <c r="BA26">
        <f t="shared" si="30"/>
        <v>0.73823190271642147</v>
      </c>
      <c r="BB26">
        <v>-2.8506644766585501</v>
      </c>
      <c r="BC26" t="s">
        <v>664</v>
      </c>
      <c r="BD26">
        <v>13274.7</v>
      </c>
      <c r="BE26">
        <v>830.39682352941179</v>
      </c>
      <c r="BF26">
        <v>1963.41</v>
      </c>
      <c r="BG26">
        <f t="shared" si="31"/>
        <v>0.57706397363290818</v>
      </c>
      <c r="BH26">
        <v>0.5</v>
      </c>
      <c r="BI26">
        <f t="shared" si="32"/>
        <v>168.29043926680131</v>
      </c>
      <c r="BJ26">
        <f t="shared" si="33"/>
        <v>9.9531865593633668</v>
      </c>
      <c r="BK26">
        <f t="shared" si="34"/>
        <v>48.557174803863987</v>
      </c>
      <c r="BL26">
        <f t="shared" si="35"/>
        <v>7.6081868297480496E-2</v>
      </c>
      <c r="BM26">
        <f t="shared" si="36"/>
        <v>0.152846323488217</v>
      </c>
      <c r="BN26">
        <f t="shared" si="37"/>
        <v>569.72004109230375</v>
      </c>
      <c r="BO26" t="s">
        <v>402</v>
      </c>
      <c r="BP26">
        <v>0</v>
      </c>
      <c r="BQ26">
        <f t="shared" si="38"/>
        <v>569.72004109230375</v>
      </c>
      <c r="BR26">
        <f t="shared" si="39"/>
        <v>0.70983134389032165</v>
      </c>
      <c r="BS26">
        <f t="shared" si="40"/>
        <v>0.8129592734947928</v>
      </c>
      <c r="BT26">
        <f t="shared" si="41"/>
        <v>0.1771766318614445</v>
      </c>
      <c r="BU26">
        <f t="shared" si="42"/>
        <v>0.82647681506546611</v>
      </c>
      <c r="BV26">
        <f t="shared" si="43"/>
        <v>0.17959356382177305</v>
      </c>
      <c r="BW26">
        <f t="shared" si="44"/>
        <v>0.55775645760935177</v>
      </c>
      <c r="BX26">
        <f t="shared" si="45"/>
        <v>0.44224354239064823</v>
      </c>
      <c r="DG26">
        <f t="shared" si="46"/>
        <v>199.99719354838709</v>
      </c>
      <c r="DH26">
        <f t="shared" si="47"/>
        <v>168.29043926680131</v>
      </c>
      <c r="DI26">
        <f t="shared" si="48"/>
        <v>0.8414640039740624</v>
      </c>
      <c r="DJ26">
        <f t="shared" si="49"/>
        <v>0.16242552766994045</v>
      </c>
      <c r="DK26">
        <v>6</v>
      </c>
      <c r="DL26">
        <v>0.5</v>
      </c>
      <c r="DM26" t="s">
        <v>403</v>
      </c>
      <c r="DN26">
        <v>2</v>
      </c>
      <c r="DO26" t="b">
        <v>0</v>
      </c>
      <c r="DP26">
        <v>1785256747.099999</v>
      </c>
      <c r="DQ26">
        <v>407.57112903225811</v>
      </c>
      <c r="DR26">
        <v>420.01499999999999</v>
      </c>
      <c r="DS26">
        <v>21.09346129032258</v>
      </c>
      <c r="DT26">
        <v>19.892367741935491</v>
      </c>
      <c r="DU26">
        <v>420.99154838709683</v>
      </c>
      <c r="DV26">
        <v>22.548441935483869</v>
      </c>
      <c r="DW26">
        <v>500.00135483870969</v>
      </c>
      <c r="DX26">
        <v>97.387425806451603</v>
      </c>
      <c r="DY26">
        <v>4.8564458064516133E-2</v>
      </c>
      <c r="DZ26">
        <v>24.970677419354839</v>
      </c>
      <c r="EA26">
        <v>24.999829032258059</v>
      </c>
      <c r="EB26">
        <v>999.90000000000032</v>
      </c>
      <c r="EC26">
        <v>0</v>
      </c>
      <c r="ED26">
        <v>0</v>
      </c>
      <c r="EE26">
        <v>9995.322580645161</v>
      </c>
      <c r="EF26">
        <v>0</v>
      </c>
      <c r="EG26">
        <v>250.49516129032261</v>
      </c>
      <c r="EH26">
        <v>-12.44392580645161</v>
      </c>
      <c r="EI26">
        <v>416.35335483870972</v>
      </c>
      <c r="EJ26">
        <v>428.53974193548379</v>
      </c>
      <c r="EK26">
        <v>1.201097741935484</v>
      </c>
      <c r="EL26">
        <v>420.01499999999999</v>
      </c>
      <c r="EM26">
        <v>19.892367741935491</v>
      </c>
      <c r="EN26">
        <v>2.0542377419354838</v>
      </c>
      <c r="EO26">
        <v>1.9372658064516131</v>
      </c>
      <c r="EP26">
        <v>17.86870967741935</v>
      </c>
      <c r="EQ26">
        <v>16.94069032258064</v>
      </c>
      <c r="ER26">
        <v>199.99719354838709</v>
      </c>
      <c r="ES26">
        <v>0.94995803225806419</v>
      </c>
      <c r="ET26">
        <v>5.0041919354838732E-2</v>
      </c>
      <c r="EU26">
        <v>0</v>
      </c>
      <c r="EV26">
        <v>830.50012903225809</v>
      </c>
      <c r="EW26">
        <v>5.0010700000000003</v>
      </c>
      <c r="EX26">
        <v>2983.819032258064</v>
      </c>
      <c r="EY26">
        <v>1751.774516129032</v>
      </c>
      <c r="EZ26">
        <v>34.875</v>
      </c>
      <c r="FA26">
        <v>38.441064516129018</v>
      </c>
      <c r="FB26">
        <v>36.875</v>
      </c>
      <c r="FC26">
        <v>38.311999999999983</v>
      </c>
      <c r="FD26">
        <v>37.061999999999983</v>
      </c>
      <c r="FE26">
        <v>185.23838709677409</v>
      </c>
      <c r="FF26">
        <v>9.759999999999998</v>
      </c>
      <c r="FG26">
        <v>0</v>
      </c>
      <c r="FH26">
        <v>180.70000004768369</v>
      </c>
      <c r="FI26">
        <v>0</v>
      </c>
      <c r="FJ26">
        <v>830.39682352941179</v>
      </c>
      <c r="FK26">
        <v>-2.5355391964276039</v>
      </c>
      <c r="FL26">
        <v>22.308823639447699</v>
      </c>
      <c r="FM26">
        <v>2985.1223529411759</v>
      </c>
      <c r="FN26">
        <v>10</v>
      </c>
      <c r="FO26">
        <v>1785256628.5999999</v>
      </c>
      <c r="FP26" t="s">
        <v>665</v>
      </c>
      <c r="FQ26">
        <v>1785256628.5999999</v>
      </c>
      <c r="FR26">
        <v>1785256628.0999999</v>
      </c>
      <c r="FS26">
        <v>26</v>
      </c>
      <c r="FT26">
        <v>-0.06</v>
      </c>
      <c r="FU26">
        <v>-7.0000000000000001E-3</v>
      </c>
      <c r="FV26">
        <v>-13.467000000000001</v>
      </c>
      <c r="FW26">
        <v>-1.4930000000000001</v>
      </c>
      <c r="FX26">
        <v>420</v>
      </c>
      <c r="FY26">
        <v>20</v>
      </c>
      <c r="FZ26">
        <v>0.54</v>
      </c>
      <c r="GA26">
        <v>0.18</v>
      </c>
      <c r="GB26">
        <v>407.56464516129029</v>
      </c>
      <c r="GC26">
        <v>0.34620967741935382</v>
      </c>
      <c r="GD26">
        <v>6.8734903744140444E-2</v>
      </c>
      <c r="GE26">
        <v>-1</v>
      </c>
      <c r="GF26">
        <v>830.64002941176466</v>
      </c>
      <c r="GG26">
        <v>-2.3849197919044158</v>
      </c>
      <c r="GH26">
        <v>0.29244401025657529</v>
      </c>
      <c r="GI26">
        <v>1</v>
      </c>
      <c r="GJ26">
        <v>1.2013304878048781</v>
      </c>
      <c r="GK26">
        <v>-1.3233449477383591E-3</v>
      </c>
      <c r="GL26">
        <v>3.888485786686875E-3</v>
      </c>
      <c r="GM26">
        <v>1</v>
      </c>
      <c r="GN26">
        <v>2</v>
      </c>
      <c r="GO26">
        <v>2</v>
      </c>
      <c r="GP26" t="s">
        <v>404</v>
      </c>
      <c r="GQ26">
        <v>3.1304599999999998</v>
      </c>
      <c r="GR26">
        <v>2.7252000000000001</v>
      </c>
      <c r="GS26">
        <v>9.0954599999999997E-2</v>
      </c>
      <c r="GT26">
        <v>9.1472800000000007E-2</v>
      </c>
      <c r="GU26">
        <v>0.10736900000000001</v>
      </c>
      <c r="GV26">
        <v>9.8587099999999997E-2</v>
      </c>
      <c r="GW26">
        <v>22844.9</v>
      </c>
      <c r="GX26">
        <v>30445.200000000001</v>
      </c>
      <c r="GY26">
        <v>27247.9</v>
      </c>
      <c r="GZ26">
        <v>34440.1</v>
      </c>
      <c r="HA26">
        <v>35604.699999999997</v>
      </c>
      <c r="HB26">
        <v>38660.300000000003</v>
      </c>
      <c r="HC26">
        <v>40228.6</v>
      </c>
      <c r="HD26">
        <v>42972.5</v>
      </c>
      <c r="HE26">
        <v>1.9923999999999999</v>
      </c>
      <c r="HF26">
        <v>1.8164</v>
      </c>
      <c r="HG26">
        <v>-3.7372099999999998E-2</v>
      </c>
      <c r="HH26">
        <v>0</v>
      </c>
      <c r="HI26">
        <v>25.612300000000001</v>
      </c>
      <c r="HJ26">
        <v>999.9</v>
      </c>
      <c r="HK26">
        <v>64.8</v>
      </c>
      <c r="HL26">
        <v>34.5</v>
      </c>
      <c r="HM26">
        <v>36.555900000000001</v>
      </c>
      <c r="HN26">
        <v>60.003999999999998</v>
      </c>
      <c r="HO26">
        <v>5.4607400000000004</v>
      </c>
      <c r="HP26">
        <v>1</v>
      </c>
      <c r="HQ26">
        <v>0.30817099999999997</v>
      </c>
      <c r="HR26">
        <v>2.78708</v>
      </c>
      <c r="HS26">
        <v>20.2288</v>
      </c>
      <c r="HT26">
        <v>5.2112999999999996</v>
      </c>
      <c r="HU26">
        <v>11.908099999999999</v>
      </c>
      <c r="HV26">
        <v>4.9851999999999999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1.8675200000000001</v>
      </c>
      <c r="IC26">
        <v>1.8631</v>
      </c>
      <c r="ID26">
        <v>1.8626100000000001</v>
      </c>
      <c r="IE26">
        <v>1.86206</v>
      </c>
      <c r="IF26">
        <v>1.8621799999999999</v>
      </c>
      <c r="IG26">
        <v>1.8627899999999999</v>
      </c>
      <c r="IH26">
        <v>1.86371</v>
      </c>
      <c r="II26">
        <v>1.8616900000000001</v>
      </c>
      <c r="IJ26">
        <v>0</v>
      </c>
      <c r="IK26">
        <v>0</v>
      </c>
      <c r="IL26">
        <v>0</v>
      </c>
      <c r="IM26">
        <v>4.5</v>
      </c>
      <c r="IN26" t="s">
        <v>405</v>
      </c>
      <c r="IO26" t="s">
        <v>406</v>
      </c>
      <c r="IP26" t="s">
        <v>407</v>
      </c>
      <c r="IQ26" t="s">
        <v>408</v>
      </c>
      <c r="IR26" t="s">
        <v>408</v>
      </c>
      <c r="IS26" t="s">
        <v>407</v>
      </c>
      <c r="IT26">
        <v>0</v>
      </c>
      <c r="IU26">
        <v>100</v>
      </c>
      <c r="IV26">
        <v>100</v>
      </c>
      <c r="IW26">
        <v>-13.42</v>
      </c>
      <c r="IX26">
        <v>-1.4550000000000001</v>
      </c>
      <c r="IY26">
        <v>-11.4517481117381</v>
      </c>
      <c r="IZ26">
        <v>-5.6215304933332991E-3</v>
      </c>
      <c r="JA26">
        <v>2.3979931213773931E-6</v>
      </c>
      <c r="JB26">
        <v>-3.6297174575716598E-10</v>
      </c>
      <c r="JC26">
        <v>-1.8076167728500849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2.1</v>
      </c>
      <c r="JL26">
        <v>2.1</v>
      </c>
      <c r="JM26">
        <v>1.10229</v>
      </c>
      <c r="JN26">
        <v>2.5061</v>
      </c>
      <c r="JO26">
        <v>1.50024</v>
      </c>
      <c r="JP26">
        <v>2.2766099999999998</v>
      </c>
      <c r="JQ26">
        <v>1.4477500000000001</v>
      </c>
      <c r="JR26">
        <v>2.34741</v>
      </c>
      <c r="JS26">
        <v>40.171300000000002</v>
      </c>
      <c r="JT26">
        <v>23.903600000000001</v>
      </c>
      <c r="JU26">
        <v>18</v>
      </c>
      <c r="JV26">
        <v>537.52</v>
      </c>
      <c r="JW26">
        <v>439.19900000000001</v>
      </c>
      <c r="JX26">
        <v>23.0273</v>
      </c>
      <c r="JY26">
        <v>31.034600000000001</v>
      </c>
      <c r="JZ26">
        <v>30.000599999999999</v>
      </c>
      <c r="KA26">
        <v>31.022200000000002</v>
      </c>
      <c r="KB26">
        <v>31.027000000000001</v>
      </c>
      <c r="KC26">
        <v>22.0518</v>
      </c>
      <c r="KD26">
        <v>46.085099999999997</v>
      </c>
      <c r="KE26">
        <v>0</v>
      </c>
      <c r="KF26">
        <v>23.025700000000001</v>
      </c>
      <c r="KG26">
        <v>420</v>
      </c>
      <c r="KH26">
        <v>19.8996</v>
      </c>
      <c r="KI26">
        <v>100.55</v>
      </c>
      <c r="KJ26">
        <v>97.401499999999999</v>
      </c>
    </row>
    <row r="27" spans="1:296" x14ac:dyDescent="0.3">
      <c r="A27">
        <v>11</v>
      </c>
      <c r="B27">
        <v>1785256937</v>
      </c>
      <c r="C27">
        <v>1815.400000095367</v>
      </c>
      <c r="D27" t="s">
        <v>666</v>
      </c>
      <c r="E27" t="s">
        <v>667</v>
      </c>
      <c r="F27">
        <v>15</v>
      </c>
      <c r="H27">
        <v>1785256929</v>
      </c>
      <c r="I27">
        <f t="shared" si="0"/>
        <v>6.6053879179705523E-4</v>
      </c>
      <c r="J27">
        <f t="shared" si="1"/>
        <v>0.66053879179705521</v>
      </c>
      <c r="K27">
        <f t="shared" si="2"/>
        <v>4.5775578229178793</v>
      </c>
      <c r="L27">
        <f t="shared" si="3"/>
        <v>414.17625806451611</v>
      </c>
      <c r="M27">
        <f t="shared" si="4"/>
        <v>275.92327854399406</v>
      </c>
      <c r="N27">
        <f t="shared" si="5"/>
        <v>26.884414806145443</v>
      </c>
      <c r="O27">
        <f t="shared" si="6"/>
        <v>40.355008767004819</v>
      </c>
      <c r="P27">
        <f t="shared" si="7"/>
        <v>5.6128253459578684E-2</v>
      </c>
      <c r="Q27">
        <f t="shared" si="8"/>
        <v>2.8837573825337124</v>
      </c>
      <c r="R27">
        <f t="shared" si="9"/>
        <v>5.5528334854278341E-2</v>
      </c>
      <c r="S27">
        <f t="shared" si="10"/>
        <v>3.4758575161630507E-2</v>
      </c>
      <c r="T27">
        <f t="shared" si="11"/>
        <v>16.507778918650889</v>
      </c>
      <c r="U27">
        <f t="shared" si="12"/>
        <v>24.878349596046689</v>
      </c>
      <c r="V27">
        <f t="shared" si="13"/>
        <v>25.013096774193549</v>
      </c>
      <c r="W27">
        <f t="shared" si="14"/>
        <v>3.1821611859493819</v>
      </c>
      <c r="X27">
        <f t="shared" si="15"/>
        <v>64.78382070183315</v>
      </c>
      <c r="Y27">
        <f t="shared" si="16"/>
        <v>2.0542729316080184</v>
      </c>
      <c r="Z27">
        <f t="shared" si="17"/>
        <v>3.1709660056370983</v>
      </c>
      <c r="AA27">
        <f t="shared" si="18"/>
        <v>1.1278882543413635</v>
      </c>
      <c r="AB27">
        <f t="shared" si="19"/>
        <v>-29.129760718250136</v>
      </c>
      <c r="AC27">
        <f t="shared" si="20"/>
        <v>-9.1892284918545108</v>
      </c>
      <c r="AD27">
        <f t="shared" si="21"/>
        <v>-0.67392006077243338</v>
      </c>
      <c r="AE27">
        <f t="shared" si="22"/>
        <v>-22.485130352226193</v>
      </c>
      <c r="AF27">
        <f t="shared" si="23"/>
        <v>4.5775578229178793</v>
      </c>
      <c r="AG27">
        <f t="shared" si="24"/>
        <v>0.66053879179705521</v>
      </c>
      <c r="AH27">
        <f t="shared" si="25"/>
        <v>4.4982604060067821</v>
      </c>
      <c r="AI27">
        <v>428.61353746156101</v>
      </c>
      <c r="AJ27">
        <v>423.09319999999968</v>
      </c>
      <c r="AK27">
        <v>1.9706759362132639E-3</v>
      </c>
      <c r="AL27">
        <v>67.089252666266447</v>
      </c>
      <c r="AM27">
        <f t="shared" si="26"/>
        <v>0.64704222419872193</v>
      </c>
      <c r="AN27">
        <v>20.336116230186121</v>
      </c>
      <c r="AO27">
        <v>21.096032121212119</v>
      </c>
      <c r="AP27">
        <v>2.8381463589812241E-5</v>
      </c>
      <c r="AQ27">
        <v>78.240586141763742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51862.047957577051</v>
      </c>
      <c r="AW27" t="s">
        <v>627</v>
      </c>
      <c r="AX27">
        <v>13256.9</v>
      </c>
      <c r="AY27">
        <v>592.51470588235293</v>
      </c>
      <c r="AZ27">
        <v>2263.5100000000002</v>
      </c>
      <c r="BA27">
        <f t="shared" si="30"/>
        <v>0.73823190271642147</v>
      </c>
      <c r="BB27">
        <v>-2.8506644766585501</v>
      </c>
      <c r="BC27" t="s">
        <v>668</v>
      </c>
      <c r="BD27">
        <v>13253.6</v>
      </c>
      <c r="BE27">
        <v>824.07988235294124</v>
      </c>
      <c r="BF27">
        <v>2150.15</v>
      </c>
      <c r="BG27">
        <f t="shared" si="31"/>
        <v>0.61673377096809934</v>
      </c>
      <c r="BH27">
        <v>0.5</v>
      </c>
      <c r="BI27">
        <f t="shared" si="32"/>
        <v>84.27577140428177</v>
      </c>
      <c r="BJ27">
        <f t="shared" si="33"/>
        <v>4.5775578229178793</v>
      </c>
      <c r="BK27">
        <f t="shared" si="34"/>
        <v>25.987857149704105</v>
      </c>
      <c r="BL27">
        <f t="shared" si="35"/>
        <v>8.8141848787622323E-2</v>
      </c>
      <c r="BM27">
        <f t="shared" si="36"/>
        <v>5.2721903123037983E-2</v>
      </c>
      <c r="BN27">
        <f t="shared" si="37"/>
        <v>584.44877955196853</v>
      </c>
      <c r="BO27" t="s">
        <v>402</v>
      </c>
      <c r="BP27">
        <v>0</v>
      </c>
      <c r="BQ27">
        <f t="shared" si="38"/>
        <v>584.44877955196853</v>
      </c>
      <c r="BR27">
        <f t="shared" si="39"/>
        <v>0.72818232237194214</v>
      </c>
      <c r="BS27">
        <f t="shared" si="40"/>
        <v>0.84694966084755219</v>
      </c>
      <c r="BT27">
        <f t="shared" si="41"/>
        <v>6.7513917074299268E-2</v>
      </c>
      <c r="BU27">
        <f t="shared" si="42"/>
        <v>0.85133543304707737</v>
      </c>
      <c r="BV27">
        <f t="shared" si="43"/>
        <v>6.7839808046771768E-2</v>
      </c>
      <c r="BW27">
        <f t="shared" si="44"/>
        <v>0.60066834080570952</v>
      </c>
      <c r="BX27">
        <f t="shared" si="45"/>
        <v>0.39933165919429048</v>
      </c>
      <c r="DG27">
        <f t="shared" si="46"/>
        <v>99.989367741935482</v>
      </c>
      <c r="DH27">
        <f t="shared" si="47"/>
        <v>84.27577140428177</v>
      </c>
      <c r="DI27">
        <f t="shared" si="48"/>
        <v>0.84284732774579352</v>
      </c>
      <c r="DJ27">
        <f t="shared" si="49"/>
        <v>0.16509534254938124</v>
      </c>
      <c r="DK27">
        <v>6</v>
      </c>
      <c r="DL27">
        <v>0.5</v>
      </c>
      <c r="DM27" t="s">
        <v>403</v>
      </c>
      <c r="DN27">
        <v>2</v>
      </c>
      <c r="DO27" t="b">
        <v>0</v>
      </c>
      <c r="DP27">
        <v>1785256929</v>
      </c>
      <c r="DQ27">
        <v>414.17625806451611</v>
      </c>
      <c r="DR27">
        <v>419.99777419354848</v>
      </c>
      <c r="DS27">
        <v>21.08365483870968</v>
      </c>
      <c r="DT27">
        <v>20.307700000000001</v>
      </c>
      <c r="DU27">
        <v>427.59487096774188</v>
      </c>
      <c r="DV27">
        <v>22.552261290322569</v>
      </c>
      <c r="DW27">
        <v>499.98699999999991</v>
      </c>
      <c r="DX27">
        <v>97.385703225806452</v>
      </c>
      <c r="DY27">
        <v>4.8681245161290333E-2</v>
      </c>
      <c r="DZ27">
        <v>24.953990322580651</v>
      </c>
      <c r="EA27">
        <v>25.013096774193549</v>
      </c>
      <c r="EB27">
        <v>999.90000000000032</v>
      </c>
      <c r="EC27">
        <v>0</v>
      </c>
      <c r="ED27">
        <v>0</v>
      </c>
      <c r="EE27">
        <v>10002.741935483869</v>
      </c>
      <c r="EF27">
        <v>0</v>
      </c>
      <c r="EG27">
        <v>270.65912903225802</v>
      </c>
      <c r="EH27">
        <v>-5.821548709677419</v>
      </c>
      <c r="EI27">
        <v>423.09667741935488</v>
      </c>
      <c r="EJ27">
        <v>428.7037741935485</v>
      </c>
      <c r="EK27">
        <v>0.77594654838709676</v>
      </c>
      <c r="EL27">
        <v>419.99777419354848</v>
      </c>
      <c r="EM27">
        <v>20.307700000000001</v>
      </c>
      <c r="EN27">
        <v>2.0532461290322579</v>
      </c>
      <c r="EO27">
        <v>1.977680322580645</v>
      </c>
      <c r="EP27">
        <v>17.861032258064519</v>
      </c>
      <c r="EQ27">
        <v>17.266732258064511</v>
      </c>
      <c r="ER27">
        <v>99.989367741935482</v>
      </c>
      <c r="ES27">
        <v>0.90008529032258067</v>
      </c>
      <c r="ET27">
        <v>9.9914883870967711E-2</v>
      </c>
      <c r="EU27">
        <v>0</v>
      </c>
      <c r="EV27">
        <v>824.04280645161282</v>
      </c>
      <c r="EW27">
        <v>5.0010700000000003</v>
      </c>
      <c r="EX27">
        <v>2246.7922580645159</v>
      </c>
      <c r="EY27">
        <v>836.50645161290322</v>
      </c>
      <c r="EZ27">
        <v>34.554000000000002</v>
      </c>
      <c r="FA27">
        <v>38.311999999999983</v>
      </c>
      <c r="FB27">
        <v>36.633000000000003</v>
      </c>
      <c r="FC27">
        <v>38.178999999999988</v>
      </c>
      <c r="FD27">
        <v>36.811999999999983</v>
      </c>
      <c r="FE27">
        <v>85.497419354838726</v>
      </c>
      <c r="FF27">
        <v>9.490000000000002</v>
      </c>
      <c r="FG27">
        <v>0</v>
      </c>
      <c r="FH27">
        <v>181.5</v>
      </c>
      <c r="FI27">
        <v>0</v>
      </c>
      <c r="FJ27">
        <v>824.07988235294124</v>
      </c>
      <c r="FK27">
        <v>-0.4367647179148364</v>
      </c>
      <c r="FL27">
        <v>50.421568767817568</v>
      </c>
      <c r="FM27">
        <v>2249.3841176470592</v>
      </c>
      <c r="FN27">
        <v>10</v>
      </c>
      <c r="FO27">
        <v>1785256818.5999999</v>
      </c>
      <c r="FP27" t="s">
        <v>669</v>
      </c>
      <c r="FQ27">
        <v>1785256818.5999999</v>
      </c>
      <c r="FR27">
        <v>1785256815.0999999</v>
      </c>
      <c r="FS27">
        <v>27</v>
      </c>
      <c r="FT27">
        <v>2.7E-2</v>
      </c>
      <c r="FU27">
        <v>-1.4E-2</v>
      </c>
      <c r="FV27">
        <v>-13.441000000000001</v>
      </c>
      <c r="FW27">
        <v>-1.4950000000000001</v>
      </c>
      <c r="FX27">
        <v>420</v>
      </c>
      <c r="FY27">
        <v>20</v>
      </c>
      <c r="FZ27">
        <v>1.05</v>
      </c>
      <c r="GA27">
        <v>0.24</v>
      </c>
      <c r="GB27">
        <v>414.17625806451611</v>
      </c>
      <c r="GC27">
        <v>3.1887096773119683E-2</v>
      </c>
      <c r="GD27">
        <v>5.6415490747256679E-2</v>
      </c>
      <c r="GE27">
        <v>-1</v>
      </c>
      <c r="GF27">
        <v>824.03161764705885</v>
      </c>
      <c r="GG27">
        <v>0.1247517179040223</v>
      </c>
      <c r="GH27">
        <v>0.1373482081310701</v>
      </c>
      <c r="GI27">
        <v>1</v>
      </c>
      <c r="GJ27">
        <v>0.79729543902439026</v>
      </c>
      <c r="GK27">
        <v>-0.44315318466898912</v>
      </c>
      <c r="GL27">
        <v>4.9576711175982308E-2</v>
      </c>
      <c r="GM27">
        <v>1</v>
      </c>
      <c r="GN27">
        <v>2</v>
      </c>
      <c r="GO27">
        <v>2</v>
      </c>
      <c r="GP27" t="s">
        <v>404</v>
      </c>
      <c r="GQ27">
        <v>3.13185</v>
      </c>
      <c r="GR27">
        <v>2.7244600000000001</v>
      </c>
      <c r="GS27">
        <v>9.2031600000000005E-2</v>
      </c>
      <c r="GT27">
        <v>9.1474600000000003E-2</v>
      </c>
      <c r="GU27">
        <v>0.107404</v>
      </c>
      <c r="GV27">
        <v>0.10014099999999999</v>
      </c>
      <c r="GW27">
        <v>22816.1</v>
      </c>
      <c r="GX27">
        <v>30440.9</v>
      </c>
      <c r="GY27">
        <v>27245.9</v>
      </c>
      <c r="GZ27">
        <v>34435.599999999999</v>
      </c>
      <c r="HA27">
        <v>35600.300000000003</v>
      </c>
      <c r="HB27">
        <v>38587.5</v>
      </c>
      <c r="HC27">
        <v>40225</v>
      </c>
      <c r="HD27">
        <v>42965.9</v>
      </c>
      <c r="HE27">
        <v>1.9936</v>
      </c>
      <c r="HF27">
        <v>1.8133999999999999</v>
      </c>
      <c r="HG27">
        <v>-3.8057599999999997E-2</v>
      </c>
      <c r="HH27">
        <v>0</v>
      </c>
      <c r="HI27">
        <v>25.634</v>
      </c>
      <c r="HJ27">
        <v>999.9</v>
      </c>
      <c r="HK27">
        <v>64.599999999999994</v>
      </c>
      <c r="HL27">
        <v>34.6</v>
      </c>
      <c r="HM27">
        <v>36.646999999999998</v>
      </c>
      <c r="HN27">
        <v>60.2241</v>
      </c>
      <c r="HO27">
        <v>5.1963100000000004</v>
      </c>
      <c r="HP27">
        <v>1</v>
      </c>
      <c r="HQ27">
        <v>0.31262200000000001</v>
      </c>
      <c r="HR27">
        <v>2.8669699999999998</v>
      </c>
      <c r="HS27">
        <v>20.228100000000001</v>
      </c>
      <c r="HT27">
        <v>5.2112999999999996</v>
      </c>
      <c r="HU27">
        <v>11.908099999999999</v>
      </c>
      <c r="HV27">
        <v>4.9843999999999999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1.8675200000000001</v>
      </c>
      <c r="IC27">
        <v>1.86313</v>
      </c>
      <c r="ID27">
        <v>1.8626400000000001</v>
      </c>
      <c r="IE27">
        <v>1.8621799999999999</v>
      </c>
      <c r="IF27">
        <v>1.8621799999999999</v>
      </c>
      <c r="IG27">
        <v>1.8627899999999999</v>
      </c>
      <c r="IH27">
        <v>1.86371</v>
      </c>
      <c r="II27">
        <v>1.86172</v>
      </c>
      <c r="IJ27">
        <v>0</v>
      </c>
      <c r="IK27">
        <v>0</v>
      </c>
      <c r="IL27">
        <v>0</v>
      </c>
      <c r="IM27">
        <v>4.5</v>
      </c>
      <c r="IN27" t="s">
        <v>405</v>
      </c>
      <c r="IO27" t="s">
        <v>406</v>
      </c>
      <c r="IP27" t="s">
        <v>407</v>
      </c>
      <c r="IQ27" t="s">
        <v>408</v>
      </c>
      <c r="IR27" t="s">
        <v>408</v>
      </c>
      <c r="IS27" t="s">
        <v>407</v>
      </c>
      <c r="IT27">
        <v>0</v>
      </c>
      <c r="IU27">
        <v>100</v>
      </c>
      <c r="IV27">
        <v>100</v>
      </c>
      <c r="IW27">
        <v>-13.419</v>
      </c>
      <c r="IX27">
        <v>-1.4682999999999999</v>
      </c>
      <c r="IY27">
        <v>-11.42483996343892</v>
      </c>
      <c r="IZ27">
        <v>-5.6215304933332991E-3</v>
      </c>
      <c r="JA27">
        <v>2.3979931213773931E-6</v>
      </c>
      <c r="JB27">
        <v>-3.6297174575716598E-10</v>
      </c>
      <c r="JC27">
        <v>-1.821334906215786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2</v>
      </c>
      <c r="JL27">
        <v>2</v>
      </c>
      <c r="JM27">
        <v>1.10229</v>
      </c>
      <c r="JN27">
        <v>2.5109900000000001</v>
      </c>
      <c r="JO27">
        <v>1.50024</v>
      </c>
      <c r="JP27">
        <v>2.2766099999999998</v>
      </c>
      <c r="JQ27">
        <v>1.4477500000000001</v>
      </c>
      <c r="JR27">
        <v>2.3571800000000001</v>
      </c>
      <c r="JS27">
        <v>40.374499999999998</v>
      </c>
      <c r="JT27">
        <v>23.8949</v>
      </c>
      <c r="JU27">
        <v>18</v>
      </c>
      <c r="JV27">
        <v>538.65200000000004</v>
      </c>
      <c r="JW27">
        <v>437.65499999999997</v>
      </c>
      <c r="JX27">
        <v>22.9953</v>
      </c>
      <c r="JY27">
        <v>31.0806</v>
      </c>
      <c r="JZ27">
        <v>30.0002</v>
      </c>
      <c r="KA27">
        <v>31.0627</v>
      </c>
      <c r="KB27">
        <v>31.07</v>
      </c>
      <c r="KC27">
        <v>22.054600000000001</v>
      </c>
      <c r="KD27">
        <v>45.420200000000001</v>
      </c>
      <c r="KE27">
        <v>0</v>
      </c>
      <c r="KF27">
        <v>22.989599999999999</v>
      </c>
      <c r="KG27">
        <v>420</v>
      </c>
      <c r="KH27">
        <v>20.3704</v>
      </c>
      <c r="KI27">
        <v>100.542</v>
      </c>
      <c r="KJ27">
        <v>97.387500000000003</v>
      </c>
    </row>
    <row r="28" spans="1:296" x14ac:dyDescent="0.3">
      <c r="A28">
        <v>12</v>
      </c>
      <c r="B28">
        <v>1785257118.5</v>
      </c>
      <c r="C28">
        <v>1996.900000095367</v>
      </c>
      <c r="D28" t="s">
        <v>670</v>
      </c>
      <c r="E28" t="s">
        <v>671</v>
      </c>
      <c r="F28">
        <v>15</v>
      </c>
      <c r="H28">
        <v>1785257110.75</v>
      </c>
      <c r="I28">
        <f t="shared" si="0"/>
        <v>4.2509716805084373E-4</v>
      </c>
      <c r="J28">
        <f t="shared" si="1"/>
        <v>0.42509716805084374</v>
      </c>
      <c r="K28">
        <f t="shared" si="2"/>
        <v>1.6970322916364984</v>
      </c>
      <c r="L28">
        <f t="shared" si="3"/>
        <v>417.76413333333329</v>
      </c>
      <c r="M28">
        <f t="shared" si="4"/>
        <v>334.43957090090151</v>
      </c>
      <c r="N28">
        <f t="shared" si="5"/>
        <v>32.584866797933529</v>
      </c>
      <c r="O28">
        <f t="shared" si="6"/>
        <v>40.703283409170631</v>
      </c>
      <c r="P28">
        <f t="shared" si="7"/>
        <v>3.5867351279729502E-2</v>
      </c>
      <c r="Q28">
        <f t="shared" si="8"/>
        <v>2.8834606504334754</v>
      </c>
      <c r="R28">
        <f t="shared" si="9"/>
        <v>3.5621323593748457E-2</v>
      </c>
      <c r="S28">
        <f t="shared" si="10"/>
        <v>2.2285291031392325E-2</v>
      </c>
      <c r="T28">
        <f t="shared" si="11"/>
        <v>8.2407368917629213</v>
      </c>
      <c r="U28">
        <f t="shared" si="12"/>
        <v>24.857375431942771</v>
      </c>
      <c r="V28">
        <f t="shared" si="13"/>
        <v>25.012339999999991</v>
      </c>
      <c r="W28">
        <f t="shared" si="14"/>
        <v>3.1820176295660558</v>
      </c>
      <c r="X28">
        <f t="shared" si="15"/>
        <v>64.795254901208168</v>
      </c>
      <c r="Y28">
        <f t="shared" si="16"/>
        <v>2.0505160883888678</v>
      </c>
      <c r="Z28">
        <f t="shared" si="17"/>
        <v>3.1646084138649386</v>
      </c>
      <c r="AA28">
        <f t="shared" si="18"/>
        <v>1.131501541177188</v>
      </c>
      <c r="AB28">
        <f t="shared" si="19"/>
        <v>-18.746785111042207</v>
      </c>
      <c r="AC28">
        <f t="shared" si="20"/>
        <v>-14.301169836824549</v>
      </c>
      <c r="AD28">
        <f t="shared" si="21"/>
        <v>-1.0487461508169318</v>
      </c>
      <c r="AE28">
        <f t="shared" si="22"/>
        <v>-25.855964206920767</v>
      </c>
      <c r="AF28">
        <f t="shared" si="23"/>
        <v>1.6970322916364984</v>
      </c>
      <c r="AG28">
        <f t="shared" si="24"/>
        <v>0.42509716805084374</v>
      </c>
      <c r="AH28">
        <f t="shared" si="25"/>
        <v>1.6639714726496755</v>
      </c>
      <c r="AI28">
        <v>428.85202975613572</v>
      </c>
      <c r="AJ28">
        <v>426.75952727272721</v>
      </c>
      <c r="AK28">
        <v>1.025052111613684E-2</v>
      </c>
      <c r="AL28">
        <v>67.089556804446147</v>
      </c>
      <c r="AM28">
        <f t="shared" si="26"/>
        <v>0.41780410276355284</v>
      </c>
      <c r="AN28">
        <v>20.54869671096926</v>
      </c>
      <c r="AO28">
        <v>21.03961575757576</v>
      </c>
      <c r="AP28">
        <v>-2.4282522097390629E-5</v>
      </c>
      <c r="AQ28">
        <v>78.241442883018308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51859.353932205799</v>
      </c>
      <c r="AW28" t="s">
        <v>627</v>
      </c>
      <c r="AX28">
        <v>13256.9</v>
      </c>
      <c r="AY28">
        <v>592.51470588235293</v>
      </c>
      <c r="AZ28">
        <v>2263.5100000000002</v>
      </c>
      <c r="BA28">
        <f t="shared" si="30"/>
        <v>0.73823190271642147</v>
      </c>
      <c r="BB28">
        <v>-2.8506644766585501</v>
      </c>
      <c r="BC28" t="s">
        <v>672</v>
      </c>
      <c r="BD28">
        <v>13255.2</v>
      </c>
      <c r="BE28">
        <v>800.29129411764711</v>
      </c>
      <c r="BF28">
        <v>2295.94</v>
      </c>
      <c r="BG28">
        <f t="shared" si="31"/>
        <v>0.65143196506979839</v>
      </c>
      <c r="BH28">
        <v>0.5</v>
      </c>
      <c r="BI28">
        <f t="shared" si="32"/>
        <v>42.134432930447097</v>
      </c>
      <c r="BJ28">
        <f t="shared" si="33"/>
        <v>1.6970322916364984</v>
      </c>
      <c r="BK28">
        <f t="shared" si="34"/>
        <v>13.723858220491389</v>
      </c>
      <c r="BL28">
        <f t="shared" si="35"/>
        <v>0.10793302418005965</v>
      </c>
      <c r="BM28">
        <f t="shared" si="36"/>
        <v>-1.4124933578403545E-2</v>
      </c>
      <c r="BN28">
        <f t="shared" si="37"/>
        <v>594.7136339635606</v>
      </c>
      <c r="BO28" t="s">
        <v>402</v>
      </c>
      <c r="BP28">
        <v>0</v>
      </c>
      <c r="BQ28">
        <f t="shared" si="38"/>
        <v>594.7136339635606</v>
      </c>
      <c r="BR28">
        <f t="shared" si="39"/>
        <v>0.74097161338555861</v>
      </c>
      <c r="BS28">
        <f t="shared" si="40"/>
        <v>0.87915913822036129</v>
      </c>
      <c r="BT28">
        <f t="shared" si="41"/>
        <v>-1.9433167916720943E-2</v>
      </c>
      <c r="BU28">
        <f t="shared" si="42"/>
        <v>0.87802424388507172</v>
      </c>
      <c r="BV28">
        <f t="shared" si="43"/>
        <v>-1.9407595050783301E-2</v>
      </c>
      <c r="BW28">
        <f t="shared" si="44"/>
        <v>0.65332202132695183</v>
      </c>
      <c r="BX28">
        <f t="shared" si="45"/>
        <v>0.34667797867304817</v>
      </c>
      <c r="DG28">
        <f t="shared" si="46"/>
        <v>49.999123333333323</v>
      </c>
      <c r="DH28">
        <f t="shared" si="47"/>
        <v>42.134432930447097</v>
      </c>
      <c r="DI28">
        <f t="shared" si="48"/>
        <v>0.84270343400915182</v>
      </c>
      <c r="DJ28">
        <f t="shared" si="49"/>
        <v>0.16481762763766303</v>
      </c>
      <c r="DK28">
        <v>6</v>
      </c>
      <c r="DL28">
        <v>0.5</v>
      </c>
      <c r="DM28" t="s">
        <v>403</v>
      </c>
      <c r="DN28">
        <v>2</v>
      </c>
      <c r="DO28" t="b">
        <v>0</v>
      </c>
      <c r="DP28">
        <v>1785257110.75</v>
      </c>
      <c r="DQ28">
        <v>417.76413333333329</v>
      </c>
      <c r="DR28">
        <v>420.01346666666672</v>
      </c>
      <c r="DS28">
        <v>21.045773333333329</v>
      </c>
      <c r="DT28">
        <v>20.54644</v>
      </c>
      <c r="DU28">
        <v>431.26926666666662</v>
      </c>
      <c r="DV28">
        <v>22.52692</v>
      </c>
      <c r="DW28">
        <v>500.04753333333338</v>
      </c>
      <c r="DX28">
        <v>97.382800000000032</v>
      </c>
      <c r="DY28">
        <v>4.8454053333333337E-2</v>
      </c>
      <c r="DZ28">
        <v>24.920343333333332</v>
      </c>
      <c r="EA28">
        <v>25.012339999999991</v>
      </c>
      <c r="EB28">
        <v>999.9000000000002</v>
      </c>
      <c r="EC28">
        <v>0</v>
      </c>
      <c r="ED28">
        <v>0</v>
      </c>
      <c r="EE28">
        <v>10001.33333333333</v>
      </c>
      <c r="EF28">
        <v>0</v>
      </c>
      <c r="EG28">
        <v>314.12136666666657</v>
      </c>
      <c r="EH28">
        <v>-2.2493620000000001</v>
      </c>
      <c r="EI28">
        <v>426.74526666666668</v>
      </c>
      <c r="EJ28">
        <v>428.82433333333319</v>
      </c>
      <c r="EK28">
        <v>0.49933213333333332</v>
      </c>
      <c r="EL28">
        <v>420.01346666666672</v>
      </c>
      <c r="EM28">
        <v>20.54644</v>
      </c>
      <c r="EN28">
        <v>2.049494999999999</v>
      </c>
      <c r="EO28">
        <v>2.0008693333333332</v>
      </c>
      <c r="EP28">
        <v>17.831990000000001</v>
      </c>
      <c r="EQ28">
        <v>17.451219999999999</v>
      </c>
      <c r="ER28">
        <v>49.999123333333323</v>
      </c>
      <c r="ES28">
        <v>0.89992806666666625</v>
      </c>
      <c r="ET28">
        <v>0.10007231</v>
      </c>
      <c r="EU28">
        <v>0</v>
      </c>
      <c r="EV28">
        <v>800.27463333333321</v>
      </c>
      <c r="EW28">
        <v>5.0010700000000003</v>
      </c>
      <c r="EX28">
        <v>1998.492666666667</v>
      </c>
      <c r="EY28">
        <v>396.24646666666672</v>
      </c>
      <c r="EZ28">
        <v>34.324599999999997</v>
      </c>
      <c r="FA28">
        <v>38.186999999999991</v>
      </c>
      <c r="FB28">
        <v>36.5</v>
      </c>
      <c r="FC28">
        <v>38.061999999999991</v>
      </c>
      <c r="FD28">
        <v>36.633266666666671</v>
      </c>
      <c r="FE28">
        <v>40.496000000000002</v>
      </c>
      <c r="FF28">
        <v>4.5060000000000002</v>
      </c>
      <c r="FG28">
        <v>0</v>
      </c>
      <c r="FH28">
        <v>180.70000004768369</v>
      </c>
      <c r="FI28">
        <v>0</v>
      </c>
      <c r="FJ28">
        <v>800.29129411764711</v>
      </c>
      <c r="FK28">
        <v>0.84289217404117722</v>
      </c>
      <c r="FL28">
        <v>75.924019863124414</v>
      </c>
      <c r="FM28">
        <v>2001.8047058823529</v>
      </c>
      <c r="FN28">
        <v>10</v>
      </c>
      <c r="FO28">
        <v>1785256988.5</v>
      </c>
      <c r="FP28" t="s">
        <v>673</v>
      </c>
      <c r="FQ28">
        <v>1785256988.5</v>
      </c>
      <c r="FR28">
        <v>1785256986.5</v>
      </c>
      <c r="FS28">
        <v>28</v>
      </c>
      <c r="FT28">
        <v>-7.2999999999999995E-2</v>
      </c>
      <c r="FU28">
        <v>-1.2E-2</v>
      </c>
      <c r="FV28">
        <v>-13.513999999999999</v>
      </c>
      <c r="FW28">
        <v>-1.4990000000000001</v>
      </c>
      <c r="FX28">
        <v>420</v>
      </c>
      <c r="FY28">
        <v>20</v>
      </c>
      <c r="FZ28">
        <v>1.68</v>
      </c>
      <c r="GA28">
        <v>0.5</v>
      </c>
      <c r="GB28">
        <v>417.76413333333329</v>
      </c>
      <c r="GC28">
        <v>1.697886540618302E-2</v>
      </c>
      <c r="GD28">
        <v>5.4355455619056033E-2</v>
      </c>
      <c r="GE28">
        <v>-1</v>
      </c>
      <c r="GF28">
        <v>800.2375588235293</v>
      </c>
      <c r="GG28">
        <v>0.96319327674454758</v>
      </c>
      <c r="GH28">
        <v>0.23138269689444541</v>
      </c>
      <c r="GI28">
        <v>1</v>
      </c>
      <c r="GJ28">
        <v>0.50286092500000001</v>
      </c>
      <c r="GK28">
        <v>-8.4621917448405914E-2</v>
      </c>
      <c r="GL28">
        <v>8.7087193759688344E-3</v>
      </c>
      <c r="GM28">
        <v>1</v>
      </c>
      <c r="GN28">
        <v>2</v>
      </c>
      <c r="GO28">
        <v>2</v>
      </c>
      <c r="GP28" t="s">
        <v>404</v>
      </c>
      <c r="GQ28">
        <v>3.1303700000000001</v>
      </c>
      <c r="GR28">
        <v>2.7254399999999999</v>
      </c>
      <c r="GS28">
        <v>9.2611100000000002E-2</v>
      </c>
      <c r="GT28">
        <v>9.1460299999999994E-2</v>
      </c>
      <c r="GU28">
        <v>0.107238</v>
      </c>
      <c r="GV28">
        <v>0.10087500000000001</v>
      </c>
      <c r="GW28">
        <v>22798.5</v>
      </c>
      <c r="GX28">
        <v>30436.3</v>
      </c>
      <c r="GY28">
        <v>27242.6</v>
      </c>
      <c r="GZ28">
        <v>34430.199999999997</v>
      </c>
      <c r="HA28">
        <v>35603.599999999999</v>
      </c>
      <c r="HB28">
        <v>38549.300000000003</v>
      </c>
      <c r="HC28">
        <v>40220.800000000003</v>
      </c>
      <c r="HD28">
        <v>42958.3</v>
      </c>
      <c r="HE28">
        <v>1.9912000000000001</v>
      </c>
      <c r="HF28">
        <v>1.8131999999999999</v>
      </c>
      <c r="HG28">
        <v>-3.9935100000000001E-2</v>
      </c>
      <c r="HH28">
        <v>0</v>
      </c>
      <c r="HI28">
        <v>25.679400000000001</v>
      </c>
      <c r="HJ28">
        <v>999.9</v>
      </c>
      <c r="HK28">
        <v>64.400000000000006</v>
      </c>
      <c r="HL28">
        <v>34.799999999999997</v>
      </c>
      <c r="HM28">
        <v>36.944000000000003</v>
      </c>
      <c r="HN28">
        <v>60.184100000000001</v>
      </c>
      <c r="HO28">
        <v>5.27644</v>
      </c>
      <c r="HP28">
        <v>1</v>
      </c>
      <c r="HQ28">
        <v>0.31853700000000001</v>
      </c>
      <c r="HR28">
        <v>2.97939</v>
      </c>
      <c r="HS28">
        <v>20.226700000000001</v>
      </c>
      <c r="HT28">
        <v>5.2137000000000002</v>
      </c>
      <c r="HU28">
        <v>11.908099999999999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1.8675200000000001</v>
      </c>
      <c r="IC28">
        <v>1.86313</v>
      </c>
      <c r="ID28">
        <v>1.8626400000000001</v>
      </c>
      <c r="IE28">
        <v>1.8621799999999999</v>
      </c>
      <c r="IF28">
        <v>1.8621799999999999</v>
      </c>
      <c r="IG28">
        <v>1.8627899999999999</v>
      </c>
      <c r="IH28">
        <v>1.86371</v>
      </c>
      <c r="II28">
        <v>1.8616900000000001</v>
      </c>
      <c r="IJ28">
        <v>0</v>
      </c>
      <c r="IK28">
        <v>0</v>
      </c>
      <c r="IL28">
        <v>0</v>
      </c>
      <c r="IM28">
        <v>4.5</v>
      </c>
      <c r="IN28" t="s">
        <v>405</v>
      </c>
      <c r="IO28" t="s">
        <v>406</v>
      </c>
      <c r="IP28" t="s">
        <v>407</v>
      </c>
      <c r="IQ28" t="s">
        <v>408</v>
      </c>
      <c r="IR28" t="s">
        <v>408</v>
      </c>
      <c r="IS28" t="s">
        <v>407</v>
      </c>
      <c r="IT28">
        <v>0</v>
      </c>
      <c r="IU28">
        <v>100</v>
      </c>
      <c r="IV28">
        <v>100</v>
      </c>
      <c r="IW28">
        <v>-13.505000000000001</v>
      </c>
      <c r="IX28">
        <v>-1.4814000000000001</v>
      </c>
      <c r="IY28">
        <v>-11.49772870934175</v>
      </c>
      <c r="IZ28">
        <v>-5.6215304933332991E-3</v>
      </c>
      <c r="JA28">
        <v>2.3979931213773931E-6</v>
      </c>
      <c r="JB28">
        <v>-3.6297174575716598E-10</v>
      </c>
      <c r="JC28">
        <v>-1.8332006161524901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2.2000000000000002</v>
      </c>
      <c r="JL28">
        <v>2.2000000000000002</v>
      </c>
      <c r="JM28">
        <v>1.10229</v>
      </c>
      <c r="JN28">
        <v>2.5134300000000001</v>
      </c>
      <c r="JO28">
        <v>1.50024</v>
      </c>
      <c r="JP28">
        <v>2.2766099999999998</v>
      </c>
      <c r="JQ28">
        <v>1.4477500000000001</v>
      </c>
      <c r="JR28">
        <v>2.35107</v>
      </c>
      <c r="JS28">
        <v>40.578699999999998</v>
      </c>
      <c r="JT28">
        <v>23.903600000000001</v>
      </c>
      <c r="JU28">
        <v>18</v>
      </c>
      <c r="JV28">
        <v>537.57100000000003</v>
      </c>
      <c r="JW28">
        <v>437.92</v>
      </c>
      <c r="JX28">
        <v>22.871600000000001</v>
      </c>
      <c r="JY28">
        <v>31.1404</v>
      </c>
      <c r="JZ28">
        <v>30.0002</v>
      </c>
      <c r="KA28">
        <v>31.119399999999999</v>
      </c>
      <c r="KB28">
        <v>31.123799999999999</v>
      </c>
      <c r="KC28">
        <v>22.055499999999999</v>
      </c>
      <c r="KD28">
        <v>45.430100000000003</v>
      </c>
      <c r="KE28">
        <v>0</v>
      </c>
      <c r="KF28">
        <v>22.876300000000001</v>
      </c>
      <c r="KG28">
        <v>420</v>
      </c>
      <c r="KH28">
        <v>20.598099999999999</v>
      </c>
      <c r="KI28">
        <v>100.53100000000001</v>
      </c>
      <c r="KJ28">
        <v>97.371300000000005</v>
      </c>
    </row>
    <row r="29" spans="1:296" x14ac:dyDescent="0.3">
      <c r="A29">
        <v>13</v>
      </c>
      <c r="B29">
        <v>1785257300</v>
      </c>
      <c r="C29">
        <v>2178.400000095367</v>
      </c>
      <c r="D29" t="s">
        <v>674</v>
      </c>
      <c r="E29" t="s">
        <v>675</v>
      </c>
      <c r="F29">
        <v>15</v>
      </c>
      <c r="H29">
        <v>1785257292</v>
      </c>
      <c r="I29">
        <f t="shared" si="0"/>
        <v>2.4231540128276665E-4</v>
      </c>
      <c r="J29">
        <f t="shared" si="1"/>
        <v>0.24231540128276666</v>
      </c>
      <c r="K29">
        <f t="shared" si="2"/>
        <v>-2.1706611064589816</v>
      </c>
      <c r="L29">
        <f t="shared" si="3"/>
        <v>422.46306451612901</v>
      </c>
      <c r="M29">
        <f t="shared" si="4"/>
        <v>583.58262366030146</v>
      </c>
      <c r="N29">
        <f t="shared" si="5"/>
        <v>56.863248456059921</v>
      </c>
      <c r="O29">
        <f t="shared" si="6"/>
        <v>41.164046404288555</v>
      </c>
      <c r="P29">
        <f t="shared" si="7"/>
        <v>2.0413847413608768E-2</v>
      </c>
      <c r="Q29">
        <f t="shared" si="8"/>
        <v>2.8834580951713078</v>
      </c>
      <c r="R29">
        <f t="shared" si="9"/>
        <v>2.0333896564384415E-2</v>
      </c>
      <c r="S29">
        <f t="shared" si="10"/>
        <v>1.2715842415544798E-2</v>
      </c>
      <c r="T29">
        <f t="shared" si="11"/>
        <v>1.5966703903835998E-4</v>
      </c>
      <c r="U29">
        <f t="shared" si="12"/>
        <v>24.803403092557225</v>
      </c>
      <c r="V29">
        <f t="shared" si="13"/>
        <v>24.999354838709671</v>
      </c>
      <c r="W29">
        <f t="shared" si="14"/>
        <v>3.179555289138404</v>
      </c>
      <c r="X29">
        <f t="shared" si="15"/>
        <v>64.96971699976028</v>
      </c>
      <c r="Y29">
        <f t="shared" si="16"/>
        <v>2.0495587648580349</v>
      </c>
      <c r="Z29">
        <f t="shared" si="17"/>
        <v>3.1546370516984044</v>
      </c>
      <c r="AA29">
        <f t="shared" si="18"/>
        <v>1.1299965242803691</v>
      </c>
      <c r="AB29">
        <f t="shared" si="19"/>
        <v>-10.686109196570008</v>
      </c>
      <c r="AC29">
        <f t="shared" si="20"/>
        <v>-20.504751215130209</v>
      </c>
      <c r="AD29">
        <f t="shared" si="21"/>
        <v>-1.503175475685153</v>
      </c>
      <c r="AE29">
        <f t="shared" si="22"/>
        <v>-32.693876220346333</v>
      </c>
      <c r="AF29">
        <f t="shared" si="23"/>
        <v>-2.1706611064589816</v>
      </c>
      <c r="AG29">
        <f t="shared" si="24"/>
        <v>0.24231540128276666</v>
      </c>
      <c r="AH29">
        <f t="shared" si="25"/>
        <v>-2.1466967738312182</v>
      </c>
      <c r="AI29">
        <v>428.838922787348</v>
      </c>
      <c r="AJ29">
        <v>431.50593333333308</v>
      </c>
      <c r="AK29">
        <v>-6.9350641472288666E-3</v>
      </c>
      <c r="AL29">
        <v>67.094573501290711</v>
      </c>
      <c r="AM29">
        <f t="shared" si="26"/>
        <v>0.23863932411407121</v>
      </c>
      <c r="AN29">
        <v>20.756526607888411</v>
      </c>
      <c r="AO29">
        <v>21.036474545454539</v>
      </c>
      <c r="AP29">
        <v>6.0999651052123478E-5</v>
      </c>
      <c r="AQ29">
        <v>78.252645609781126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51868.632234822035</v>
      </c>
      <c r="AW29" t="s">
        <v>676</v>
      </c>
      <c r="AX29">
        <v>13263.7</v>
      </c>
      <c r="AY29">
        <v>631.76470588235293</v>
      </c>
      <c r="AZ29">
        <v>2485.6799999999998</v>
      </c>
      <c r="BA29">
        <f t="shared" si="30"/>
        <v>0.74583827931095192</v>
      </c>
      <c r="BB29">
        <v>-2.170661106458982</v>
      </c>
      <c r="BC29" t="s">
        <v>402</v>
      </c>
      <c r="BD29" t="s">
        <v>402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-2.1706611064589816</v>
      </c>
      <c r="BK29" t="e">
        <f t="shared" si="34"/>
        <v>#DIV/0!</v>
      </c>
      <c r="BL29">
        <f t="shared" si="35"/>
        <v>5.2845565609343049E-13</v>
      </c>
      <c r="BM29" t="e">
        <f t="shared" si="36"/>
        <v>#DIV/0!</v>
      </c>
      <c r="BN29" t="e">
        <f t="shared" si="37"/>
        <v>#DIV/0!</v>
      </c>
      <c r="BO29" t="s">
        <v>402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1.3407732315963417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403</v>
      </c>
      <c r="DN29">
        <v>2</v>
      </c>
      <c r="DO29" t="b">
        <v>0</v>
      </c>
      <c r="DP29">
        <v>1785257292</v>
      </c>
      <c r="DQ29">
        <v>422.46306451612901</v>
      </c>
      <c r="DR29">
        <v>419.98129032258072</v>
      </c>
      <c r="DS29">
        <v>21.034445161290321</v>
      </c>
      <c r="DT29">
        <v>20.749803225806449</v>
      </c>
      <c r="DU29">
        <v>435.93761290322578</v>
      </c>
      <c r="DV29">
        <v>22.531490322580641</v>
      </c>
      <c r="DW29">
        <v>500.03545161290322</v>
      </c>
      <c r="DX29">
        <v>97.389358064516131</v>
      </c>
      <c r="DY29">
        <v>4.8855738709677431E-2</v>
      </c>
      <c r="DZ29">
        <v>24.867451612903231</v>
      </c>
      <c r="EA29">
        <v>24.999354838709671</v>
      </c>
      <c r="EB29">
        <v>999.90000000000032</v>
      </c>
      <c r="EC29">
        <v>0</v>
      </c>
      <c r="ED29">
        <v>0</v>
      </c>
      <c r="EE29">
        <v>10000.64516129032</v>
      </c>
      <c r="EF29">
        <v>0</v>
      </c>
      <c r="EG29">
        <v>360.2975161290322</v>
      </c>
      <c r="EH29">
        <v>2.4816932258064521</v>
      </c>
      <c r="EI29">
        <v>431.54029032258057</v>
      </c>
      <c r="EJ29">
        <v>428.88041935483858</v>
      </c>
      <c r="EK29">
        <v>0.28463274193548388</v>
      </c>
      <c r="EL29">
        <v>419.98129032258072</v>
      </c>
      <c r="EM29">
        <v>20.749803225806449</v>
      </c>
      <c r="EN29">
        <v>2.048530967741935</v>
      </c>
      <c r="EO29">
        <v>2.0208096774193551</v>
      </c>
      <c r="EP29">
        <v>17.824503225806449</v>
      </c>
      <c r="EQ29">
        <v>17.608338709677419</v>
      </c>
      <c r="ER29">
        <v>1.00021E-2</v>
      </c>
      <c r="ES29">
        <v>0</v>
      </c>
      <c r="ET29">
        <v>0</v>
      </c>
      <c r="EU29">
        <v>0</v>
      </c>
      <c r="EV29">
        <v>631.21290322580626</v>
      </c>
      <c r="EW29">
        <v>1.00021E-2</v>
      </c>
      <c r="EX29">
        <v>1800.5112903225811</v>
      </c>
      <c r="EY29">
        <v>1.9306451612903219</v>
      </c>
      <c r="EZ29">
        <v>34.082322580645162</v>
      </c>
      <c r="FA29">
        <v>38.090451612903223</v>
      </c>
      <c r="FB29">
        <v>36.311999999999991</v>
      </c>
      <c r="FC29">
        <v>37.811999999999983</v>
      </c>
      <c r="FD29">
        <v>36.25</v>
      </c>
      <c r="FE29">
        <v>0</v>
      </c>
      <c r="FF29">
        <v>0</v>
      </c>
      <c r="FG29">
        <v>0</v>
      </c>
      <c r="FH29">
        <v>181</v>
      </c>
      <c r="FI29">
        <v>0</v>
      </c>
      <c r="FJ29">
        <v>631.76470588235293</v>
      </c>
      <c r="FK29">
        <v>11.960784799106669</v>
      </c>
      <c r="FL29">
        <v>74.374999574892783</v>
      </c>
      <c r="FM29">
        <v>1803.794117647059</v>
      </c>
      <c r="FN29">
        <v>10</v>
      </c>
      <c r="FO29">
        <v>1785257164.5</v>
      </c>
      <c r="FP29" t="s">
        <v>677</v>
      </c>
      <c r="FQ29">
        <v>1785257163.5</v>
      </c>
      <c r="FR29">
        <v>1785257164.5</v>
      </c>
      <c r="FS29">
        <v>29</v>
      </c>
      <c r="FT29">
        <v>4.8000000000000001E-2</v>
      </c>
      <c r="FU29">
        <v>-1.6E-2</v>
      </c>
      <c r="FV29">
        <v>-13.465</v>
      </c>
      <c r="FW29">
        <v>-1.504</v>
      </c>
      <c r="FX29">
        <v>420</v>
      </c>
      <c r="FY29">
        <v>21</v>
      </c>
      <c r="FZ29">
        <v>1.5</v>
      </c>
      <c r="GA29">
        <v>0.64</v>
      </c>
      <c r="GB29">
        <v>422.46456666666671</v>
      </c>
      <c r="GC29">
        <v>-8.8338153503234151E-2</v>
      </c>
      <c r="GD29">
        <v>5.3275812731691428E-2</v>
      </c>
      <c r="GE29">
        <v>-1</v>
      </c>
      <c r="GF29">
        <v>631.07499999999993</v>
      </c>
      <c r="GG29">
        <v>2.5431628198577969</v>
      </c>
      <c r="GH29">
        <v>2.898915872407156</v>
      </c>
      <c r="GI29">
        <v>1</v>
      </c>
      <c r="GJ29">
        <v>0.285133525</v>
      </c>
      <c r="GK29">
        <v>-1.6184611632270661E-2</v>
      </c>
      <c r="GL29">
        <v>3.9940501185356976E-3</v>
      </c>
      <c r="GM29">
        <v>1</v>
      </c>
      <c r="GN29">
        <v>2</v>
      </c>
      <c r="GO29">
        <v>2</v>
      </c>
      <c r="GP29" t="s">
        <v>404</v>
      </c>
      <c r="GQ29">
        <v>3.1319300000000001</v>
      </c>
      <c r="GR29">
        <v>2.7244799999999998</v>
      </c>
      <c r="GS29">
        <v>9.3346499999999999E-2</v>
      </c>
      <c r="GT29">
        <v>9.1479900000000003E-2</v>
      </c>
      <c r="GU29">
        <v>0.107281</v>
      </c>
      <c r="GV29">
        <v>0.101586</v>
      </c>
      <c r="GW29">
        <v>22778.400000000001</v>
      </c>
      <c r="GX29">
        <v>30432.799999999999</v>
      </c>
      <c r="GY29">
        <v>27241</v>
      </c>
      <c r="GZ29">
        <v>34427.5</v>
      </c>
      <c r="HA29">
        <v>35600.800000000003</v>
      </c>
      <c r="HB29">
        <v>38514.400000000001</v>
      </c>
      <c r="HC29">
        <v>40219.199999999997</v>
      </c>
      <c r="HD29">
        <v>42953.4</v>
      </c>
      <c r="HE29">
        <v>1.9923999999999999</v>
      </c>
      <c r="HF29">
        <v>1.8093999999999999</v>
      </c>
      <c r="HG29">
        <v>-4.3481600000000002E-2</v>
      </c>
      <c r="HH29">
        <v>0</v>
      </c>
      <c r="HI29">
        <v>25.718399999999999</v>
      </c>
      <c r="HJ29">
        <v>999.9</v>
      </c>
      <c r="HK29">
        <v>64.099999999999994</v>
      </c>
      <c r="HL29">
        <v>34.9</v>
      </c>
      <c r="HM29">
        <v>36.971200000000003</v>
      </c>
      <c r="HN29">
        <v>59.984099999999998</v>
      </c>
      <c r="HO29">
        <v>5.0881400000000001</v>
      </c>
      <c r="HP29">
        <v>1</v>
      </c>
      <c r="HQ29">
        <v>0.32304899999999998</v>
      </c>
      <c r="HR29">
        <v>2.9647899999999998</v>
      </c>
      <c r="HS29">
        <v>20.228400000000001</v>
      </c>
      <c r="HT29">
        <v>5.2125000000000004</v>
      </c>
      <c r="HU29">
        <v>11.908099999999999</v>
      </c>
      <c r="HV29">
        <v>4.9851999999999999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1.86755</v>
      </c>
      <c r="IC29">
        <v>1.8631599999999999</v>
      </c>
      <c r="ID29">
        <v>1.8626400000000001</v>
      </c>
      <c r="IE29">
        <v>1.8621799999999999</v>
      </c>
      <c r="IF29">
        <v>1.8621799999999999</v>
      </c>
      <c r="IG29">
        <v>1.8627899999999999</v>
      </c>
      <c r="IH29">
        <v>1.86371</v>
      </c>
      <c r="II29">
        <v>1.86172</v>
      </c>
      <c r="IJ29">
        <v>0</v>
      </c>
      <c r="IK29">
        <v>0</v>
      </c>
      <c r="IL29">
        <v>0</v>
      </c>
      <c r="IM29">
        <v>4.5</v>
      </c>
      <c r="IN29" t="s">
        <v>405</v>
      </c>
      <c r="IO29" t="s">
        <v>406</v>
      </c>
      <c r="IP29" t="s">
        <v>407</v>
      </c>
      <c r="IQ29" t="s">
        <v>408</v>
      </c>
      <c r="IR29" t="s">
        <v>408</v>
      </c>
      <c r="IS29" t="s">
        <v>407</v>
      </c>
      <c r="IT29">
        <v>0</v>
      </c>
      <c r="IU29">
        <v>100</v>
      </c>
      <c r="IV29">
        <v>100</v>
      </c>
      <c r="IW29">
        <v>-13.474</v>
      </c>
      <c r="IX29">
        <v>-1.4970000000000001</v>
      </c>
      <c r="IY29">
        <v>-11.449570491819269</v>
      </c>
      <c r="IZ29">
        <v>-5.6215304933332991E-3</v>
      </c>
      <c r="JA29">
        <v>2.3979931213773931E-6</v>
      </c>
      <c r="JB29">
        <v>-3.6297174575716598E-10</v>
      </c>
      <c r="JC29">
        <v>-1.8492272751210721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2.2999999999999998</v>
      </c>
      <c r="JL29">
        <v>2.2999999999999998</v>
      </c>
      <c r="JM29">
        <v>1.1035200000000001</v>
      </c>
      <c r="JN29">
        <v>2.5109900000000001</v>
      </c>
      <c r="JO29">
        <v>1.50024</v>
      </c>
      <c r="JP29">
        <v>2.2766099999999998</v>
      </c>
      <c r="JQ29">
        <v>1.4477500000000001</v>
      </c>
      <c r="JR29">
        <v>2.4316399999999998</v>
      </c>
      <c r="JS29">
        <v>40.732300000000002</v>
      </c>
      <c r="JT29">
        <v>23.903600000000001</v>
      </c>
      <c r="JU29">
        <v>18</v>
      </c>
      <c r="JV29">
        <v>538.91200000000003</v>
      </c>
      <c r="JW29">
        <v>436.041</v>
      </c>
      <c r="JX29">
        <v>22.9451</v>
      </c>
      <c r="JY29">
        <v>31.213899999999999</v>
      </c>
      <c r="JZ29">
        <v>30.000800000000002</v>
      </c>
      <c r="KA29">
        <v>31.1845</v>
      </c>
      <c r="KB29">
        <v>31.188500000000001</v>
      </c>
      <c r="KC29">
        <v>22.064299999999999</v>
      </c>
      <c r="KD29">
        <v>45.143700000000003</v>
      </c>
      <c r="KE29">
        <v>0</v>
      </c>
      <c r="KF29">
        <v>22.9373</v>
      </c>
      <c r="KG29">
        <v>420</v>
      </c>
      <c r="KH29">
        <v>20.728400000000001</v>
      </c>
      <c r="KI29">
        <v>100.526</v>
      </c>
      <c r="KJ29">
        <v>97.361599999999996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D938-5A6F-4281-9DD0-C65B12D33826}">
  <dimension ref="A2:KJ32"/>
  <sheetViews>
    <sheetView tabSelected="1" workbookViewId="0">
      <selection activeCell="N11" sqref="N1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623</v>
      </c>
      <c r="G13" t="s">
        <v>624</v>
      </c>
      <c r="H13">
        <v>0</v>
      </c>
    </row>
    <row r="14" spans="1:296" x14ac:dyDescent="0.3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57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61</v>
      </c>
      <c r="BK14" t="s">
        <v>61</v>
      </c>
      <c r="BL14" t="s">
        <v>61</v>
      </c>
      <c r="BM14" t="s">
        <v>61</v>
      </c>
      <c r="BN14" t="s">
        <v>61</v>
      </c>
      <c r="BO14" t="s">
        <v>61</v>
      </c>
      <c r="BP14" t="s">
        <v>61</v>
      </c>
      <c r="BQ14" t="s">
        <v>61</v>
      </c>
      <c r="BR14" t="s">
        <v>61</v>
      </c>
      <c r="BS14" t="s">
        <v>61</v>
      </c>
      <c r="BT14" t="s">
        <v>61</v>
      </c>
      <c r="BU14" t="s">
        <v>61</v>
      </c>
      <c r="BV14" t="s">
        <v>61</v>
      </c>
      <c r="BW14" t="s">
        <v>61</v>
      </c>
      <c r="BX14" t="s">
        <v>61</v>
      </c>
      <c r="BY14" t="s">
        <v>62</v>
      </c>
      <c r="BZ14" t="s">
        <v>62</v>
      </c>
      <c r="CA14" t="s">
        <v>62</v>
      </c>
      <c r="CB14" t="s">
        <v>62</v>
      </c>
      <c r="CC14" t="s">
        <v>62</v>
      </c>
      <c r="CD14" t="s">
        <v>62</v>
      </c>
      <c r="CE14" t="s">
        <v>62</v>
      </c>
      <c r="CF14" t="s">
        <v>62</v>
      </c>
      <c r="CG14" t="s">
        <v>62</v>
      </c>
      <c r="CH14" t="s">
        <v>62</v>
      </c>
      <c r="CI14" t="s">
        <v>62</v>
      </c>
      <c r="CJ14" t="s">
        <v>62</v>
      </c>
      <c r="CK14" t="s">
        <v>62</v>
      </c>
      <c r="CL14" t="s">
        <v>62</v>
      </c>
      <c r="CM14" t="s">
        <v>62</v>
      </c>
      <c r="CN14" t="s">
        <v>62</v>
      </c>
      <c r="CO14" t="s">
        <v>62</v>
      </c>
      <c r="CP14" t="s">
        <v>62</v>
      </c>
      <c r="CQ14" t="s">
        <v>62</v>
      </c>
      <c r="CR14" t="s">
        <v>62</v>
      </c>
      <c r="CS14" t="s">
        <v>62</v>
      </c>
      <c r="CT14" t="s">
        <v>63</v>
      </c>
      <c r="CU14" t="s">
        <v>63</v>
      </c>
      <c r="CV14" t="s">
        <v>63</v>
      </c>
      <c r="CW14" t="s">
        <v>63</v>
      </c>
      <c r="CX14" t="s">
        <v>63</v>
      </c>
      <c r="CY14" t="s">
        <v>63</v>
      </c>
      <c r="CZ14" t="s">
        <v>63</v>
      </c>
      <c r="DA14" t="s">
        <v>63</v>
      </c>
      <c r="DB14" t="s">
        <v>63</v>
      </c>
      <c r="DC14" t="s">
        <v>63</v>
      </c>
      <c r="DD14" t="s">
        <v>63</v>
      </c>
      <c r="DE14" t="s">
        <v>63</v>
      </c>
      <c r="DF14" t="s">
        <v>63</v>
      </c>
      <c r="DG14" t="s">
        <v>64</v>
      </c>
      <c r="DH14" t="s">
        <v>64</v>
      </c>
      <c r="DI14" t="s">
        <v>64</v>
      </c>
      <c r="DJ14" t="s">
        <v>64</v>
      </c>
      <c r="DK14" t="s">
        <v>65</v>
      </c>
      <c r="DL14" t="s">
        <v>65</v>
      </c>
      <c r="DM14" t="s">
        <v>65</v>
      </c>
      <c r="DN14" t="s">
        <v>65</v>
      </c>
      <c r="DO14" t="s">
        <v>65</v>
      </c>
      <c r="DP14" t="s">
        <v>66</v>
      </c>
      <c r="DQ14" t="s">
        <v>66</v>
      </c>
      <c r="DR14" t="s">
        <v>66</v>
      </c>
      <c r="DS14" t="s">
        <v>66</v>
      </c>
      <c r="DT14" t="s">
        <v>66</v>
      </c>
      <c r="DU14" t="s">
        <v>66</v>
      </c>
      <c r="DV14" t="s">
        <v>66</v>
      </c>
      <c r="DW14" t="s">
        <v>66</v>
      </c>
      <c r="DX14" t="s">
        <v>66</v>
      </c>
      <c r="DY14" t="s">
        <v>66</v>
      </c>
      <c r="DZ14" t="s">
        <v>66</v>
      </c>
      <c r="EA14" t="s">
        <v>66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s">
        <v>67</v>
      </c>
      <c r="EI14" t="s">
        <v>67</v>
      </c>
      <c r="EJ14" t="s">
        <v>67</v>
      </c>
      <c r="EK14" t="s">
        <v>67</v>
      </c>
      <c r="EL14" t="s">
        <v>67</v>
      </c>
      <c r="EM14" t="s">
        <v>67</v>
      </c>
      <c r="EN14" t="s">
        <v>67</v>
      </c>
      <c r="EO14" t="s">
        <v>67</v>
      </c>
      <c r="EP14" t="s">
        <v>67</v>
      </c>
      <c r="EQ14" t="s">
        <v>67</v>
      </c>
      <c r="ER14" t="s">
        <v>68</v>
      </c>
      <c r="ES14" t="s">
        <v>68</v>
      </c>
      <c r="ET14" t="s">
        <v>68</v>
      </c>
      <c r="EU14" t="s">
        <v>68</v>
      </c>
      <c r="EV14" t="s">
        <v>68</v>
      </c>
      <c r="EW14" t="s">
        <v>68</v>
      </c>
      <c r="EX14" t="s">
        <v>68</v>
      </c>
      <c r="EY14" t="s">
        <v>68</v>
      </c>
      <c r="EZ14" t="s">
        <v>68</v>
      </c>
      <c r="FA14" t="s">
        <v>68</v>
      </c>
      <c r="FB14" t="s">
        <v>68</v>
      </c>
      <c r="FC14" t="s">
        <v>68</v>
      </c>
      <c r="FD14" t="s">
        <v>68</v>
      </c>
      <c r="FE14" t="s">
        <v>68</v>
      </c>
      <c r="FF14" t="s">
        <v>68</v>
      </c>
      <c r="FG14" t="s">
        <v>68</v>
      </c>
      <c r="FH14" t="s">
        <v>68</v>
      </c>
      <c r="FI14" t="s">
        <v>68</v>
      </c>
      <c r="FJ14" t="s">
        <v>69</v>
      </c>
      <c r="FK14" t="s">
        <v>69</v>
      </c>
      <c r="FL14" t="s">
        <v>69</v>
      </c>
      <c r="FM14" t="s">
        <v>69</v>
      </c>
      <c r="FN14" t="s">
        <v>69</v>
      </c>
      <c r="FO14" t="s">
        <v>70</v>
      </c>
      <c r="FP14" t="s">
        <v>70</v>
      </c>
      <c r="FQ14" t="s">
        <v>70</v>
      </c>
      <c r="FR14" t="s">
        <v>70</v>
      </c>
      <c r="FS14" t="s">
        <v>70</v>
      </c>
      <c r="FT14" t="s">
        <v>70</v>
      </c>
      <c r="FU14" t="s">
        <v>70</v>
      </c>
      <c r="FV14" t="s">
        <v>70</v>
      </c>
      <c r="FW14" t="s">
        <v>70</v>
      </c>
      <c r="FX14" t="s">
        <v>70</v>
      </c>
      <c r="FY14" t="s">
        <v>70</v>
      </c>
      <c r="FZ14" t="s">
        <v>70</v>
      </c>
      <c r="GA14" t="s">
        <v>70</v>
      </c>
      <c r="GB14" t="s">
        <v>71</v>
      </c>
      <c r="GC14" t="s">
        <v>71</v>
      </c>
      <c r="GD14" t="s">
        <v>71</v>
      </c>
      <c r="GE14" t="s">
        <v>71</v>
      </c>
      <c r="GF14" t="s">
        <v>71</v>
      </c>
      <c r="GG14" t="s">
        <v>71</v>
      </c>
      <c r="GH14" t="s">
        <v>71</v>
      </c>
      <c r="GI14" t="s">
        <v>71</v>
      </c>
      <c r="GJ14" t="s">
        <v>71</v>
      </c>
      <c r="GK14" t="s">
        <v>71</v>
      </c>
      <c r="GL14" t="s">
        <v>71</v>
      </c>
      <c r="GM14" t="s">
        <v>71</v>
      </c>
      <c r="GN14" t="s">
        <v>71</v>
      </c>
      <c r="GO14" t="s">
        <v>71</v>
      </c>
      <c r="GP14" t="s">
        <v>71</v>
      </c>
      <c r="GQ14" t="s">
        <v>72</v>
      </c>
      <c r="GR14" t="s">
        <v>72</v>
      </c>
      <c r="GS14" t="s">
        <v>72</v>
      </c>
      <c r="GT14" t="s">
        <v>72</v>
      </c>
      <c r="GU14" t="s">
        <v>72</v>
      </c>
      <c r="GV14" t="s">
        <v>72</v>
      </c>
      <c r="GW14" t="s">
        <v>72</v>
      </c>
      <c r="GX14" t="s">
        <v>72</v>
      </c>
      <c r="GY14" t="s">
        <v>72</v>
      </c>
      <c r="GZ14" t="s">
        <v>72</v>
      </c>
      <c r="HA14" t="s">
        <v>72</v>
      </c>
      <c r="HB14" t="s">
        <v>72</v>
      </c>
      <c r="HC14" t="s">
        <v>72</v>
      </c>
      <c r="HD14" t="s">
        <v>72</v>
      </c>
      <c r="HE14" t="s">
        <v>72</v>
      </c>
      <c r="HF14" t="s">
        <v>72</v>
      </c>
      <c r="HG14" t="s">
        <v>72</v>
      </c>
      <c r="HH14" t="s">
        <v>72</v>
      </c>
      <c r="HI14" t="s">
        <v>73</v>
      </c>
      <c r="HJ14" t="s">
        <v>73</v>
      </c>
      <c r="HK14" t="s">
        <v>73</v>
      </c>
      <c r="HL14" t="s">
        <v>73</v>
      </c>
      <c r="HM14" t="s">
        <v>73</v>
      </c>
      <c r="HN14" t="s">
        <v>73</v>
      </c>
      <c r="HO14" t="s">
        <v>73</v>
      </c>
      <c r="HP14" t="s">
        <v>73</v>
      </c>
      <c r="HQ14" t="s">
        <v>73</v>
      </c>
      <c r="HR14" t="s">
        <v>73</v>
      </c>
      <c r="HS14" t="s">
        <v>73</v>
      </c>
      <c r="HT14" t="s">
        <v>73</v>
      </c>
      <c r="HU14" t="s">
        <v>73</v>
      </c>
      <c r="HV14" t="s">
        <v>73</v>
      </c>
      <c r="HW14" t="s">
        <v>73</v>
      </c>
      <c r="HX14" t="s">
        <v>73</v>
      </c>
      <c r="HY14" t="s">
        <v>73</v>
      </c>
      <c r="HZ14" t="s">
        <v>73</v>
      </c>
      <c r="IA14" t="s">
        <v>73</v>
      </c>
      <c r="IB14" t="s">
        <v>74</v>
      </c>
      <c r="IC14" t="s">
        <v>74</v>
      </c>
      <c r="ID14" t="s">
        <v>74</v>
      </c>
      <c r="IE14" t="s">
        <v>74</v>
      </c>
      <c r="IF14" t="s">
        <v>74</v>
      </c>
      <c r="IG14" t="s">
        <v>74</v>
      </c>
      <c r="IH14" t="s">
        <v>74</v>
      </c>
      <c r="II14" t="s">
        <v>74</v>
      </c>
      <c r="IJ14" t="s">
        <v>74</v>
      </c>
      <c r="IK14" t="s">
        <v>74</v>
      </c>
      <c r="IL14" t="s">
        <v>74</v>
      </c>
      <c r="IM14" t="s">
        <v>74</v>
      </c>
      <c r="IN14" t="s">
        <v>74</v>
      </c>
      <c r="IO14" t="s">
        <v>74</v>
      </c>
      <c r="IP14" t="s">
        <v>74</v>
      </c>
      <c r="IQ14" t="s">
        <v>74</v>
      </c>
      <c r="IR14" t="s">
        <v>74</v>
      </c>
      <c r="IS14" t="s">
        <v>74</v>
      </c>
      <c r="IT14" t="s">
        <v>74</v>
      </c>
      <c r="IU14" t="s">
        <v>75</v>
      </c>
      <c r="IV14" t="s">
        <v>75</v>
      </c>
      <c r="IW14" t="s">
        <v>75</v>
      </c>
      <c r="IX14" t="s">
        <v>75</v>
      </c>
      <c r="IY14" t="s">
        <v>75</v>
      </c>
      <c r="IZ14" t="s">
        <v>75</v>
      </c>
      <c r="JA14" t="s">
        <v>75</v>
      </c>
      <c r="JB14" t="s">
        <v>75</v>
      </c>
      <c r="JC14" t="s">
        <v>75</v>
      </c>
      <c r="JD14" t="s">
        <v>75</v>
      </c>
      <c r="JE14" t="s">
        <v>75</v>
      </c>
      <c r="JF14" t="s">
        <v>75</v>
      </c>
      <c r="JG14" t="s">
        <v>75</v>
      </c>
      <c r="JH14" t="s">
        <v>75</v>
      </c>
      <c r="JI14" t="s">
        <v>75</v>
      </c>
      <c r="JJ14" t="s">
        <v>75</v>
      </c>
      <c r="JK14" t="s">
        <v>75</v>
      </c>
      <c r="JL14" t="s">
        <v>75</v>
      </c>
      <c r="JM14" t="s">
        <v>76</v>
      </c>
      <c r="JN14" t="s">
        <v>76</v>
      </c>
      <c r="JO14" t="s">
        <v>76</v>
      </c>
      <c r="JP14" t="s">
        <v>76</v>
      </c>
      <c r="JQ14" t="s">
        <v>76</v>
      </c>
      <c r="JR14" t="s">
        <v>76</v>
      </c>
      <c r="JS14" t="s">
        <v>76</v>
      </c>
      <c r="JT14" t="s">
        <v>76</v>
      </c>
      <c r="JU14" t="s">
        <v>77</v>
      </c>
      <c r="JV14" t="s">
        <v>77</v>
      </c>
      <c r="JW14" t="s">
        <v>77</v>
      </c>
      <c r="JX14" t="s">
        <v>77</v>
      </c>
      <c r="JY14" t="s">
        <v>77</v>
      </c>
      <c r="JZ14" t="s">
        <v>77</v>
      </c>
      <c r="KA14" t="s">
        <v>77</v>
      </c>
      <c r="KB14" t="s">
        <v>77</v>
      </c>
      <c r="KC14" t="s">
        <v>77</v>
      </c>
      <c r="KD14" t="s">
        <v>77</v>
      </c>
      <c r="KE14" t="s">
        <v>77</v>
      </c>
      <c r="KF14" t="s">
        <v>77</v>
      </c>
      <c r="KG14" t="s">
        <v>77</v>
      </c>
      <c r="KH14" t="s">
        <v>77</v>
      </c>
      <c r="KI14" t="s">
        <v>77</v>
      </c>
      <c r="KJ14" t="s">
        <v>77</v>
      </c>
    </row>
    <row r="15" spans="1:296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t="s">
        <v>97</v>
      </c>
      <c r="U15" t="s">
        <v>98</v>
      </c>
      <c r="V15" t="s">
        <v>99</v>
      </c>
      <c r="W15" t="s">
        <v>100</v>
      </c>
      <c r="X15" t="s">
        <v>101</v>
      </c>
      <c r="Y15" t="s">
        <v>102</v>
      </c>
      <c r="Z15" t="s">
        <v>103</v>
      </c>
      <c r="AA15" t="s">
        <v>104</v>
      </c>
      <c r="AB15" t="s">
        <v>105</v>
      </c>
      <c r="AC15" t="s">
        <v>106</v>
      </c>
      <c r="AD15" t="s">
        <v>107</v>
      </c>
      <c r="AE15" t="s">
        <v>108</v>
      </c>
      <c r="AF15" t="s">
        <v>109</v>
      </c>
      <c r="AG15" t="s">
        <v>110</v>
      </c>
      <c r="AH15" t="s">
        <v>111</v>
      </c>
      <c r="AI15" t="s">
        <v>112</v>
      </c>
      <c r="AJ15" t="s">
        <v>113</v>
      </c>
      <c r="AK15" t="s">
        <v>114</v>
      </c>
      <c r="AL15" t="s">
        <v>115</v>
      </c>
      <c r="AM15" t="s">
        <v>116</v>
      </c>
      <c r="AN15" t="s">
        <v>117</v>
      </c>
      <c r="AO15" t="s">
        <v>118</v>
      </c>
      <c r="AP15" t="s">
        <v>119</v>
      </c>
      <c r="AQ15" t="s">
        <v>120</v>
      </c>
      <c r="AR15" t="s">
        <v>60</v>
      </c>
      <c r="AS15" t="s">
        <v>121</v>
      </c>
      <c r="AT15" t="s">
        <v>122</v>
      </c>
      <c r="AU15" t="s">
        <v>123</v>
      </c>
      <c r="AV15" t="s">
        <v>124</v>
      </c>
      <c r="AW15" t="s">
        <v>125</v>
      </c>
      <c r="AX15" t="s">
        <v>126</v>
      </c>
      <c r="AY15" t="s">
        <v>127</v>
      </c>
      <c r="AZ15" t="s">
        <v>128</v>
      </c>
      <c r="BA15" t="s">
        <v>129</v>
      </c>
      <c r="BB15" t="s">
        <v>130</v>
      </c>
      <c r="BC15" t="s">
        <v>131</v>
      </c>
      <c r="BD15" t="s">
        <v>132</v>
      </c>
      <c r="BE15" t="s">
        <v>133</v>
      </c>
      <c r="BF15" t="s">
        <v>134</v>
      </c>
      <c r="BG15" t="s">
        <v>135</v>
      </c>
      <c r="BH15" t="s">
        <v>136</v>
      </c>
      <c r="BI15" t="s">
        <v>137</v>
      </c>
      <c r="BJ15" t="s">
        <v>138</v>
      </c>
      <c r="BK15" t="s">
        <v>139</v>
      </c>
      <c r="BL15" t="s">
        <v>140</v>
      </c>
      <c r="BM15" t="s">
        <v>141</v>
      </c>
      <c r="BN15" t="s">
        <v>142</v>
      </c>
      <c r="BO15" t="s">
        <v>143</v>
      </c>
      <c r="BP15" t="s">
        <v>144</v>
      </c>
      <c r="BQ15" t="s">
        <v>145</v>
      </c>
      <c r="BR15" t="s">
        <v>146</v>
      </c>
      <c r="BS15" t="s">
        <v>147</v>
      </c>
      <c r="BT15" t="s">
        <v>148</v>
      </c>
      <c r="BU15" t="s">
        <v>149</v>
      </c>
      <c r="BV15" t="s">
        <v>150</v>
      </c>
      <c r="BW15" t="s">
        <v>151</v>
      </c>
      <c r="BX15" t="s">
        <v>152</v>
      </c>
      <c r="BY15" t="s">
        <v>153</v>
      </c>
      <c r="BZ15" t="s">
        <v>154</v>
      </c>
      <c r="CA15" t="s">
        <v>155</v>
      </c>
      <c r="CB15" t="s">
        <v>156</v>
      </c>
      <c r="CC15" t="s">
        <v>157</v>
      </c>
      <c r="CD15" t="s">
        <v>158</v>
      </c>
      <c r="CE15" t="s">
        <v>159</v>
      </c>
      <c r="CF15" t="s">
        <v>160</v>
      </c>
      <c r="CG15" t="s">
        <v>161</v>
      </c>
      <c r="CH15" t="s">
        <v>162</v>
      </c>
      <c r="CI15" t="s">
        <v>163</v>
      </c>
      <c r="CJ15" t="s">
        <v>164</v>
      </c>
      <c r="CK15" t="s">
        <v>165</v>
      </c>
      <c r="CL15" t="s">
        <v>166</v>
      </c>
      <c r="CM15" t="s">
        <v>167</v>
      </c>
      <c r="CN15" t="s">
        <v>168</v>
      </c>
      <c r="CO15" t="s">
        <v>169</v>
      </c>
      <c r="CP15" t="s">
        <v>170</v>
      </c>
      <c r="CQ15" t="s">
        <v>171</v>
      </c>
      <c r="CR15" t="s">
        <v>172</v>
      </c>
      <c r="CS15" t="s">
        <v>173</v>
      </c>
      <c r="CT15" t="s">
        <v>153</v>
      </c>
      <c r="CU15" t="s">
        <v>174</v>
      </c>
      <c r="CV15" t="s">
        <v>175</v>
      </c>
      <c r="CW15" t="s">
        <v>176</v>
      </c>
      <c r="CX15" t="s">
        <v>127</v>
      </c>
      <c r="CY15" t="s">
        <v>177</v>
      </c>
      <c r="CZ15" t="s">
        <v>178</v>
      </c>
      <c r="DA15" t="s">
        <v>179</v>
      </c>
      <c r="DB15" t="s">
        <v>180</v>
      </c>
      <c r="DC15" t="s">
        <v>181</v>
      </c>
      <c r="DD15" t="s">
        <v>182</v>
      </c>
      <c r="DE15" t="s">
        <v>183</v>
      </c>
      <c r="DF15" t="s">
        <v>184</v>
      </c>
      <c r="DG15" t="s">
        <v>185</v>
      </c>
      <c r="DH15" t="s">
        <v>186</v>
      </c>
      <c r="DI15" t="s">
        <v>187</v>
      </c>
      <c r="DJ15" t="s">
        <v>188</v>
      </c>
      <c r="DK15" t="s">
        <v>189</v>
      </c>
      <c r="DL15" t="s">
        <v>190</v>
      </c>
      <c r="DM15" t="s">
        <v>191</v>
      </c>
      <c r="DN15" t="s">
        <v>192</v>
      </c>
      <c r="DO15" t="s">
        <v>193</v>
      </c>
      <c r="DP15" t="s">
        <v>85</v>
      </c>
      <c r="DQ15" t="s">
        <v>194</v>
      </c>
      <c r="DR15" t="s">
        <v>195</v>
      </c>
      <c r="DS15" t="s">
        <v>196</v>
      </c>
      <c r="DT15" t="s">
        <v>197</v>
      </c>
      <c r="DU15" t="s">
        <v>198</v>
      </c>
      <c r="DV15" t="s">
        <v>199</v>
      </c>
      <c r="DW15" t="s">
        <v>200</v>
      </c>
      <c r="DX15" t="s">
        <v>201</v>
      </c>
      <c r="DY15" t="s">
        <v>202</v>
      </c>
      <c r="DZ15" t="s">
        <v>203</v>
      </c>
      <c r="EA15" t="s">
        <v>204</v>
      </c>
      <c r="EB15" t="s">
        <v>205</v>
      </c>
      <c r="EC15" t="s">
        <v>206</v>
      </c>
      <c r="ED15" t="s">
        <v>207</v>
      </c>
      <c r="EE15" t="s">
        <v>208</v>
      </c>
      <c r="EF15" t="s">
        <v>209</v>
      </c>
      <c r="EG15" t="s">
        <v>210</v>
      </c>
      <c r="EH15" t="s">
        <v>211</v>
      </c>
      <c r="EI15" t="s">
        <v>212</v>
      </c>
      <c r="EJ15" t="s">
        <v>213</v>
      </c>
      <c r="EK15" t="s">
        <v>214</v>
      </c>
      <c r="EL15" t="s">
        <v>215</v>
      </c>
      <c r="EM15" t="s">
        <v>216</v>
      </c>
      <c r="EN15" t="s">
        <v>217</v>
      </c>
      <c r="EO15" t="s">
        <v>218</v>
      </c>
      <c r="EP15" t="s">
        <v>219</v>
      </c>
      <c r="EQ15" t="s">
        <v>220</v>
      </c>
      <c r="ER15" t="s">
        <v>221</v>
      </c>
      <c r="ES15" t="s">
        <v>222</v>
      </c>
      <c r="ET15" t="s">
        <v>223</v>
      </c>
      <c r="EU15" t="s">
        <v>224</v>
      </c>
      <c r="EV15" t="s">
        <v>225</v>
      </c>
      <c r="EW15" t="s">
        <v>226</v>
      </c>
      <c r="EX15" t="s">
        <v>227</v>
      </c>
      <c r="EY15" t="s">
        <v>228</v>
      </c>
      <c r="EZ15" t="s">
        <v>229</v>
      </c>
      <c r="FA15" t="s">
        <v>230</v>
      </c>
      <c r="FB15" t="s">
        <v>231</v>
      </c>
      <c r="FC15" t="s">
        <v>232</v>
      </c>
      <c r="FD15" t="s">
        <v>233</v>
      </c>
      <c r="FE15" t="s">
        <v>234</v>
      </c>
      <c r="FF15" t="s">
        <v>235</v>
      </c>
      <c r="FG15" t="s">
        <v>236</v>
      </c>
      <c r="FH15" t="s">
        <v>237</v>
      </c>
      <c r="FI15" t="s">
        <v>238</v>
      </c>
      <c r="FJ15" t="s">
        <v>239</v>
      </c>
      <c r="FK15" t="s">
        <v>240</v>
      </c>
      <c r="FL15" t="s">
        <v>241</v>
      </c>
      <c r="FM15" t="s">
        <v>242</v>
      </c>
      <c r="FN15" t="s">
        <v>243</v>
      </c>
      <c r="FO15" t="s">
        <v>79</v>
      </c>
      <c r="FP15" t="s">
        <v>82</v>
      </c>
      <c r="FQ15" t="s">
        <v>244</v>
      </c>
      <c r="FR15" t="s">
        <v>245</v>
      </c>
      <c r="FS15" t="s">
        <v>246</v>
      </c>
      <c r="FT15" t="s">
        <v>247</v>
      </c>
      <c r="FU15" t="s">
        <v>248</v>
      </c>
      <c r="FV15" t="s">
        <v>249</v>
      </c>
      <c r="FW15" t="s">
        <v>250</v>
      </c>
      <c r="FX15" t="s">
        <v>251</v>
      </c>
      <c r="FY15" t="s">
        <v>252</v>
      </c>
      <c r="FZ15" t="s">
        <v>253</v>
      </c>
      <c r="GA15" t="s">
        <v>254</v>
      </c>
      <c r="GB15" t="s">
        <v>255</v>
      </c>
      <c r="GC15" t="s">
        <v>256</v>
      </c>
      <c r="GD15" t="s">
        <v>257</v>
      </c>
      <c r="GE15" t="s">
        <v>258</v>
      </c>
      <c r="GF15" t="s">
        <v>259</v>
      </c>
      <c r="GG15" t="s">
        <v>260</v>
      </c>
      <c r="GH15" t="s">
        <v>261</v>
      </c>
      <c r="GI15" t="s">
        <v>262</v>
      </c>
      <c r="GJ15" t="s">
        <v>263</v>
      </c>
      <c r="GK15" t="s">
        <v>264</v>
      </c>
      <c r="GL15" t="s">
        <v>265</v>
      </c>
      <c r="GM15" t="s">
        <v>266</v>
      </c>
      <c r="GN15" t="s">
        <v>267</v>
      </c>
      <c r="GO15" t="s">
        <v>268</v>
      </c>
      <c r="GP15" t="s">
        <v>269</v>
      </c>
      <c r="GQ15" t="s">
        <v>270</v>
      </c>
      <c r="GR15" t="s">
        <v>271</v>
      </c>
      <c r="GS15" t="s">
        <v>272</v>
      </c>
      <c r="GT15" t="s">
        <v>273</v>
      </c>
      <c r="GU15" t="s">
        <v>274</v>
      </c>
      <c r="GV15" t="s">
        <v>275</v>
      </c>
      <c r="GW15" t="s">
        <v>276</v>
      </c>
      <c r="GX15" t="s">
        <v>277</v>
      </c>
      <c r="GY15" t="s">
        <v>278</v>
      </c>
      <c r="GZ15" t="s">
        <v>279</v>
      </c>
      <c r="HA15" t="s">
        <v>280</v>
      </c>
      <c r="HB15" t="s">
        <v>281</v>
      </c>
      <c r="HC15" t="s">
        <v>282</v>
      </c>
      <c r="HD15" t="s">
        <v>283</v>
      </c>
      <c r="HE15" t="s">
        <v>284</v>
      </c>
      <c r="HF15" t="s">
        <v>285</v>
      </c>
      <c r="HG15" t="s">
        <v>286</v>
      </c>
      <c r="HH15" t="s">
        <v>287</v>
      </c>
      <c r="HI15" t="s">
        <v>288</v>
      </c>
      <c r="HJ15" t="s">
        <v>289</v>
      </c>
      <c r="HK15" t="s">
        <v>290</v>
      </c>
      <c r="HL15" t="s">
        <v>291</v>
      </c>
      <c r="HM15" t="s">
        <v>292</v>
      </c>
      <c r="HN15" t="s">
        <v>293</v>
      </c>
      <c r="HO15" t="s">
        <v>294</v>
      </c>
      <c r="HP15" t="s">
        <v>295</v>
      </c>
      <c r="HQ15" t="s">
        <v>296</v>
      </c>
      <c r="HR15" t="s">
        <v>297</v>
      </c>
      <c r="HS15" t="s">
        <v>298</v>
      </c>
      <c r="HT15" t="s">
        <v>299</v>
      </c>
      <c r="HU15" t="s">
        <v>300</v>
      </c>
      <c r="HV15" t="s">
        <v>301</v>
      </c>
      <c r="HW15" t="s">
        <v>302</v>
      </c>
      <c r="HX15" t="s">
        <v>303</v>
      </c>
      <c r="HY15" t="s">
        <v>304</v>
      </c>
      <c r="HZ15" t="s">
        <v>305</v>
      </c>
      <c r="IA15" t="s">
        <v>306</v>
      </c>
      <c r="IB15" t="s">
        <v>307</v>
      </c>
      <c r="IC15" t="s">
        <v>308</v>
      </c>
      <c r="ID15" t="s">
        <v>309</v>
      </c>
      <c r="IE15" t="s">
        <v>310</v>
      </c>
      <c r="IF15" t="s">
        <v>311</v>
      </c>
      <c r="IG15" t="s">
        <v>312</v>
      </c>
      <c r="IH15" t="s">
        <v>313</v>
      </c>
      <c r="II15" t="s">
        <v>314</v>
      </c>
      <c r="IJ15" t="s">
        <v>315</v>
      </c>
      <c r="IK15" t="s">
        <v>316</v>
      </c>
      <c r="IL15" t="s">
        <v>317</v>
      </c>
      <c r="IM15" t="s">
        <v>318</v>
      </c>
      <c r="IN15" t="s">
        <v>319</v>
      </c>
      <c r="IO15" t="s">
        <v>320</v>
      </c>
      <c r="IP15" t="s">
        <v>321</v>
      </c>
      <c r="IQ15" t="s">
        <v>322</v>
      </c>
      <c r="IR15" t="s">
        <v>323</v>
      </c>
      <c r="IS15" t="s">
        <v>324</v>
      </c>
      <c r="IT15" t="s">
        <v>325</v>
      </c>
      <c r="IU15" t="s">
        <v>326</v>
      </c>
      <c r="IV15" t="s">
        <v>327</v>
      </c>
      <c r="IW15" t="s">
        <v>328</v>
      </c>
      <c r="IX15" t="s">
        <v>329</v>
      </c>
      <c r="IY15" t="s">
        <v>330</v>
      </c>
      <c r="IZ15" t="s">
        <v>331</v>
      </c>
      <c r="JA15" t="s">
        <v>332</v>
      </c>
      <c r="JB15" t="s">
        <v>333</v>
      </c>
      <c r="JC15" t="s">
        <v>334</v>
      </c>
      <c r="JD15" t="s">
        <v>335</v>
      </c>
      <c r="JE15" t="s">
        <v>336</v>
      </c>
      <c r="JF15" t="s">
        <v>337</v>
      </c>
      <c r="JG15" t="s">
        <v>338</v>
      </c>
      <c r="JH15" t="s">
        <v>339</v>
      </c>
      <c r="JI15" t="s">
        <v>340</v>
      </c>
      <c r="JJ15" t="s">
        <v>341</v>
      </c>
      <c r="JK15" t="s">
        <v>342</v>
      </c>
      <c r="JL15" t="s">
        <v>343</v>
      </c>
      <c r="JM15" t="s">
        <v>344</v>
      </c>
      <c r="JN15" t="s">
        <v>345</v>
      </c>
      <c r="JO15" t="s">
        <v>346</v>
      </c>
      <c r="JP15" t="s">
        <v>347</v>
      </c>
      <c r="JQ15" t="s">
        <v>348</v>
      </c>
      <c r="JR15" t="s">
        <v>349</v>
      </c>
      <c r="JS15" t="s">
        <v>350</v>
      </c>
      <c r="JT15" t="s">
        <v>351</v>
      </c>
      <c r="JU15" t="s">
        <v>352</v>
      </c>
      <c r="JV15" t="s">
        <v>353</v>
      </c>
      <c r="JW15" t="s">
        <v>354</v>
      </c>
      <c r="JX15" t="s">
        <v>355</v>
      </c>
      <c r="JY15" t="s">
        <v>356</v>
      </c>
      <c r="JZ15" t="s">
        <v>357</v>
      </c>
      <c r="KA15" t="s">
        <v>358</v>
      </c>
      <c r="KB15" t="s">
        <v>359</v>
      </c>
      <c r="KC15" t="s">
        <v>360</v>
      </c>
      <c r="KD15" t="s">
        <v>361</v>
      </c>
      <c r="KE15" t="s">
        <v>362</v>
      </c>
      <c r="KF15" t="s">
        <v>363</v>
      </c>
      <c r="KG15" t="s">
        <v>364</v>
      </c>
      <c r="KH15" t="s">
        <v>365</v>
      </c>
      <c r="KI15" t="s">
        <v>366</v>
      </c>
      <c r="KJ15" t="s">
        <v>367</v>
      </c>
    </row>
    <row r="16" spans="1:296" x14ac:dyDescent="0.3">
      <c r="B16" t="s">
        <v>368</v>
      </c>
      <c r="C16" t="s">
        <v>368</v>
      </c>
      <c r="F16" t="s">
        <v>368</v>
      </c>
      <c r="H16" t="s">
        <v>368</v>
      </c>
      <c r="I16" t="s">
        <v>369</v>
      </c>
      <c r="J16" t="s">
        <v>370</v>
      </c>
      <c r="K16" t="s">
        <v>371</v>
      </c>
      <c r="L16" t="s">
        <v>372</v>
      </c>
      <c r="M16" t="s">
        <v>372</v>
      </c>
      <c r="N16" t="s">
        <v>201</v>
      </c>
      <c r="O16" t="s">
        <v>201</v>
      </c>
      <c r="P16" t="s">
        <v>369</v>
      </c>
      <c r="Q16" t="s">
        <v>369</v>
      </c>
      <c r="R16" t="s">
        <v>369</v>
      </c>
      <c r="S16" t="s">
        <v>369</v>
      </c>
      <c r="T16" t="s">
        <v>373</v>
      </c>
      <c r="U16" t="s">
        <v>374</v>
      </c>
      <c r="V16" t="s">
        <v>374</v>
      </c>
      <c r="W16" t="s">
        <v>375</v>
      </c>
      <c r="X16" t="s">
        <v>376</v>
      </c>
      <c r="Y16" t="s">
        <v>375</v>
      </c>
      <c r="Z16" t="s">
        <v>375</v>
      </c>
      <c r="AA16" t="s">
        <v>375</v>
      </c>
      <c r="AB16" t="s">
        <v>373</v>
      </c>
      <c r="AC16" t="s">
        <v>373</v>
      </c>
      <c r="AD16" t="s">
        <v>373</v>
      </c>
      <c r="AE16" t="s">
        <v>373</v>
      </c>
      <c r="AF16" t="s">
        <v>371</v>
      </c>
      <c r="AG16" t="s">
        <v>370</v>
      </c>
      <c r="AH16" t="s">
        <v>371</v>
      </c>
      <c r="AI16" t="s">
        <v>372</v>
      </c>
      <c r="AJ16" t="s">
        <v>372</v>
      </c>
      <c r="AK16" t="s">
        <v>377</v>
      </c>
      <c r="AL16" t="s">
        <v>378</v>
      </c>
      <c r="AM16" t="s">
        <v>370</v>
      </c>
      <c r="AN16" t="s">
        <v>379</v>
      </c>
      <c r="AO16" t="s">
        <v>379</v>
      </c>
      <c r="AP16" t="s">
        <v>380</v>
      </c>
      <c r="AQ16" t="s">
        <v>378</v>
      </c>
      <c r="AR16" t="s">
        <v>381</v>
      </c>
      <c r="AS16" t="s">
        <v>376</v>
      </c>
      <c r="AU16" t="s">
        <v>376</v>
      </c>
      <c r="AV16" t="s">
        <v>381</v>
      </c>
      <c r="BB16" t="s">
        <v>371</v>
      </c>
      <c r="BI16" t="s">
        <v>371</v>
      </c>
      <c r="BJ16" t="s">
        <v>371</v>
      </c>
      <c r="BK16" t="s">
        <v>371</v>
      </c>
      <c r="BL16" t="s">
        <v>382</v>
      </c>
      <c r="BZ16" t="s">
        <v>383</v>
      </c>
      <c r="CB16" t="s">
        <v>383</v>
      </c>
      <c r="CC16" t="s">
        <v>371</v>
      </c>
      <c r="CF16" t="s">
        <v>383</v>
      </c>
      <c r="CG16" t="s">
        <v>376</v>
      </c>
      <c r="CJ16" t="s">
        <v>384</v>
      </c>
      <c r="CK16" t="s">
        <v>384</v>
      </c>
      <c r="CM16" t="s">
        <v>385</v>
      </c>
      <c r="CN16" t="s">
        <v>383</v>
      </c>
      <c r="CP16" t="s">
        <v>383</v>
      </c>
      <c r="CQ16" t="s">
        <v>371</v>
      </c>
      <c r="CU16" t="s">
        <v>383</v>
      </c>
      <c r="CW16" t="s">
        <v>386</v>
      </c>
      <c r="CZ16" t="s">
        <v>383</v>
      </c>
      <c r="DA16" t="s">
        <v>383</v>
      </c>
      <c r="DC16" t="s">
        <v>383</v>
      </c>
      <c r="DE16" t="s">
        <v>383</v>
      </c>
      <c r="DG16" t="s">
        <v>371</v>
      </c>
      <c r="DH16" t="s">
        <v>371</v>
      </c>
      <c r="DJ16" t="s">
        <v>387</v>
      </c>
      <c r="DK16" t="s">
        <v>388</v>
      </c>
      <c r="DN16" t="s">
        <v>369</v>
      </c>
      <c r="DP16" t="s">
        <v>368</v>
      </c>
      <c r="DQ16" t="s">
        <v>372</v>
      </c>
      <c r="DR16" t="s">
        <v>372</v>
      </c>
      <c r="DS16" t="s">
        <v>379</v>
      </c>
      <c r="DT16" t="s">
        <v>379</v>
      </c>
      <c r="DU16" t="s">
        <v>372</v>
      </c>
      <c r="DV16" t="s">
        <v>379</v>
      </c>
      <c r="DW16" t="s">
        <v>381</v>
      </c>
      <c r="DX16" t="s">
        <v>375</v>
      </c>
      <c r="DY16" t="s">
        <v>375</v>
      </c>
      <c r="DZ16" t="s">
        <v>374</v>
      </c>
      <c r="EA16" t="s">
        <v>374</v>
      </c>
      <c r="EB16" t="s">
        <v>374</v>
      </c>
      <c r="EC16" t="s">
        <v>374</v>
      </c>
      <c r="ED16" t="s">
        <v>374</v>
      </c>
      <c r="EE16" t="s">
        <v>389</v>
      </c>
      <c r="EF16" t="s">
        <v>371</v>
      </c>
      <c r="EG16" t="s">
        <v>371</v>
      </c>
      <c r="EH16" t="s">
        <v>372</v>
      </c>
      <c r="EI16" t="s">
        <v>372</v>
      </c>
      <c r="EJ16" t="s">
        <v>372</v>
      </c>
      <c r="EK16" t="s">
        <v>379</v>
      </c>
      <c r="EL16" t="s">
        <v>372</v>
      </c>
      <c r="EM16" t="s">
        <v>379</v>
      </c>
      <c r="EN16" t="s">
        <v>375</v>
      </c>
      <c r="EO16" t="s">
        <v>375</v>
      </c>
      <c r="EP16" t="s">
        <v>374</v>
      </c>
      <c r="EQ16" t="s">
        <v>374</v>
      </c>
      <c r="ER16" t="s">
        <v>371</v>
      </c>
      <c r="EW16" t="s">
        <v>371</v>
      </c>
      <c r="EZ16" t="s">
        <v>374</v>
      </c>
      <c r="FA16" t="s">
        <v>374</v>
      </c>
      <c r="FB16" t="s">
        <v>374</v>
      </c>
      <c r="FC16" t="s">
        <v>374</v>
      </c>
      <c r="FD16" t="s">
        <v>374</v>
      </c>
      <c r="FE16" t="s">
        <v>371</v>
      </c>
      <c r="FF16" t="s">
        <v>371</v>
      </c>
      <c r="FG16" t="s">
        <v>371</v>
      </c>
      <c r="FH16" t="s">
        <v>368</v>
      </c>
      <c r="FK16" t="s">
        <v>390</v>
      </c>
      <c r="FL16" t="s">
        <v>390</v>
      </c>
      <c r="FN16" t="s">
        <v>368</v>
      </c>
      <c r="FO16" t="s">
        <v>391</v>
      </c>
      <c r="FQ16" t="s">
        <v>368</v>
      </c>
      <c r="FR16" t="s">
        <v>368</v>
      </c>
      <c r="FT16" t="s">
        <v>392</v>
      </c>
      <c r="FU16" t="s">
        <v>393</v>
      </c>
      <c r="FV16" t="s">
        <v>392</v>
      </c>
      <c r="FW16" t="s">
        <v>393</v>
      </c>
      <c r="FX16" t="s">
        <v>392</v>
      </c>
      <c r="FY16" t="s">
        <v>393</v>
      </c>
      <c r="FZ16" t="s">
        <v>376</v>
      </c>
      <c r="GA16" t="s">
        <v>376</v>
      </c>
      <c r="GB16" t="s">
        <v>372</v>
      </c>
      <c r="GC16" t="s">
        <v>394</v>
      </c>
      <c r="GD16" t="s">
        <v>372</v>
      </c>
      <c r="GG16" t="s">
        <v>395</v>
      </c>
      <c r="GJ16" t="s">
        <v>379</v>
      </c>
      <c r="GK16" t="s">
        <v>396</v>
      </c>
      <c r="GL16" t="s">
        <v>379</v>
      </c>
      <c r="GQ16" t="s">
        <v>397</v>
      </c>
      <c r="GR16" t="s">
        <v>397</v>
      </c>
      <c r="HE16" t="s">
        <v>397</v>
      </c>
      <c r="HF16" t="s">
        <v>397</v>
      </c>
      <c r="HG16" t="s">
        <v>398</v>
      </c>
      <c r="HH16" t="s">
        <v>398</v>
      </c>
      <c r="HI16" t="s">
        <v>374</v>
      </c>
      <c r="HJ16" t="s">
        <v>374</v>
      </c>
      <c r="HK16" t="s">
        <v>376</v>
      </c>
      <c r="HL16" t="s">
        <v>374</v>
      </c>
      <c r="HM16" t="s">
        <v>379</v>
      </c>
      <c r="HN16" t="s">
        <v>376</v>
      </c>
      <c r="HO16" t="s">
        <v>376</v>
      </c>
      <c r="HQ16" t="s">
        <v>397</v>
      </c>
      <c r="HR16" t="s">
        <v>397</v>
      </c>
      <c r="HS16" t="s">
        <v>397</v>
      </c>
      <c r="HT16" t="s">
        <v>397</v>
      </c>
      <c r="HU16" t="s">
        <v>397</v>
      </c>
      <c r="HV16" t="s">
        <v>397</v>
      </c>
      <c r="HW16" t="s">
        <v>397</v>
      </c>
      <c r="HX16" t="s">
        <v>399</v>
      </c>
      <c r="HY16" t="s">
        <v>399</v>
      </c>
      <c r="HZ16" t="s">
        <v>399</v>
      </c>
      <c r="IA16" t="s">
        <v>400</v>
      </c>
      <c r="IB16" t="s">
        <v>397</v>
      </c>
      <c r="IC16" t="s">
        <v>397</v>
      </c>
      <c r="ID16" t="s">
        <v>397</v>
      </c>
      <c r="IE16" t="s">
        <v>397</v>
      </c>
      <c r="IF16" t="s">
        <v>397</v>
      </c>
      <c r="IG16" t="s">
        <v>397</v>
      </c>
      <c r="IH16" t="s">
        <v>397</v>
      </c>
      <c r="II16" t="s">
        <v>397</v>
      </c>
      <c r="IJ16" t="s">
        <v>397</v>
      </c>
      <c r="IK16" t="s">
        <v>397</v>
      </c>
      <c r="IL16" t="s">
        <v>397</v>
      </c>
      <c r="IM16" t="s">
        <v>397</v>
      </c>
      <c r="IT16" t="s">
        <v>397</v>
      </c>
      <c r="IU16" t="s">
        <v>376</v>
      </c>
      <c r="IV16" t="s">
        <v>376</v>
      </c>
      <c r="IW16" t="s">
        <v>392</v>
      </c>
      <c r="IX16" t="s">
        <v>393</v>
      </c>
      <c r="IY16" t="s">
        <v>392</v>
      </c>
      <c r="JC16" t="s">
        <v>393</v>
      </c>
      <c r="JG16" t="s">
        <v>372</v>
      </c>
      <c r="JH16" t="s">
        <v>372</v>
      </c>
      <c r="JI16" t="s">
        <v>379</v>
      </c>
      <c r="JJ16" t="s">
        <v>379</v>
      </c>
      <c r="JK16" t="s">
        <v>401</v>
      </c>
      <c r="JL16" t="s">
        <v>401</v>
      </c>
      <c r="JM16" t="s">
        <v>397</v>
      </c>
      <c r="JN16" t="s">
        <v>397</v>
      </c>
      <c r="JO16" t="s">
        <v>397</v>
      </c>
      <c r="JP16" t="s">
        <v>397</v>
      </c>
      <c r="JQ16" t="s">
        <v>397</v>
      </c>
      <c r="JR16" t="s">
        <v>397</v>
      </c>
      <c r="JS16" t="s">
        <v>374</v>
      </c>
      <c r="JT16" t="s">
        <v>397</v>
      </c>
      <c r="JV16" t="s">
        <v>381</v>
      </c>
      <c r="JW16" t="s">
        <v>381</v>
      </c>
      <c r="JX16" t="s">
        <v>374</v>
      </c>
      <c r="JY16" t="s">
        <v>374</v>
      </c>
      <c r="JZ16" t="s">
        <v>374</v>
      </c>
      <c r="KA16" t="s">
        <v>374</v>
      </c>
      <c r="KB16" t="s">
        <v>374</v>
      </c>
      <c r="KC16" t="s">
        <v>376</v>
      </c>
      <c r="KD16" t="s">
        <v>376</v>
      </c>
      <c r="KE16" t="s">
        <v>376</v>
      </c>
      <c r="KF16" t="s">
        <v>374</v>
      </c>
      <c r="KG16" t="s">
        <v>372</v>
      </c>
      <c r="KH16" t="s">
        <v>379</v>
      </c>
      <c r="KI16" t="s">
        <v>376</v>
      </c>
      <c r="KJ16" t="s">
        <v>376</v>
      </c>
    </row>
    <row r="17" spans="1:296" x14ac:dyDescent="0.3">
      <c r="A17">
        <v>1</v>
      </c>
      <c r="B17">
        <v>1785250672</v>
      </c>
      <c r="C17">
        <v>0</v>
      </c>
      <c r="D17" t="s">
        <v>678</v>
      </c>
      <c r="E17" t="s">
        <v>679</v>
      </c>
      <c r="F17">
        <v>15</v>
      </c>
      <c r="H17">
        <v>1785250664.25</v>
      </c>
      <c r="I17">
        <f t="shared" ref="I17:I32" si="0">(J17)/1000</f>
        <v>1.8848953616716819E-3</v>
      </c>
      <c r="J17">
        <f t="shared" ref="J17:J32" si="1">IF(DO17, AM17, AG17)</f>
        <v>1.8848953616716819</v>
      </c>
      <c r="K17">
        <f t="shared" ref="K17:K32" si="2">IF(DO17, AH17, AF17)</f>
        <v>28.505717768613838</v>
      </c>
      <c r="L17">
        <f t="shared" ref="L17:L32" si="3">DQ17 - IF(AT17&gt;1, K17*DK17*100/(AV17), 0)</f>
        <v>384.92563333333328</v>
      </c>
      <c r="M17">
        <f t="shared" ref="M17:M32" si="4">((S17-I17/2)*L17-K17)/(S17+I17/2)</f>
        <v>93.110804939388771</v>
      </c>
      <c r="N17">
        <f t="shared" ref="N17:N32" si="5">M17*(DX17+DY17)/1000</f>
        <v>9.0686209588178635</v>
      </c>
      <c r="O17">
        <f t="shared" ref="O17:O32" si="6">(DQ17 - IF(AT17&gt;1, K17*DK17*100/(AV17), 0))*(DX17+DY17)/1000</f>
        <v>37.490221122083888</v>
      </c>
      <c r="P17">
        <f t="shared" ref="P17:P32" si="7">2/((1/R17-1/Q17)+SIGN(R17)*SQRT((1/R17-1/Q17)*(1/R17-1/Q17) + 4*DL17/((DL17+1)*(DL17+1))*(2*1/R17*1/Q17-1/Q17*1/Q17)))</f>
        <v>0.16302814525082576</v>
      </c>
      <c r="Q17">
        <f t="shared" ref="Q17:Q32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2.8820488779739915</v>
      </c>
      <c r="R17">
        <f t="shared" ref="R17:R32" si="9">I17*(1000-(1000*0.61365*EXP(17.502*V17/(240.97+V17))/(DX17+DY17)+DS17)/2)/(1000*0.61365*EXP(17.502*V17/(240.97+V17))/(DX17+DY17)-DS17)</f>
        <v>0.15807273818835854</v>
      </c>
      <c r="S17">
        <f t="shared" ref="S17:S32" si="10">1/((DL17+1)/(P17/1.6)+1/(Q17/1.37)) + DL17/((DL17+1)/(P17/1.6) + DL17/(Q17/1.37))</f>
        <v>9.9228138133298061E-2</v>
      </c>
      <c r="T17">
        <f t="shared" ref="T17:T32" si="11">(DG17*DJ17)</f>
        <v>319.77534129085234</v>
      </c>
      <c r="U17">
        <f t="shared" ref="U17:U32" si="12">(DZ17+(T17+2*0.95*0.0000000567*(((DZ17+$B$7)+273)^4-(DZ17+273)^4)-44100*I17)/(1.84*29.3*Q17+8*0.95*0.0000000567*(DZ17+273)^3))</f>
        <v>26.297449881072769</v>
      </c>
      <c r="V17">
        <f t="shared" ref="V17:V32" si="13">($C$7*EA17+$D$7*EB17+$E$7*U17)</f>
        <v>24.986973333333331</v>
      </c>
      <c r="W17">
        <f t="shared" ref="W17:W32" si="14">0.61365*EXP(17.502*V17/(240.97+V17))</f>
        <v>3.1772089692793015</v>
      </c>
      <c r="X17">
        <f t="shared" ref="X17:X32" si="15">(Y17/Z17*100)</f>
        <v>64.845742181440329</v>
      </c>
      <c r="Y17">
        <f t="shared" ref="Y17:Y32" si="16">DS17*(DX17+DY17)/1000</f>
        <v>2.0469839701074086</v>
      </c>
      <c r="Z17">
        <f t="shared" ref="Z17:Z32" si="17">0.61365*EXP(17.502*DZ17/(240.97+DZ17))</f>
        <v>3.1566975737279503</v>
      </c>
      <c r="AA17">
        <f t="shared" ref="AA17:AA32" si="18">(W17-DS17*(DX17+DY17)/1000)</f>
        <v>1.1302249991718929</v>
      </c>
      <c r="AB17">
        <f t="shared" ref="AB17:AB32" si="19">(-I17*44100)</f>
        <v>-83.123885449721172</v>
      </c>
      <c r="AC17">
        <f t="shared" ref="AC17:AC32" si="20">2*29.3*Q17*0.92*(DZ17-V17)</f>
        <v>-16.87083673489035</v>
      </c>
      <c r="AD17">
        <f t="shared" ref="AD17:AD32" si="21">2*0.95*0.0000000567*(((DZ17+$B$7)+273)^4-(V17+273)^4)</f>
        <v>-1.2373738887383887</v>
      </c>
      <c r="AE17">
        <f t="shared" ref="AE17:AE32" si="22">T17+AD17+AB17+AC17</f>
        <v>218.54324521750243</v>
      </c>
      <c r="AF17">
        <f t="shared" ref="AF17:AF32" si="23">DW17*AT17*(DR17-DQ17*(1000-AT17*DT17)/(1000-AT17*DS17))/(100*DK17)</f>
        <v>28.505717768613838</v>
      </c>
      <c r="AG17">
        <f t="shared" ref="AG17:AG32" si="24">1000*DW17*AT17*(DS17-DT17)/(100*DK17*(1000-AT17*DS17))</f>
        <v>1.8848953616716819</v>
      </c>
      <c r="AH17">
        <f t="shared" ref="AH17:AH32" si="25">(AI17 - AJ17 - DX17*1000/(8.314*(DZ17+273.15)) * AL17/DW17 * AK17) * DW17/(100*DK17) * (1000 - DT17)/1000</f>
        <v>28.813879345772428</v>
      </c>
      <c r="AI17">
        <v>428.14001884582518</v>
      </c>
      <c r="AJ17">
        <v>393.00533333333328</v>
      </c>
      <c r="AK17">
        <v>-2.0727345231224392E-2</v>
      </c>
      <c r="AL17">
        <v>67.058693806184777</v>
      </c>
      <c r="AM17">
        <f t="shared" ref="AM17:AM32" si="26">(AO17 - AN17 + DX17*1000/(8.314*(DZ17+273.15)) * AQ17/DW17 * AP17) * DW17/(100*DK17) * 1000/(1000 - AO17)</f>
        <v>1.8945150181270296</v>
      </c>
      <c r="AN17">
        <v>18.80517702687613</v>
      </c>
      <c r="AO17">
        <v>21.029976969696961</v>
      </c>
      <c r="AP17">
        <v>1.795618628088457E-4</v>
      </c>
      <c r="AQ17">
        <v>78.188659961730593</v>
      </c>
      <c r="AR17">
        <v>0</v>
      </c>
      <c r="AS17">
        <v>0</v>
      </c>
      <c r="AT17">
        <f t="shared" ref="AT17:AT32" si="27">IF(AR17*$H$13&gt;=AV17,1,(AV17/(AV17-AR17*$H$13)))</f>
        <v>1</v>
      </c>
      <c r="AU17">
        <f t="shared" ref="AU17:AU32" si="28">(AT17-1)*100</f>
        <v>0</v>
      </c>
      <c r="AV17">
        <f t="shared" ref="AV17:AV32" si="29">MAX(0,($B$13+$C$13*EE17)/(1+$D$13*EE17)*DX17/(DZ17+273)*$E$13)</f>
        <v>51825.475319756646</v>
      </c>
      <c r="AW17" t="s">
        <v>680</v>
      </c>
      <c r="AX17">
        <v>13244.2</v>
      </c>
      <c r="AY17">
        <v>599.9176470588236</v>
      </c>
      <c r="AZ17">
        <v>2276.13</v>
      </c>
      <c r="BA17">
        <f t="shared" ref="BA17:BA32" si="30">1-AY17/AZ17</f>
        <v>0.73643085102396455</v>
      </c>
      <c r="BB17">
        <v>-2.9242049494140931</v>
      </c>
      <c r="BC17" t="s">
        <v>681</v>
      </c>
      <c r="BD17">
        <v>13227.9</v>
      </c>
      <c r="BE17">
        <v>821.31041176470592</v>
      </c>
      <c r="BF17">
        <v>982.16</v>
      </c>
      <c r="BG17">
        <f t="shared" ref="BG17:BG32" si="31">1-BE17/BF17</f>
        <v>0.16377126765017314</v>
      </c>
      <c r="BH17">
        <v>0.5</v>
      </c>
      <c r="BI17">
        <f t="shared" ref="BI17:BI32" si="32">DH17</f>
        <v>1680.2862398398202</v>
      </c>
      <c r="BJ17">
        <f t="shared" ref="BJ17:BJ32" si="33">K17</f>
        <v>28.505717768613838</v>
      </c>
      <c r="BK17">
        <f t="shared" ref="BK17:BK32" si="34">BG17*BH17*BI17</f>
        <v>137.5913037568551</v>
      </c>
      <c r="BL17">
        <f t="shared" ref="BL17:BL32" si="35">(BJ17-BB17)/BI17</f>
        <v>1.870510034113242E-2</v>
      </c>
      <c r="BM17">
        <f t="shared" ref="BM17:BM32" si="36">(AZ17-BF17)/BF17</f>
        <v>1.3174737313675982</v>
      </c>
      <c r="BN17">
        <f t="shared" ref="BN17:BN32" si="37">AY17/(BA17+AY17/BF17)</f>
        <v>445.29202595325847</v>
      </c>
      <c r="BO17" t="s">
        <v>402</v>
      </c>
      <c r="BP17">
        <v>0</v>
      </c>
      <c r="BQ17">
        <f t="shared" ref="BQ17:BQ32" si="38">IF(BP17&lt;&gt;0, BP17, BN17)</f>
        <v>445.29202595325847</v>
      </c>
      <c r="BR17">
        <f t="shared" ref="BR17:BR32" si="39">1-BQ17/BF17</f>
        <v>0.54661966894064262</v>
      </c>
      <c r="BS17">
        <f t="shared" ref="BS17:BS32" si="40">(BF17-BE17)/(BF17-BQ17)</f>
        <v>0.29960734484283091</v>
      </c>
      <c r="BT17">
        <f t="shared" ref="BT17:BT32" si="41">(AZ17-BF17)/(AZ17-BQ17)</f>
        <v>0.70676379796728261</v>
      </c>
      <c r="BU17">
        <f t="shared" ref="BU17:BU32" si="42">(BF17-BE17)/(BF17-AY17)</f>
        <v>0.42080524828719684</v>
      </c>
      <c r="BV17">
        <f t="shared" ref="BV17:BV32" si="43">(AZ17-BF17)/(AZ17-AY17)</f>
        <v>0.77196066341446989</v>
      </c>
      <c r="BW17">
        <f t="shared" ref="BW17:BW32" si="44">(BS17*BQ17/BE17)</f>
        <v>0.1624389021063106</v>
      </c>
      <c r="BX17">
        <f t="shared" ref="BX17:BX32" si="45">(1-BW17)</f>
        <v>0.83756109789368938</v>
      </c>
      <c r="DG17">
        <f t="shared" ref="DG17:DG32" si="46">$B$11*EF17+$C$11*EG17+$F$11*ER17*(1-EU17)</f>
        <v>1999.984333333334</v>
      </c>
      <c r="DH17">
        <f t="shared" ref="DH17:DH32" si="47">DG17*DI17</f>
        <v>1680.2862398398202</v>
      </c>
      <c r="DI17">
        <f t="shared" ref="DI17:DI32" si="48">($B$11*$D$9+$C$11*$D$9+$F$11*((FE17+EW17)/MAX(FE17+EW17+FF17, 0.1)*$I$9+FF17/MAX(FE17+EW17+FF17, 0.1)*$J$9))/($B$11+$C$11+$F$11)</f>
        <v>0.84014970109256837</v>
      </c>
      <c r="DJ17">
        <f t="shared" ref="DJ17:DJ32" si="49">($B$11*$K$9+$C$11*$K$9+$F$11*((FE17+EW17)/MAX(FE17+EW17+FF17, 0.1)*$P$9+FF17/MAX(FE17+EW17+FF17, 0.1)*$Q$9))/($B$11+$C$11+$F$11)</f>
        <v>0.15988892310865713</v>
      </c>
      <c r="DK17">
        <v>6</v>
      </c>
      <c r="DL17">
        <v>0.5</v>
      </c>
      <c r="DM17" t="s">
        <v>403</v>
      </c>
      <c r="DN17">
        <v>2</v>
      </c>
      <c r="DO17" t="b">
        <v>0</v>
      </c>
      <c r="DP17">
        <v>1785250664.25</v>
      </c>
      <c r="DQ17">
        <v>384.92563333333328</v>
      </c>
      <c r="DR17">
        <v>420.00780000000009</v>
      </c>
      <c r="DS17">
        <v>21.01712333333333</v>
      </c>
      <c r="DT17">
        <v>18.802493333333331</v>
      </c>
      <c r="DU17">
        <v>397.97126666666662</v>
      </c>
      <c r="DV17">
        <v>22.402706666666671</v>
      </c>
      <c r="DW17">
        <v>499.9337000000001</v>
      </c>
      <c r="DX17">
        <v>97.345933333333335</v>
      </c>
      <c r="DY17">
        <v>5.0077416666666659E-2</v>
      </c>
      <c r="DZ17">
        <v>24.878393333333339</v>
      </c>
      <c r="EA17">
        <v>24.986973333333331</v>
      </c>
      <c r="EB17">
        <v>999.9000000000002</v>
      </c>
      <c r="EC17">
        <v>0</v>
      </c>
      <c r="ED17">
        <v>0</v>
      </c>
      <c r="EE17">
        <v>9997</v>
      </c>
      <c r="EF17">
        <v>0</v>
      </c>
      <c r="EG17">
        <v>84.754170000000016</v>
      </c>
      <c r="EH17">
        <v>-35.082189999999997</v>
      </c>
      <c r="EI17">
        <v>393.18926666666658</v>
      </c>
      <c r="EJ17">
        <v>428.0562666666666</v>
      </c>
      <c r="EK17">
        <v>2.214620333333333</v>
      </c>
      <c r="EL17">
        <v>420.00780000000009</v>
      </c>
      <c r="EM17">
        <v>18.802493333333331</v>
      </c>
      <c r="EN17">
        <v>2.0459309999999999</v>
      </c>
      <c r="EO17">
        <v>1.830346666666667</v>
      </c>
      <c r="EP17">
        <v>17.804349999999999</v>
      </c>
      <c r="EQ17">
        <v>16.04839333333333</v>
      </c>
      <c r="ER17">
        <v>1999.984333333334</v>
      </c>
      <c r="ES17">
        <v>0.99499626666666685</v>
      </c>
      <c r="ET17">
        <v>5.0040083333333339E-3</v>
      </c>
      <c r="EU17">
        <v>0</v>
      </c>
      <c r="EV17">
        <v>821.25420000000008</v>
      </c>
      <c r="EW17">
        <v>5.0010700000000003</v>
      </c>
      <c r="EX17">
        <v>17335.486666666671</v>
      </c>
      <c r="EY17">
        <v>18241.476666666669</v>
      </c>
      <c r="EZ17">
        <v>39</v>
      </c>
      <c r="FA17">
        <v>40.061999999999983</v>
      </c>
      <c r="FB17">
        <v>39.561999999999983</v>
      </c>
      <c r="FC17">
        <v>39.686999999999983</v>
      </c>
      <c r="FD17">
        <v>40.125</v>
      </c>
      <c r="FE17">
        <v>1985.004333333334</v>
      </c>
      <c r="FF17">
        <v>9.9800000000000022</v>
      </c>
      <c r="FG17">
        <v>0</v>
      </c>
      <c r="FH17">
        <v>1785250672.5999999</v>
      </c>
      <c r="FI17">
        <v>0</v>
      </c>
      <c r="FJ17">
        <v>821.31041176470592</v>
      </c>
      <c r="FK17">
        <v>3.618137228550216</v>
      </c>
      <c r="FL17">
        <v>61.691176418626448</v>
      </c>
      <c r="FM17">
        <v>17337.900000000001</v>
      </c>
      <c r="FN17">
        <v>10</v>
      </c>
      <c r="FO17">
        <v>1785250546</v>
      </c>
      <c r="FP17" t="s">
        <v>682</v>
      </c>
      <c r="FQ17">
        <v>1785250546</v>
      </c>
      <c r="FR17">
        <v>1785250542</v>
      </c>
      <c r="FS17">
        <v>1</v>
      </c>
      <c r="FT17">
        <v>0.93700000000000006</v>
      </c>
      <c r="FU17">
        <v>0.33400000000000002</v>
      </c>
      <c r="FV17">
        <v>-13.18</v>
      </c>
      <c r="FW17">
        <v>-1.42</v>
      </c>
      <c r="FX17">
        <v>420</v>
      </c>
      <c r="FY17">
        <v>20</v>
      </c>
      <c r="FZ17">
        <v>0.28000000000000003</v>
      </c>
      <c r="GA17">
        <v>0.18</v>
      </c>
      <c r="GB17">
        <v>384.93393548387093</v>
      </c>
      <c r="GC17">
        <v>-1.6644677419367651</v>
      </c>
      <c r="GD17">
        <v>0.1359577580232223</v>
      </c>
      <c r="GE17">
        <v>-1</v>
      </c>
      <c r="GF17">
        <v>821.11347058823526</v>
      </c>
      <c r="GG17">
        <v>2.6640488884153402</v>
      </c>
      <c r="GH17">
        <v>0.34313899047180968</v>
      </c>
      <c r="GI17">
        <v>1</v>
      </c>
      <c r="GJ17">
        <v>2.2142431707317072</v>
      </c>
      <c r="GK17">
        <v>3.2242369337980088E-2</v>
      </c>
      <c r="GL17">
        <v>7.1755324231875814E-3</v>
      </c>
      <c r="GM17">
        <v>1</v>
      </c>
      <c r="GN17">
        <v>2</v>
      </c>
      <c r="GO17">
        <v>2</v>
      </c>
      <c r="GP17" t="s">
        <v>404</v>
      </c>
      <c r="GQ17">
        <v>3.1312600000000002</v>
      </c>
      <c r="GR17">
        <v>2.7256399999999998</v>
      </c>
      <c r="GS17">
        <v>8.7241399999999997E-2</v>
      </c>
      <c r="GT17">
        <v>9.1587600000000005E-2</v>
      </c>
      <c r="GU17">
        <v>0.107062</v>
      </c>
      <c r="GV17">
        <v>9.4814800000000005E-2</v>
      </c>
      <c r="GW17">
        <v>22981.7</v>
      </c>
      <c r="GX17">
        <v>30483.599999999999</v>
      </c>
      <c r="GY17">
        <v>27296</v>
      </c>
      <c r="GZ17">
        <v>34482.800000000003</v>
      </c>
      <c r="HA17">
        <v>35662.300000000003</v>
      </c>
      <c r="HB17">
        <v>38881.5</v>
      </c>
      <c r="HC17">
        <v>40283.4</v>
      </c>
      <c r="HD17">
        <v>43038.7</v>
      </c>
      <c r="HE17">
        <v>2.0038</v>
      </c>
      <c r="HF17">
        <v>1.8635999999999999</v>
      </c>
      <c r="HG17">
        <v>1.0132800000000001E-2</v>
      </c>
      <c r="HH17">
        <v>0</v>
      </c>
      <c r="HI17">
        <v>24.802</v>
      </c>
      <c r="HJ17">
        <v>999.9</v>
      </c>
      <c r="HK17">
        <v>77.2</v>
      </c>
      <c r="HL17">
        <v>29.1</v>
      </c>
      <c r="HM17">
        <v>32.0792</v>
      </c>
      <c r="HN17">
        <v>60.760100000000001</v>
      </c>
      <c r="HO17">
        <v>5.0080099999999996</v>
      </c>
      <c r="HP17">
        <v>1</v>
      </c>
      <c r="HQ17">
        <v>0.24560999999999999</v>
      </c>
      <c r="HR17">
        <v>3.1809400000000001</v>
      </c>
      <c r="HS17">
        <v>20.243300000000001</v>
      </c>
      <c r="HT17">
        <v>5.2112999999999996</v>
      </c>
      <c r="HU17">
        <v>11.9033</v>
      </c>
      <c r="HV17">
        <v>4.9855999999999998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1.8669100000000001</v>
      </c>
      <c r="IC17">
        <v>1.8623700000000001</v>
      </c>
      <c r="ID17">
        <v>1.86188</v>
      </c>
      <c r="IE17">
        <v>1.8613299999999999</v>
      </c>
      <c r="IF17">
        <v>1.8614200000000001</v>
      </c>
      <c r="IG17">
        <v>1.86212</v>
      </c>
      <c r="IH17">
        <v>1.8629500000000001</v>
      </c>
      <c r="II17">
        <v>1.8609599999999999</v>
      </c>
      <c r="IJ17">
        <v>0</v>
      </c>
      <c r="IK17">
        <v>0</v>
      </c>
      <c r="IL17">
        <v>0</v>
      </c>
      <c r="IM17">
        <v>4.5</v>
      </c>
      <c r="IN17" t="s">
        <v>405</v>
      </c>
      <c r="IO17" t="s">
        <v>406</v>
      </c>
      <c r="IP17" t="s">
        <v>407</v>
      </c>
      <c r="IQ17" t="s">
        <v>408</v>
      </c>
      <c r="IR17" t="s">
        <v>408</v>
      </c>
      <c r="IS17" t="s">
        <v>407</v>
      </c>
      <c r="IT17">
        <v>0</v>
      </c>
      <c r="IU17">
        <v>100</v>
      </c>
      <c r="IV17">
        <v>100</v>
      </c>
      <c r="IW17">
        <v>-13.045</v>
      </c>
      <c r="IX17">
        <v>-1.3852</v>
      </c>
      <c r="IY17">
        <v>-11.165393883912079</v>
      </c>
      <c r="IZ17">
        <v>-5.6215304933332991E-3</v>
      </c>
      <c r="JA17">
        <v>2.3979931213773931E-6</v>
      </c>
      <c r="JB17">
        <v>-3.6297174575716598E-10</v>
      </c>
      <c r="JC17">
        <v>-1.7343168430151119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2.2000000000000002</v>
      </c>
      <c r="JM17">
        <v>1.09741</v>
      </c>
      <c r="JN17">
        <v>2.4621599999999999</v>
      </c>
      <c r="JO17">
        <v>1.50024</v>
      </c>
      <c r="JP17">
        <v>2.2827099999999998</v>
      </c>
      <c r="JQ17">
        <v>1.4477500000000001</v>
      </c>
      <c r="JR17">
        <v>2.4096700000000002</v>
      </c>
      <c r="JS17">
        <v>34.417999999999999</v>
      </c>
      <c r="JT17">
        <v>14.7537</v>
      </c>
      <c r="JU17">
        <v>18</v>
      </c>
      <c r="JV17">
        <v>538.67200000000003</v>
      </c>
      <c r="JW17">
        <v>463.49599999999998</v>
      </c>
      <c r="JX17">
        <v>21.599599999999999</v>
      </c>
      <c r="JY17">
        <v>30.277799999999999</v>
      </c>
      <c r="JZ17">
        <v>29.9998</v>
      </c>
      <c r="KA17">
        <v>30.295000000000002</v>
      </c>
      <c r="KB17">
        <v>30.297899999999998</v>
      </c>
      <c r="KC17">
        <v>21.9421</v>
      </c>
      <c r="KD17">
        <v>43.607199999999999</v>
      </c>
      <c r="KE17">
        <v>0</v>
      </c>
      <c r="KF17">
        <v>21.611799999999999</v>
      </c>
      <c r="KG17">
        <v>420</v>
      </c>
      <c r="KH17">
        <v>18.802700000000002</v>
      </c>
      <c r="KI17">
        <v>100.70399999999999</v>
      </c>
      <c r="KJ17">
        <v>97.538700000000006</v>
      </c>
    </row>
    <row r="18" spans="1:296" x14ac:dyDescent="0.3">
      <c r="A18">
        <v>2</v>
      </c>
      <c r="B18">
        <v>1785250853.5</v>
      </c>
      <c r="C18">
        <v>181.5</v>
      </c>
      <c r="D18" t="s">
        <v>683</v>
      </c>
      <c r="E18" t="s">
        <v>684</v>
      </c>
      <c r="F18">
        <v>15</v>
      </c>
      <c r="H18">
        <v>1785250845.5</v>
      </c>
      <c r="I18">
        <f t="shared" si="0"/>
        <v>2.0129511584166095E-3</v>
      </c>
      <c r="J18">
        <f t="shared" si="1"/>
        <v>2.0129511584166093</v>
      </c>
      <c r="K18">
        <f t="shared" si="2"/>
        <v>31.144194234979366</v>
      </c>
      <c r="L18">
        <f t="shared" si="3"/>
        <v>381.68835483870959</v>
      </c>
      <c r="M18">
        <f t="shared" si="4"/>
        <v>85.904137139072631</v>
      </c>
      <c r="N18">
        <f t="shared" si="5"/>
        <v>8.3667278225836661</v>
      </c>
      <c r="O18">
        <f t="shared" si="6"/>
        <v>37.174956694055361</v>
      </c>
      <c r="P18">
        <f t="shared" si="7"/>
        <v>0.17597076020023486</v>
      </c>
      <c r="Q18">
        <f t="shared" si="8"/>
        <v>2.8824099973720498</v>
      </c>
      <c r="R18">
        <f t="shared" si="9"/>
        <v>0.17021296627206611</v>
      </c>
      <c r="S18">
        <f t="shared" si="10"/>
        <v>0.10688472463152304</v>
      </c>
      <c r="T18">
        <f t="shared" si="11"/>
        <v>271.91275882799636</v>
      </c>
      <c r="U18">
        <f t="shared" si="12"/>
        <v>26.054145196933771</v>
      </c>
      <c r="V18">
        <f t="shared" si="13"/>
        <v>25.00314516129032</v>
      </c>
      <c r="W18">
        <f t="shared" si="14"/>
        <v>3.1802738654445433</v>
      </c>
      <c r="X18">
        <f t="shared" si="15"/>
        <v>64.938531842423714</v>
      </c>
      <c r="Y18">
        <f t="shared" si="16"/>
        <v>2.0594430212095154</v>
      </c>
      <c r="Z18">
        <f t="shared" si="17"/>
        <v>3.1713729318778676</v>
      </c>
      <c r="AA18">
        <f t="shared" si="18"/>
        <v>1.1208308442350279</v>
      </c>
      <c r="AB18">
        <f t="shared" si="19"/>
        <v>-88.771146086172479</v>
      </c>
      <c r="AC18">
        <f t="shared" si="20"/>
        <v>-7.3041362045735934</v>
      </c>
      <c r="AD18">
        <f t="shared" si="21"/>
        <v>-0.53590043200500803</v>
      </c>
      <c r="AE18">
        <f t="shared" si="22"/>
        <v>175.30157610524529</v>
      </c>
      <c r="AF18">
        <f t="shared" si="23"/>
        <v>31.144194234979366</v>
      </c>
      <c r="AG18">
        <f t="shared" si="24"/>
        <v>2.0129511584166093</v>
      </c>
      <c r="AH18">
        <f t="shared" si="25"/>
        <v>31.501276130587957</v>
      </c>
      <c r="AI18">
        <v>427.97682610765798</v>
      </c>
      <c r="AJ18">
        <v>389.74833333333328</v>
      </c>
      <c r="AK18">
        <v>-5.6163646267771712E-2</v>
      </c>
      <c r="AL18">
        <v>67.076401159681055</v>
      </c>
      <c r="AM18">
        <f t="shared" si="26"/>
        <v>2.0197663895574087</v>
      </c>
      <c r="AN18">
        <v>18.783793788802669</v>
      </c>
      <c r="AO18">
        <v>21.155714545454529</v>
      </c>
      <c r="AP18">
        <v>7.8841008791629682E-5</v>
      </c>
      <c r="AQ18">
        <v>78.208506833789528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51822.28589751503</v>
      </c>
      <c r="AW18" t="s">
        <v>680</v>
      </c>
      <c r="AX18">
        <v>13244.2</v>
      </c>
      <c r="AY18">
        <v>599.9176470588236</v>
      </c>
      <c r="AZ18">
        <v>2276.13</v>
      </c>
      <c r="BA18">
        <f t="shared" si="30"/>
        <v>0.73643085102396455</v>
      </c>
      <c r="BB18">
        <v>-2.9242049494140931</v>
      </c>
      <c r="BC18" t="s">
        <v>685</v>
      </c>
      <c r="BD18">
        <v>13222.5</v>
      </c>
      <c r="BE18">
        <v>829.02811764705893</v>
      </c>
      <c r="BF18">
        <v>1049.1600000000001</v>
      </c>
      <c r="BG18">
        <f t="shared" si="31"/>
        <v>0.20981726557716762</v>
      </c>
      <c r="BH18">
        <v>0.5</v>
      </c>
      <c r="BI18">
        <f t="shared" si="32"/>
        <v>1428.3276494679576</v>
      </c>
      <c r="BJ18">
        <f t="shared" si="33"/>
        <v>31.144194234979366</v>
      </c>
      <c r="BK18">
        <f t="shared" si="34"/>
        <v>149.84390087981501</v>
      </c>
      <c r="BL18">
        <f t="shared" si="35"/>
        <v>2.3851949653907283E-2</v>
      </c>
      <c r="BM18">
        <f t="shared" si="36"/>
        <v>1.1694784398947728</v>
      </c>
      <c r="BN18">
        <f t="shared" si="37"/>
        <v>458.56904217418946</v>
      </c>
      <c r="BO18" t="s">
        <v>402</v>
      </c>
      <c r="BP18">
        <v>0</v>
      </c>
      <c r="BQ18">
        <f t="shared" si="38"/>
        <v>458.56904217418946</v>
      </c>
      <c r="BR18">
        <f t="shared" si="39"/>
        <v>0.56291791321229412</v>
      </c>
      <c r="BS18">
        <f t="shared" si="40"/>
        <v>0.37273154869036623</v>
      </c>
      <c r="BT18">
        <f t="shared" si="41"/>
        <v>0.67506401626700707</v>
      </c>
      <c r="BU18">
        <f t="shared" si="42"/>
        <v>0.49000696597670318</v>
      </c>
      <c r="BV18">
        <f t="shared" si="43"/>
        <v>0.73198959418661336</v>
      </c>
      <c r="BW18">
        <f t="shared" si="44"/>
        <v>0.20617292180168298</v>
      </c>
      <c r="BX18">
        <f t="shared" si="45"/>
        <v>0.79382707819831699</v>
      </c>
      <c r="DG18">
        <f t="shared" si="46"/>
        <v>1700.027096774194</v>
      </c>
      <c r="DH18">
        <f t="shared" si="47"/>
        <v>1428.3276494679576</v>
      </c>
      <c r="DI18">
        <f t="shared" si="48"/>
        <v>0.84017934312824372</v>
      </c>
      <c r="DJ18">
        <f t="shared" si="49"/>
        <v>0.15994613223751053</v>
      </c>
      <c r="DK18">
        <v>6</v>
      </c>
      <c r="DL18">
        <v>0.5</v>
      </c>
      <c r="DM18" t="s">
        <v>403</v>
      </c>
      <c r="DN18">
        <v>2</v>
      </c>
      <c r="DO18" t="b">
        <v>0</v>
      </c>
      <c r="DP18">
        <v>1785250845.5</v>
      </c>
      <c r="DQ18">
        <v>381.68835483870959</v>
      </c>
      <c r="DR18">
        <v>419.982741935484</v>
      </c>
      <c r="DS18">
        <v>21.14502580645161</v>
      </c>
      <c r="DT18">
        <v>18.7806</v>
      </c>
      <c r="DU18">
        <v>394.70383870967748</v>
      </c>
      <c r="DV18">
        <v>22.507467741935489</v>
      </c>
      <c r="DW18">
        <v>500.00822580645161</v>
      </c>
      <c r="DX18">
        <v>97.346367741935481</v>
      </c>
      <c r="DY18">
        <v>4.9730993548387101E-2</v>
      </c>
      <c r="DZ18">
        <v>24.95614193548387</v>
      </c>
      <c r="EA18">
        <v>25.00314516129032</v>
      </c>
      <c r="EB18">
        <v>999.90000000000032</v>
      </c>
      <c r="EC18">
        <v>0</v>
      </c>
      <c r="ED18">
        <v>0</v>
      </c>
      <c r="EE18">
        <v>9999.032258064517</v>
      </c>
      <c r="EF18">
        <v>0</v>
      </c>
      <c r="EG18">
        <v>83.383403225806461</v>
      </c>
      <c r="EH18">
        <v>-38.294477419354827</v>
      </c>
      <c r="EI18">
        <v>389.93338709677431</v>
      </c>
      <c r="EJ18">
        <v>428.02132258064518</v>
      </c>
      <c r="EK18">
        <v>2.364424516129032</v>
      </c>
      <c r="EL18">
        <v>419.982741935484</v>
      </c>
      <c r="EM18">
        <v>18.7806</v>
      </c>
      <c r="EN18">
        <v>2.0583912903225809</v>
      </c>
      <c r="EO18">
        <v>1.828223548387097</v>
      </c>
      <c r="EP18">
        <v>17.9008</v>
      </c>
      <c r="EQ18">
        <v>16.030206451612901</v>
      </c>
      <c r="ER18">
        <v>1700.027096774194</v>
      </c>
      <c r="ES18">
        <v>0.99400277419354821</v>
      </c>
      <c r="ET18">
        <v>5.9969216129032261E-3</v>
      </c>
      <c r="EU18">
        <v>0</v>
      </c>
      <c r="EV18">
        <v>828.76312903225801</v>
      </c>
      <c r="EW18">
        <v>5.0010700000000003</v>
      </c>
      <c r="EX18">
        <v>14904.496774193551</v>
      </c>
      <c r="EY18">
        <v>15492.780645161291</v>
      </c>
      <c r="EZ18">
        <v>38.553999999999988</v>
      </c>
      <c r="FA18">
        <v>39.891000000000012</v>
      </c>
      <c r="FB18">
        <v>39.328258064516113</v>
      </c>
      <c r="FC18">
        <v>39.503999999999998</v>
      </c>
      <c r="FD18">
        <v>39.811999999999983</v>
      </c>
      <c r="FE18">
        <v>1684.857096774193</v>
      </c>
      <c r="FF18">
        <v>10.16290322580646</v>
      </c>
      <c r="FG18">
        <v>0</v>
      </c>
      <c r="FH18">
        <v>180.9000000953674</v>
      </c>
      <c r="FI18">
        <v>0</v>
      </c>
      <c r="FJ18">
        <v>829.02811764705893</v>
      </c>
      <c r="FK18">
        <v>5.9210783906446718</v>
      </c>
      <c r="FL18">
        <v>84.950980284067413</v>
      </c>
      <c r="FM18">
        <v>14908.658823529409</v>
      </c>
      <c r="FN18">
        <v>10</v>
      </c>
      <c r="FO18">
        <v>1785250724</v>
      </c>
      <c r="FP18" t="s">
        <v>686</v>
      </c>
      <c r="FQ18">
        <v>1785250724</v>
      </c>
      <c r="FR18">
        <v>1785250723.5</v>
      </c>
      <c r="FS18">
        <v>2</v>
      </c>
      <c r="FT18">
        <v>1.7000000000000001E-2</v>
      </c>
      <c r="FU18">
        <v>0.02</v>
      </c>
      <c r="FV18">
        <v>-13.163</v>
      </c>
      <c r="FW18">
        <v>-1.421</v>
      </c>
      <c r="FX18">
        <v>420</v>
      </c>
      <c r="FY18">
        <v>19</v>
      </c>
      <c r="FZ18">
        <v>0.17</v>
      </c>
      <c r="GA18">
        <v>0.11</v>
      </c>
      <c r="GB18">
        <v>381.6844999999999</v>
      </c>
      <c r="GC18">
        <v>-0.97834037819910991</v>
      </c>
      <c r="GD18">
        <v>8.1807395753683176E-2</v>
      </c>
      <c r="GE18">
        <v>-1</v>
      </c>
      <c r="GF18">
        <v>828.55229411764708</v>
      </c>
      <c r="GG18">
        <v>4.7479602722285952</v>
      </c>
      <c r="GH18">
        <v>0.50464224540535552</v>
      </c>
      <c r="GI18">
        <v>1</v>
      </c>
      <c r="GJ18">
        <v>2.3627280000000002</v>
      </c>
      <c r="GK18">
        <v>3.8827767354589912E-2</v>
      </c>
      <c r="GL18">
        <v>5.2459046884212254E-3</v>
      </c>
      <c r="GM18">
        <v>1</v>
      </c>
      <c r="GN18">
        <v>2</v>
      </c>
      <c r="GO18">
        <v>2</v>
      </c>
      <c r="GP18" t="s">
        <v>404</v>
      </c>
      <c r="GQ18">
        <v>3.13089</v>
      </c>
      <c r="GR18">
        <v>2.7256999999999998</v>
      </c>
      <c r="GS18">
        <v>8.6707900000000004E-2</v>
      </c>
      <c r="GT18">
        <v>9.1611399999999996E-2</v>
      </c>
      <c r="GU18">
        <v>0.107414</v>
      </c>
      <c r="GV18">
        <v>9.4747999999999999E-2</v>
      </c>
      <c r="GW18">
        <v>22996.7</v>
      </c>
      <c r="GX18">
        <v>30485.200000000001</v>
      </c>
      <c r="GY18">
        <v>27297.4</v>
      </c>
      <c r="GZ18">
        <v>34485</v>
      </c>
      <c r="HA18">
        <v>35650</v>
      </c>
      <c r="HB18">
        <v>38886.199999999997</v>
      </c>
      <c r="HC18">
        <v>40286.1</v>
      </c>
      <c r="HD18">
        <v>43040.9</v>
      </c>
      <c r="HE18">
        <v>2.0038</v>
      </c>
      <c r="HF18">
        <v>1.8642000000000001</v>
      </c>
      <c r="HG18">
        <v>5.0663899999999996E-3</v>
      </c>
      <c r="HH18">
        <v>0</v>
      </c>
      <c r="HI18">
        <v>24.897400000000001</v>
      </c>
      <c r="HJ18">
        <v>999.9</v>
      </c>
      <c r="HK18">
        <v>76.599999999999994</v>
      </c>
      <c r="HL18">
        <v>29.4</v>
      </c>
      <c r="HM18">
        <v>32.387099999999997</v>
      </c>
      <c r="HN18">
        <v>60.540100000000002</v>
      </c>
      <c r="HO18">
        <v>4.7075300000000002</v>
      </c>
      <c r="HP18">
        <v>1</v>
      </c>
      <c r="HQ18">
        <v>0.23841499999999999</v>
      </c>
      <c r="HR18">
        <v>3.0864099999999999</v>
      </c>
      <c r="HS18">
        <v>20.248000000000001</v>
      </c>
      <c r="HT18">
        <v>5.2100999999999997</v>
      </c>
      <c r="HU18">
        <v>11.9033</v>
      </c>
      <c r="HV18">
        <v>4.9847999999999999</v>
      </c>
      <c r="HW18">
        <v>3.2706</v>
      </c>
      <c r="HX18">
        <v>9999</v>
      </c>
      <c r="HY18">
        <v>9999</v>
      </c>
      <c r="HZ18">
        <v>9999</v>
      </c>
      <c r="IA18">
        <v>999.9</v>
      </c>
      <c r="IB18">
        <v>1.8669100000000001</v>
      </c>
      <c r="IC18">
        <v>1.86243</v>
      </c>
      <c r="ID18">
        <v>1.86188</v>
      </c>
      <c r="IE18">
        <v>1.8613299999999999</v>
      </c>
      <c r="IF18">
        <v>1.8614200000000001</v>
      </c>
      <c r="IG18">
        <v>1.8621799999999999</v>
      </c>
      <c r="IH18">
        <v>1.8630100000000001</v>
      </c>
      <c r="II18">
        <v>1.8609599999999999</v>
      </c>
      <c r="IJ18">
        <v>0</v>
      </c>
      <c r="IK18">
        <v>0</v>
      </c>
      <c r="IL18">
        <v>0</v>
      </c>
      <c r="IM18">
        <v>4.5</v>
      </c>
      <c r="IN18" t="s">
        <v>405</v>
      </c>
      <c r="IO18" t="s">
        <v>406</v>
      </c>
      <c r="IP18" t="s">
        <v>407</v>
      </c>
      <c r="IQ18" t="s">
        <v>408</v>
      </c>
      <c r="IR18" t="s">
        <v>408</v>
      </c>
      <c r="IS18" t="s">
        <v>407</v>
      </c>
      <c r="IT18">
        <v>0</v>
      </c>
      <c r="IU18">
        <v>100</v>
      </c>
      <c r="IV18">
        <v>100</v>
      </c>
      <c r="IW18">
        <v>-13.015000000000001</v>
      </c>
      <c r="IX18">
        <v>-1.3623000000000001</v>
      </c>
      <c r="IY18">
        <v>-11.14795240940389</v>
      </c>
      <c r="IZ18">
        <v>-5.6215304933332991E-3</v>
      </c>
      <c r="JA18">
        <v>2.3979931213773931E-6</v>
      </c>
      <c r="JB18">
        <v>-3.6297174575716598E-10</v>
      </c>
      <c r="JC18">
        <v>-1.7139654826425379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2.2000000000000002</v>
      </c>
      <c r="JM18">
        <v>1.09741</v>
      </c>
      <c r="JN18">
        <v>2.4536099999999998</v>
      </c>
      <c r="JO18">
        <v>1.50024</v>
      </c>
      <c r="JP18">
        <v>2.2827099999999998</v>
      </c>
      <c r="JQ18">
        <v>1.4477500000000001</v>
      </c>
      <c r="JR18">
        <v>2.4108900000000002</v>
      </c>
      <c r="JS18">
        <v>34.5092</v>
      </c>
      <c r="JT18">
        <v>14.7362</v>
      </c>
      <c r="JU18">
        <v>18</v>
      </c>
      <c r="JV18">
        <v>537.99</v>
      </c>
      <c r="JW18">
        <v>463.29300000000001</v>
      </c>
      <c r="JX18">
        <v>21.908899999999999</v>
      </c>
      <c r="JY18">
        <v>30.188800000000001</v>
      </c>
      <c r="JZ18">
        <v>29.9999</v>
      </c>
      <c r="KA18">
        <v>30.216699999999999</v>
      </c>
      <c r="KB18">
        <v>30.2225</v>
      </c>
      <c r="KC18">
        <v>21.951699999999999</v>
      </c>
      <c r="KD18">
        <v>43.762</v>
      </c>
      <c r="KE18">
        <v>0</v>
      </c>
      <c r="KF18">
        <v>21.9116</v>
      </c>
      <c r="KG18">
        <v>420</v>
      </c>
      <c r="KH18">
        <v>18.819600000000001</v>
      </c>
      <c r="KI18">
        <v>100.71</v>
      </c>
      <c r="KJ18">
        <v>97.543999999999997</v>
      </c>
    </row>
    <row r="19" spans="1:296" x14ac:dyDescent="0.3">
      <c r="A19">
        <v>3</v>
      </c>
      <c r="B19">
        <v>1785251035</v>
      </c>
      <c r="C19">
        <v>363</v>
      </c>
      <c r="D19" t="s">
        <v>687</v>
      </c>
      <c r="E19" t="s">
        <v>688</v>
      </c>
      <c r="F19">
        <v>15</v>
      </c>
      <c r="H19">
        <v>1785251027.25</v>
      </c>
      <c r="I19">
        <f t="shared" si="0"/>
        <v>2.2618440638887036E-3</v>
      </c>
      <c r="J19">
        <f t="shared" si="1"/>
        <v>2.2618440638887036</v>
      </c>
      <c r="K19">
        <f t="shared" si="2"/>
        <v>33.123105023686584</v>
      </c>
      <c r="L19">
        <f t="shared" si="3"/>
        <v>379.22793333333328</v>
      </c>
      <c r="M19">
        <f t="shared" si="4"/>
        <v>101.76277534265587</v>
      </c>
      <c r="N19">
        <f t="shared" si="5"/>
        <v>9.9119612821610978</v>
      </c>
      <c r="O19">
        <f t="shared" si="6"/>
        <v>36.937795570698775</v>
      </c>
      <c r="P19">
        <f t="shared" si="7"/>
        <v>0.20054728664542817</v>
      </c>
      <c r="Q19">
        <f t="shared" si="8"/>
        <v>2.8835052888232697</v>
      </c>
      <c r="R19">
        <f t="shared" si="9"/>
        <v>0.1931081921057049</v>
      </c>
      <c r="S19">
        <f t="shared" si="10"/>
        <v>0.12133800242558734</v>
      </c>
      <c r="T19">
        <f t="shared" si="11"/>
        <v>255.91378962983151</v>
      </c>
      <c r="U19">
        <f t="shared" si="12"/>
        <v>25.880103426339257</v>
      </c>
      <c r="V19">
        <f t="shared" si="13"/>
        <v>24.991556666666661</v>
      </c>
      <c r="W19">
        <f t="shared" si="14"/>
        <v>3.1780773436055414</v>
      </c>
      <c r="X19">
        <f t="shared" si="15"/>
        <v>65.253097335804881</v>
      </c>
      <c r="Y19">
        <f t="shared" si="16"/>
        <v>2.0679395128441169</v>
      </c>
      <c r="Z19">
        <f t="shared" si="17"/>
        <v>3.1691055249103441</v>
      </c>
      <c r="AA19">
        <f t="shared" si="18"/>
        <v>1.1101378307614245</v>
      </c>
      <c r="AB19">
        <f t="shared" si="19"/>
        <v>-99.747323217491825</v>
      </c>
      <c r="AC19">
        <f t="shared" si="20"/>
        <v>-7.3696288302578292</v>
      </c>
      <c r="AD19">
        <f t="shared" si="21"/>
        <v>-0.54043604858848582</v>
      </c>
      <c r="AE19">
        <f t="shared" si="22"/>
        <v>148.2564015334934</v>
      </c>
      <c r="AF19">
        <f t="shared" si="23"/>
        <v>33.123105023686584</v>
      </c>
      <c r="AG19">
        <f t="shared" si="24"/>
        <v>2.2618440638887036</v>
      </c>
      <c r="AH19">
        <f t="shared" si="25"/>
        <v>33.198364360539514</v>
      </c>
      <c r="AI19">
        <v>428.05363468250692</v>
      </c>
      <c r="AJ19">
        <v>387.43362424242417</v>
      </c>
      <c r="AK19">
        <v>4.8748817345948166E-3</v>
      </c>
      <c r="AL19">
        <v>67.071474924307594</v>
      </c>
      <c r="AM19">
        <f t="shared" si="26"/>
        <v>2.2583575249380612</v>
      </c>
      <c r="AN19">
        <v>18.54867367535001</v>
      </c>
      <c r="AO19">
        <v>21.218822424242429</v>
      </c>
      <c r="AP19">
        <v>-2.8439466156345659E-3</v>
      </c>
      <c r="AQ19">
        <v>78.192847151529591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51855.83386967636</v>
      </c>
      <c r="AW19" t="s">
        <v>680</v>
      </c>
      <c r="AX19">
        <v>13244.2</v>
      </c>
      <c r="AY19">
        <v>599.9176470588236</v>
      </c>
      <c r="AZ19">
        <v>2276.13</v>
      </c>
      <c r="BA19">
        <f t="shared" si="30"/>
        <v>0.73643085102396455</v>
      </c>
      <c r="BB19">
        <v>-2.9242049494140931</v>
      </c>
      <c r="BC19" t="s">
        <v>689</v>
      </c>
      <c r="BD19">
        <v>13238.8</v>
      </c>
      <c r="BE19">
        <v>840.79705882352948</v>
      </c>
      <c r="BF19">
        <v>1102.3499999999999</v>
      </c>
      <c r="BG19">
        <f t="shared" si="31"/>
        <v>0.23726850925429355</v>
      </c>
      <c r="BH19">
        <v>0.5</v>
      </c>
      <c r="BI19">
        <f t="shared" si="32"/>
        <v>1344.2881998082032</v>
      </c>
      <c r="BJ19">
        <f t="shared" si="33"/>
        <v>33.123105023686584</v>
      </c>
      <c r="BK19">
        <f t="shared" si="34"/>
        <v>159.47862858831513</v>
      </c>
      <c r="BL19">
        <f t="shared" si="35"/>
        <v>2.6815165065232096E-2</v>
      </c>
      <c r="BM19">
        <f t="shared" si="36"/>
        <v>1.0647979316913869</v>
      </c>
      <c r="BN19">
        <f t="shared" si="37"/>
        <v>468.44855188691304</v>
      </c>
      <c r="BO19" t="s">
        <v>402</v>
      </c>
      <c r="BP19">
        <v>0</v>
      </c>
      <c r="BQ19">
        <f t="shared" si="38"/>
        <v>468.44855188691304</v>
      </c>
      <c r="BR19">
        <f t="shared" si="39"/>
        <v>0.57504553736389252</v>
      </c>
      <c r="BS19">
        <f t="shared" si="40"/>
        <v>0.41260820898110623</v>
      </c>
      <c r="BT19">
        <f t="shared" si="41"/>
        <v>0.64932900717946052</v>
      </c>
      <c r="BU19">
        <f t="shared" si="42"/>
        <v>0.52057344564969221</v>
      </c>
      <c r="BV19">
        <f t="shared" si="43"/>
        <v>0.70025733788467781</v>
      </c>
      <c r="BW19">
        <f t="shared" si="44"/>
        <v>0.22988391308635597</v>
      </c>
      <c r="BX19">
        <f t="shared" si="45"/>
        <v>0.77011608691364408</v>
      </c>
      <c r="DG19">
        <f t="shared" si="46"/>
        <v>1600.001666666667</v>
      </c>
      <c r="DH19">
        <f t="shared" si="47"/>
        <v>1344.2881998082032</v>
      </c>
      <c r="DI19">
        <f t="shared" si="48"/>
        <v>0.8401792496934084</v>
      </c>
      <c r="DJ19">
        <f t="shared" si="49"/>
        <v>0.15994595190827809</v>
      </c>
      <c r="DK19">
        <v>6</v>
      </c>
      <c r="DL19">
        <v>0.5</v>
      </c>
      <c r="DM19" t="s">
        <v>403</v>
      </c>
      <c r="DN19">
        <v>2</v>
      </c>
      <c r="DO19" t="b">
        <v>0</v>
      </c>
      <c r="DP19">
        <v>1785251027.25</v>
      </c>
      <c r="DQ19">
        <v>379.22793333333328</v>
      </c>
      <c r="DR19">
        <v>420.00729999999987</v>
      </c>
      <c r="DS19">
        <v>21.230840000000001</v>
      </c>
      <c r="DT19">
        <v>18.574100000000001</v>
      </c>
      <c r="DU19">
        <v>392.20613333333341</v>
      </c>
      <c r="DV19">
        <v>22.59071333333333</v>
      </c>
      <c r="DW19">
        <v>499.97136666666671</v>
      </c>
      <c r="DX19">
        <v>97.352853333333329</v>
      </c>
      <c r="DY19">
        <v>4.9770060000000019E-2</v>
      </c>
      <c r="DZ19">
        <v>24.94415</v>
      </c>
      <c r="EA19">
        <v>24.991556666666661</v>
      </c>
      <c r="EB19">
        <v>999.9000000000002</v>
      </c>
      <c r="EC19">
        <v>0</v>
      </c>
      <c r="ED19">
        <v>0</v>
      </c>
      <c r="EE19">
        <v>10004.66666666667</v>
      </c>
      <c r="EF19">
        <v>0</v>
      </c>
      <c r="EG19">
        <v>92.496119999999991</v>
      </c>
      <c r="EH19">
        <v>-40.779346666666683</v>
      </c>
      <c r="EI19">
        <v>387.45396666666682</v>
      </c>
      <c r="EJ19">
        <v>427.95620000000002</v>
      </c>
      <c r="EK19">
        <v>2.6567326666666662</v>
      </c>
      <c r="EL19">
        <v>420.00729999999987</v>
      </c>
      <c r="EM19">
        <v>18.574100000000001</v>
      </c>
      <c r="EN19">
        <v>2.066881</v>
      </c>
      <c r="EO19">
        <v>1.808241666666667</v>
      </c>
      <c r="EP19">
        <v>17.966216666666661</v>
      </c>
      <c r="EQ19">
        <v>15.858193333333331</v>
      </c>
      <c r="ER19">
        <v>1600.001666666667</v>
      </c>
      <c r="ES19">
        <v>0.99400423333333343</v>
      </c>
      <c r="ET19">
        <v>5.9957670000000017E-3</v>
      </c>
      <c r="EU19">
        <v>0</v>
      </c>
      <c r="EV19">
        <v>840.61646666666661</v>
      </c>
      <c r="EW19">
        <v>5.0010700000000003</v>
      </c>
      <c r="EX19">
        <v>14249.093333333331</v>
      </c>
      <c r="EY19">
        <v>14578.53666666667</v>
      </c>
      <c r="EZ19">
        <v>38.129133333333343</v>
      </c>
      <c r="FA19">
        <v>39.653933333333327</v>
      </c>
      <c r="FB19">
        <v>39.008266666666671</v>
      </c>
      <c r="FC19">
        <v>39.283066666666663</v>
      </c>
      <c r="FD19">
        <v>39.5</v>
      </c>
      <c r="FE19">
        <v>1585.4416666666671</v>
      </c>
      <c r="FF19">
        <v>9.56</v>
      </c>
      <c r="FG19">
        <v>0</v>
      </c>
      <c r="FH19">
        <v>180.69999980926511</v>
      </c>
      <c r="FI19">
        <v>0</v>
      </c>
      <c r="FJ19">
        <v>840.79705882352948</v>
      </c>
      <c r="FK19">
        <v>6.9573528894858132</v>
      </c>
      <c r="FL19">
        <v>93.137254894097808</v>
      </c>
      <c r="FM19">
        <v>14251.917647058821</v>
      </c>
      <c r="FN19">
        <v>10</v>
      </c>
      <c r="FO19">
        <v>1785250920</v>
      </c>
      <c r="FP19" t="s">
        <v>690</v>
      </c>
      <c r="FQ19">
        <v>1785250920</v>
      </c>
      <c r="FR19">
        <v>1785250908</v>
      </c>
      <c r="FS19">
        <v>3</v>
      </c>
      <c r="FT19">
        <v>2.8000000000000001E-2</v>
      </c>
      <c r="FU19">
        <v>0</v>
      </c>
      <c r="FV19">
        <v>-13.135</v>
      </c>
      <c r="FW19">
        <v>-1.421</v>
      </c>
      <c r="FX19">
        <v>420</v>
      </c>
      <c r="FY19">
        <v>19</v>
      </c>
      <c r="FZ19">
        <v>0.23</v>
      </c>
      <c r="GA19">
        <v>0.13</v>
      </c>
      <c r="GB19">
        <v>379.23312903225798</v>
      </c>
      <c r="GC19">
        <v>-0.55040322580602852</v>
      </c>
      <c r="GD19">
        <v>7.1321508286236443E-2</v>
      </c>
      <c r="GE19">
        <v>-1</v>
      </c>
      <c r="GF19">
        <v>840.46823529411756</v>
      </c>
      <c r="GG19">
        <v>2.74658517746956</v>
      </c>
      <c r="GH19">
        <v>0.36159524486263339</v>
      </c>
      <c r="GI19">
        <v>1</v>
      </c>
      <c r="GJ19">
        <v>2.637835365853658</v>
      </c>
      <c r="GK19">
        <v>0.33321428571428863</v>
      </c>
      <c r="GL19">
        <v>3.6161802519392168E-2</v>
      </c>
      <c r="GM19">
        <v>1</v>
      </c>
      <c r="GN19">
        <v>2</v>
      </c>
      <c r="GO19">
        <v>2</v>
      </c>
      <c r="GP19" t="s">
        <v>404</v>
      </c>
      <c r="GQ19">
        <v>3.1317699999999999</v>
      </c>
      <c r="GR19">
        <v>2.7243599999999999</v>
      </c>
      <c r="GS19">
        <v>8.6331199999999997E-2</v>
      </c>
      <c r="GT19">
        <v>9.1594099999999998E-2</v>
      </c>
      <c r="GU19">
        <v>0.107655</v>
      </c>
      <c r="GV19">
        <v>9.3900499999999998E-2</v>
      </c>
      <c r="GW19">
        <v>23007.200000000001</v>
      </c>
      <c r="GX19">
        <v>30489.200000000001</v>
      </c>
      <c r="GY19">
        <v>27298.400000000001</v>
      </c>
      <c r="GZ19">
        <v>34488.5</v>
      </c>
      <c r="HA19">
        <v>35642</v>
      </c>
      <c r="HB19">
        <v>38924.9</v>
      </c>
      <c r="HC19">
        <v>40288.400000000001</v>
      </c>
      <c r="HD19">
        <v>43043.3</v>
      </c>
      <c r="HE19">
        <v>2.0053999999999998</v>
      </c>
      <c r="HF19">
        <v>1.8620000000000001</v>
      </c>
      <c r="HG19">
        <v>3.0398399999999998E-3</v>
      </c>
      <c r="HH19">
        <v>0</v>
      </c>
      <c r="HI19">
        <v>24.945699999999999</v>
      </c>
      <c r="HJ19">
        <v>999.9</v>
      </c>
      <c r="HK19">
        <v>76</v>
      </c>
      <c r="HL19">
        <v>29.6</v>
      </c>
      <c r="HM19">
        <v>32.502499999999998</v>
      </c>
      <c r="HN19">
        <v>60.610100000000003</v>
      </c>
      <c r="HO19">
        <v>5.03606</v>
      </c>
      <c r="HP19">
        <v>1</v>
      </c>
      <c r="HQ19">
        <v>0.233293</v>
      </c>
      <c r="HR19">
        <v>2.8807800000000001</v>
      </c>
      <c r="HS19">
        <v>20.251999999999999</v>
      </c>
      <c r="HT19">
        <v>5.2137000000000002</v>
      </c>
      <c r="HU19">
        <v>11.902100000000001</v>
      </c>
      <c r="HV19">
        <v>4.9855999999999998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1.8669100000000001</v>
      </c>
      <c r="IC19">
        <v>1.86246</v>
      </c>
      <c r="ID19">
        <v>1.86188</v>
      </c>
      <c r="IE19">
        <v>1.8613900000000001</v>
      </c>
      <c r="IF19">
        <v>1.8614200000000001</v>
      </c>
      <c r="IG19">
        <v>1.8621799999999999</v>
      </c>
      <c r="IH19">
        <v>1.8629800000000001</v>
      </c>
      <c r="II19">
        <v>1.8609599999999999</v>
      </c>
      <c r="IJ19">
        <v>0</v>
      </c>
      <c r="IK19">
        <v>0</v>
      </c>
      <c r="IL19">
        <v>0</v>
      </c>
      <c r="IM19">
        <v>4.5</v>
      </c>
      <c r="IN19" t="s">
        <v>405</v>
      </c>
      <c r="IO19" t="s">
        <v>406</v>
      </c>
      <c r="IP19" t="s">
        <v>407</v>
      </c>
      <c r="IQ19" t="s">
        <v>408</v>
      </c>
      <c r="IR19" t="s">
        <v>408</v>
      </c>
      <c r="IS19" t="s">
        <v>407</v>
      </c>
      <c r="IT19">
        <v>0</v>
      </c>
      <c r="IU19">
        <v>100</v>
      </c>
      <c r="IV19">
        <v>100</v>
      </c>
      <c r="IW19">
        <v>-12.978999999999999</v>
      </c>
      <c r="IX19">
        <v>-1.3602000000000001</v>
      </c>
      <c r="IY19">
        <v>-11.120286784817861</v>
      </c>
      <c r="IZ19">
        <v>-5.6215304933332991E-3</v>
      </c>
      <c r="JA19">
        <v>2.3979931213773931E-6</v>
      </c>
      <c r="JB19">
        <v>-3.6297174575716598E-10</v>
      </c>
      <c r="JC19">
        <v>-1.71364336358486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1.9</v>
      </c>
      <c r="JL19">
        <v>2.1</v>
      </c>
      <c r="JM19">
        <v>1.09741</v>
      </c>
      <c r="JN19">
        <v>2.4609399999999999</v>
      </c>
      <c r="JO19">
        <v>1.50024</v>
      </c>
      <c r="JP19">
        <v>2.2814899999999998</v>
      </c>
      <c r="JQ19">
        <v>1.4477500000000001</v>
      </c>
      <c r="JR19">
        <v>2.4670399999999999</v>
      </c>
      <c r="JS19">
        <v>34.6006</v>
      </c>
      <c r="JT19">
        <v>14.709899999999999</v>
      </c>
      <c r="JU19">
        <v>18</v>
      </c>
      <c r="JV19">
        <v>538.50900000000001</v>
      </c>
      <c r="JW19">
        <v>461.416</v>
      </c>
      <c r="JX19">
        <v>22.129300000000001</v>
      </c>
      <c r="JY19">
        <v>30.134</v>
      </c>
      <c r="JZ19">
        <v>30.0002</v>
      </c>
      <c r="KA19">
        <v>30.1569</v>
      </c>
      <c r="KB19">
        <v>30.1629</v>
      </c>
      <c r="KC19">
        <v>21.956800000000001</v>
      </c>
      <c r="KD19">
        <v>44.5777</v>
      </c>
      <c r="KE19">
        <v>0</v>
      </c>
      <c r="KF19">
        <v>22.126899999999999</v>
      </c>
      <c r="KG19">
        <v>420</v>
      </c>
      <c r="KH19">
        <v>18.480399999999999</v>
      </c>
      <c r="KI19">
        <v>100.715</v>
      </c>
      <c r="KJ19">
        <v>97.551599999999993</v>
      </c>
    </row>
    <row r="20" spans="1:296" x14ac:dyDescent="0.3">
      <c r="A20">
        <v>4</v>
      </c>
      <c r="B20">
        <v>1785251240</v>
      </c>
      <c r="C20">
        <v>568</v>
      </c>
      <c r="D20" t="s">
        <v>691</v>
      </c>
      <c r="E20" t="s">
        <v>692</v>
      </c>
      <c r="F20">
        <v>15</v>
      </c>
      <c r="H20">
        <v>1785251232.25</v>
      </c>
      <c r="I20">
        <f t="shared" si="0"/>
        <v>2.6368226321257758E-3</v>
      </c>
      <c r="J20">
        <f t="shared" si="1"/>
        <v>2.6368226321257757</v>
      </c>
      <c r="K20">
        <f t="shared" si="2"/>
        <v>36.296376932104337</v>
      </c>
      <c r="L20">
        <f t="shared" si="3"/>
        <v>375.26283333333328</v>
      </c>
      <c r="M20">
        <f t="shared" si="4"/>
        <v>112.94624329974107</v>
      </c>
      <c r="N20">
        <f t="shared" si="5"/>
        <v>11.001788593299757</v>
      </c>
      <c r="O20">
        <f t="shared" si="6"/>
        <v>36.553339346572841</v>
      </c>
      <c r="P20">
        <f t="shared" si="7"/>
        <v>0.23399007963213253</v>
      </c>
      <c r="Q20">
        <f t="shared" si="8"/>
        <v>2.8825569572256349</v>
      </c>
      <c r="R20">
        <f t="shared" si="9"/>
        <v>0.22392682954404988</v>
      </c>
      <c r="S20">
        <f t="shared" si="10"/>
        <v>0.14082234485669193</v>
      </c>
      <c r="T20">
        <f t="shared" si="11"/>
        <v>319.7762926905429</v>
      </c>
      <c r="U20">
        <f t="shared" si="12"/>
        <v>26.102114876788058</v>
      </c>
      <c r="V20">
        <f t="shared" si="13"/>
        <v>24.981080000000009</v>
      </c>
      <c r="W20">
        <f t="shared" si="14"/>
        <v>3.176092702500048</v>
      </c>
      <c r="X20">
        <f t="shared" si="15"/>
        <v>65.240900258320082</v>
      </c>
      <c r="Y20">
        <f t="shared" si="16"/>
        <v>2.0599130819807669</v>
      </c>
      <c r="Z20">
        <f t="shared" si="17"/>
        <v>3.1573952441253588</v>
      </c>
      <c r="AA20">
        <f t="shared" si="18"/>
        <v>1.1161796205192811</v>
      </c>
      <c r="AB20">
        <f t="shared" si="19"/>
        <v>-116.28387807674672</v>
      </c>
      <c r="AC20">
        <f t="shared" si="20"/>
        <v>-15.382446583606644</v>
      </c>
      <c r="AD20">
        <f t="shared" si="21"/>
        <v>-1.1279981667848711</v>
      </c>
      <c r="AE20">
        <f t="shared" si="22"/>
        <v>186.98196986340466</v>
      </c>
      <c r="AF20">
        <f t="shared" si="23"/>
        <v>36.296376932104337</v>
      </c>
      <c r="AG20">
        <f t="shared" si="24"/>
        <v>2.6368226321257757</v>
      </c>
      <c r="AH20">
        <f t="shared" si="25"/>
        <v>36.449915624923314</v>
      </c>
      <c r="AI20">
        <v>427.82735373828018</v>
      </c>
      <c r="AJ20">
        <v>383.30816363636342</v>
      </c>
      <c r="AK20">
        <v>-5.7360589792036553E-3</v>
      </c>
      <c r="AL20">
        <v>67.071586514506421</v>
      </c>
      <c r="AM20">
        <f t="shared" si="26"/>
        <v>2.6411563967273857</v>
      </c>
      <c r="AN20">
        <v>18.053451605907071</v>
      </c>
      <c r="AO20">
        <v>21.155075757575759</v>
      </c>
      <c r="AP20">
        <v>1.789021552589085E-4</v>
      </c>
      <c r="AQ20">
        <v>78.192394657120559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51839.626832109774</v>
      </c>
      <c r="AW20" t="s">
        <v>680</v>
      </c>
      <c r="AX20">
        <v>13244.2</v>
      </c>
      <c r="AY20">
        <v>599.9176470588236</v>
      </c>
      <c r="AZ20">
        <v>2276.13</v>
      </c>
      <c r="BA20">
        <f t="shared" si="30"/>
        <v>0.73643085102396455</v>
      </c>
      <c r="BB20">
        <v>-2.9242049494140931</v>
      </c>
      <c r="BC20" t="s">
        <v>693</v>
      </c>
      <c r="BD20">
        <v>13230.5</v>
      </c>
      <c r="BE20">
        <v>850.65858823529413</v>
      </c>
      <c r="BF20">
        <v>1064.45</v>
      </c>
      <c r="BG20">
        <f t="shared" si="31"/>
        <v>0.20084683335497755</v>
      </c>
      <c r="BH20">
        <v>0.5</v>
      </c>
      <c r="BI20">
        <f t="shared" si="32"/>
        <v>1680.2884998396596</v>
      </c>
      <c r="BJ20">
        <f t="shared" si="33"/>
        <v>36.296376932104337</v>
      </c>
      <c r="BK20">
        <f t="shared" si="34"/>
        <v>168.74031215779067</v>
      </c>
      <c r="BL20">
        <f t="shared" si="35"/>
        <v>2.3341576095569912E-2</v>
      </c>
      <c r="BM20">
        <f t="shared" si="36"/>
        <v>1.138315562027338</v>
      </c>
      <c r="BN20">
        <f t="shared" si="37"/>
        <v>461.46628706481783</v>
      </c>
      <c r="BO20" t="s">
        <v>402</v>
      </c>
      <c r="BP20">
        <v>0</v>
      </c>
      <c r="BQ20">
        <f t="shared" si="38"/>
        <v>461.46628706481783</v>
      </c>
      <c r="BR20">
        <f t="shared" si="39"/>
        <v>0.56647443556313792</v>
      </c>
      <c r="BS20">
        <f t="shared" si="40"/>
        <v>0.35455586474138723</v>
      </c>
      <c r="BT20">
        <f t="shared" si="41"/>
        <v>0.66771600234411033</v>
      </c>
      <c r="BU20">
        <f t="shared" si="42"/>
        <v>0.46022932614077416</v>
      </c>
      <c r="BV20">
        <f t="shared" si="43"/>
        <v>0.72286783823894274</v>
      </c>
      <c r="BW20">
        <f t="shared" si="44"/>
        <v>0.19233988902491075</v>
      </c>
      <c r="BX20">
        <f t="shared" si="45"/>
        <v>0.80766011097508927</v>
      </c>
      <c r="DG20">
        <f t="shared" si="46"/>
        <v>1999.9866666666669</v>
      </c>
      <c r="DH20">
        <f t="shared" si="47"/>
        <v>1680.2884998396596</v>
      </c>
      <c r="DI20">
        <f t="shared" si="48"/>
        <v>0.84014985091883587</v>
      </c>
      <c r="DJ20">
        <f t="shared" si="49"/>
        <v>0.15988921227335326</v>
      </c>
      <c r="DK20">
        <v>6</v>
      </c>
      <c r="DL20">
        <v>0.5</v>
      </c>
      <c r="DM20" t="s">
        <v>403</v>
      </c>
      <c r="DN20">
        <v>2</v>
      </c>
      <c r="DO20" t="b">
        <v>0</v>
      </c>
      <c r="DP20">
        <v>1785251232.25</v>
      </c>
      <c r="DQ20">
        <v>375.26283333333328</v>
      </c>
      <c r="DR20">
        <v>420.01143333333329</v>
      </c>
      <c r="DS20">
        <v>21.14742</v>
      </c>
      <c r="DT20">
        <v>18.049763333333331</v>
      </c>
      <c r="DU20">
        <v>388.26866666666672</v>
      </c>
      <c r="DV20">
        <v>22.504946666666669</v>
      </c>
      <c r="DW20">
        <v>499.93803333333341</v>
      </c>
      <c r="DX20">
        <v>97.358156666666687</v>
      </c>
      <c r="DY20">
        <v>4.9143230000000003E-2</v>
      </c>
      <c r="DZ20">
        <v>24.882096666666669</v>
      </c>
      <c r="EA20">
        <v>24.981080000000009</v>
      </c>
      <c r="EB20">
        <v>999.9000000000002</v>
      </c>
      <c r="EC20">
        <v>0</v>
      </c>
      <c r="ED20">
        <v>0</v>
      </c>
      <c r="EE20">
        <v>9998.6666666666661</v>
      </c>
      <c r="EF20">
        <v>0</v>
      </c>
      <c r="EG20">
        <v>106.8331666666667</v>
      </c>
      <c r="EH20">
        <v>-44.748530000000002</v>
      </c>
      <c r="EI20">
        <v>383.37020000000001</v>
      </c>
      <c r="EJ20">
        <v>427.73186666666658</v>
      </c>
      <c r="EK20">
        <v>3.0976613333333338</v>
      </c>
      <c r="EL20">
        <v>420.01143333333329</v>
      </c>
      <c r="EM20">
        <v>18.049763333333331</v>
      </c>
      <c r="EN20">
        <v>2.0588753333333329</v>
      </c>
      <c r="EO20">
        <v>1.7572916666666669</v>
      </c>
      <c r="EP20">
        <v>17.90452333333333</v>
      </c>
      <c r="EQ20">
        <v>15.411986666666669</v>
      </c>
      <c r="ER20">
        <v>1999.9866666666669</v>
      </c>
      <c r="ES20">
        <v>0.99499449999999967</v>
      </c>
      <c r="ET20">
        <v>5.0053433333333321E-3</v>
      </c>
      <c r="EU20">
        <v>0</v>
      </c>
      <c r="EV20">
        <v>850.64043333333336</v>
      </c>
      <c r="EW20">
        <v>5.0010700000000003</v>
      </c>
      <c r="EX20">
        <v>17964.14333333333</v>
      </c>
      <c r="EY20">
        <v>18241.48333333333</v>
      </c>
      <c r="EZ20">
        <v>38.491599999999998</v>
      </c>
      <c r="FA20">
        <v>39.5914</v>
      </c>
      <c r="FB20">
        <v>39.037199999999977</v>
      </c>
      <c r="FC20">
        <v>39.241599999999998</v>
      </c>
      <c r="FD20">
        <v>39.625</v>
      </c>
      <c r="FE20">
        <v>1984.9966666666669</v>
      </c>
      <c r="FF20">
        <v>9.990000000000002</v>
      </c>
      <c r="FG20">
        <v>0</v>
      </c>
      <c r="FH20">
        <v>204.20000004768369</v>
      </c>
      <c r="FI20">
        <v>0</v>
      </c>
      <c r="FJ20">
        <v>850.65858823529413</v>
      </c>
      <c r="FK20">
        <v>-0.5034314025626534</v>
      </c>
      <c r="FL20">
        <v>-9.7303921343879001</v>
      </c>
      <c r="FM20">
        <v>17965.099999999999</v>
      </c>
      <c r="FN20">
        <v>10</v>
      </c>
      <c r="FO20">
        <v>1785251111</v>
      </c>
      <c r="FP20" t="s">
        <v>694</v>
      </c>
      <c r="FQ20">
        <v>1785251111</v>
      </c>
      <c r="FR20">
        <v>1785251110</v>
      </c>
      <c r="FS20">
        <v>4</v>
      </c>
      <c r="FT20">
        <v>-4.2999999999999997E-2</v>
      </c>
      <c r="FU20">
        <v>5.0000000000000001E-3</v>
      </c>
      <c r="FV20">
        <v>-13.178000000000001</v>
      </c>
      <c r="FW20">
        <v>-1.425</v>
      </c>
      <c r="FX20">
        <v>420</v>
      </c>
      <c r="FY20">
        <v>18</v>
      </c>
      <c r="FZ20">
        <v>0.2</v>
      </c>
      <c r="GA20">
        <v>0.09</v>
      </c>
      <c r="GB20">
        <v>375.26464516129028</v>
      </c>
      <c r="GC20">
        <v>-0.5856774193544686</v>
      </c>
      <c r="GD20">
        <v>6.3881719525153133E-2</v>
      </c>
      <c r="GE20">
        <v>-1</v>
      </c>
      <c r="GF20">
        <v>850.55291176470587</v>
      </c>
      <c r="GG20">
        <v>1.192498085518793</v>
      </c>
      <c r="GH20">
        <v>0.25603129032659788</v>
      </c>
      <c r="GI20">
        <v>1</v>
      </c>
      <c r="GJ20">
        <v>3.0965263414634152</v>
      </c>
      <c r="GK20">
        <v>3.3446132404183301E-2</v>
      </c>
      <c r="GL20">
        <v>4.4665448839652459E-3</v>
      </c>
      <c r="GM20">
        <v>1</v>
      </c>
      <c r="GN20">
        <v>2</v>
      </c>
      <c r="GO20">
        <v>2</v>
      </c>
      <c r="GP20" t="s">
        <v>404</v>
      </c>
      <c r="GQ20">
        <v>3.1311499999999999</v>
      </c>
      <c r="GR20">
        <v>2.7257199999999999</v>
      </c>
      <c r="GS20">
        <v>8.5638800000000001E-2</v>
      </c>
      <c r="GT20">
        <v>9.1636499999999996E-2</v>
      </c>
      <c r="GU20">
        <v>0.10745200000000001</v>
      </c>
      <c r="GV20">
        <v>9.2097300000000007E-2</v>
      </c>
      <c r="GW20">
        <v>23025</v>
      </c>
      <c r="GX20">
        <v>30490</v>
      </c>
      <c r="GY20">
        <v>27298.799999999999</v>
      </c>
      <c r="GZ20">
        <v>34491.1</v>
      </c>
      <c r="HA20">
        <v>35651</v>
      </c>
      <c r="HB20">
        <v>39005.300000000003</v>
      </c>
      <c r="HC20">
        <v>40289.300000000003</v>
      </c>
      <c r="HD20">
        <v>43046.2</v>
      </c>
      <c r="HE20">
        <v>2.0059999999999998</v>
      </c>
      <c r="HF20">
        <v>1.8604000000000001</v>
      </c>
      <c r="HG20">
        <v>5.7816500000000002E-3</v>
      </c>
      <c r="HH20">
        <v>0</v>
      </c>
      <c r="HI20">
        <v>24.8995</v>
      </c>
      <c r="HJ20">
        <v>999.9</v>
      </c>
      <c r="HK20">
        <v>75.400000000000006</v>
      </c>
      <c r="HL20">
        <v>29.8</v>
      </c>
      <c r="HM20">
        <v>32.6173</v>
      </c>
      <c r="HN20">
        <v>60.870100000000001</v>
      </c>
      <c r="HO20">
        <v>5.1522399999999999</v>
      </c>
      <c r="HP20">
        <v>1</v>
      </c>
      <c r="HQ20">
        <v>0.23353699999999999</v>
      </c>
      <c r="HR20">
        <v>3.0745300000000002</v>
      </c>
      <c r="HS20">
        <v>20.2456</v>
      </c>
      <c r="HT20">
        <v>5.2100999999999997</v>
      </c>
      <c r="HU20">
        <v>11.9033</v>
      </c>
      <c r="HV20">
        <v>4.9859999999999998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1.8669100000000001</v>
      </c>
      <c r="IC20">
        <v>1.86246</v>
      </c>
      <c r="ID20">
        <v>1.86188</v>
      </c>
      <c r="IE20">
        <v>1.8613900000000001</v>
      </c>
      <c r="IF20">
        <v>1.8614200000000001</v>
      </c>
      <c r="IG20">
        <v>1.86215</v>
      </c>
      <c r="IH20">
        <v>1.8629800000000001</v>
      </c>
      <c r="II20">
        <v>1.8609599999999999</v>
      </c>
      <c r="IJ20">
        <v>0</v>
      </c>
      <c r="IK20">
        <v>0</v>
      </c>
      <c r="IL20">
        <v>0</v>
      </c>
      <c r="IM20">
        <v>4.5</v>
      </c>
      <c r="IN20" t="s">
        <v>405</v>
      </c>
      <c r="IO20" t="s">
        <v>406</v>
      </c>
      <c r="IP20" t="s">
        <v>407</v>
      </c>
      <c r="IQ20" t="s">
        <v>408</v>
      </c>
      <c r="IR20" t="s">
        <v>408</v>
      </c>
      <c r="IS20" t="s">
        <v>407</v>
      </c>
      <c r="IT20">
        <v>0</v>
      </c>
      <c r="IU20">
        <v>100</v>
      </c>
      <c r="IV20">
        <v>100</v>
      </c>
      <c r="IW20">
        <v>-13.005000000000001</v>
      </c>
      <c r="IX20">
        <v>-1.3572</v>
      </c>
      <c r="IY20">
        <v>-11.16334315743593</v>
      </c>
      <c r="IZ20">
        <v>-5.6215304933332991E-3</v>
      </c>
      <c r="JA20">
        <v>2.3979931213773931E-6</v>
      </c>
      <c r="JB20">
        <v>-3.6297174575716598E-10</v>
      </c>
      <c r="JC20">
        <v>-1.7089789966242781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2.1</v>
      </c>
      <c r="JL20">
        <v>2.2000000000000002</v>
      </c>
      <c r="JM20">
        <v>1.09863</v>
      </c>
      <c r="JN20">
        <v>2.4670399999999999</v>
      </c>
      <c r="JO20">
        <v>1.50024</v>
      </c>
      <c r="JP20">
        <v>2.2827099999999998</v>
      </c>
      <c r="JQ20">
        <v>1.4477500000000001</v>
      </c>
      <c r="JR20">
        <v>2.3999000000000001</v>
      </c>
      <c r="JS20">
        <v>34.737900000000003</v>
      </c>
      <c r="JT20">
        <v>14.639900000000001</v>
      </c>
      <c r="JU20">
        <v>18</v>
      </c>
      <c r="JV20">
        <v>538.67100000000005</v>
      </c>
      <c r="JW20">
        <v>460.17099999999999</v>
      </c>
      <c r="JX20">
        <v>21.849499999999999</v>
      </c>
      <c r="JY20">
        <v>30.134</v>
      </c>
      <c r="JZ20">
        <v>29.9999</v>
      </c>
      <c r="KA20">
        <v>30.1309</v>
      </c>
      <c r="KB20">
        <v>30.134499999999999</v>
      </c>
      <c r="KC20">
        <v>21.960100000000001</v>
      </c>
      <c r="KD20">
        <v>45.583799999999997</v>
      </c>
      <c r="KE20">
        <v>0</v>
      </c>
      <c r="KF20">
        <v>21.849</v>
      </c>
      <c r="KG20">
        <v>420</v>
      </c>
      <c r="KH20">
        <v>18.065000000000001</v>
      </c>
      <c r="KI20">
        <v>100.717</v>
      </c>
      <c r="KJ20">
        <v>97.558400000000006</v>
      </c>
    </row>
    <row r="21" spans="1:296" x14ac:dyDescent="0.3">
      <c r="A21">
        <v>5</v>
      </c>
      <c r="B21">
        <v>1785251421.5</v>
      </c>
      <c r="C21">
        <v>749.5</v>
      </c>
      <c r="D21" t="s">
        <v>695</v>
      </c>
      <c r="E21" t="s">
        <v>696</v>
      </c>
      <c r="F21">
        <v>15</v>
      </c>
      <c r="H21">
        <v>1785251413.5</v>
      </c>
      <c r="I21">
        <f t="shared" si="0"/>
        <v>2.7158565507448065E-3</v>
      </c>
      <c r="J21">
        <f t="shared" si="1"/>
        <v>2.7158565507448067</v>
      </c>
      <c r="K21">
        <f t="shared" si="2"/>
        <v>36.82617419315563</v>
      </c>
      <c r="L21">
        <f t="shared" si="3"/>
        <v>374.58983870967751</v>
      </c>
      <c r="M21">
        <f t="shared" si="4"/>
        <v>115.05413021825275</v>
      </c>
      <c r="N21">
        <f t="shared" si="5"/>
        <v>11.206959325284993</v>
      </c>
      <c r="O21">
        <f t="shared" si="6"/>
        <v>36.487287141460904</v>
      </c>
      <c r="P21">
        <f t="shared" si="7"/>
        <v>0.24025940510895208</v>
      </c>
      <c r="Q21">
        <f t="shared" si="8"/>
        <v>2.883628876569543</v>
      </c>
      <c r="R21">
        <f t="shared" si="9"/>
        <v>0.22966655742441033</v>
      </c>
      <c r="S21">
        <f t="shared" si="10"/>
        <v>0.14445440206031288</v>
      </c>
      <c r="T21">
        <f t="shared" si="11"/>
        <v>271.90765850034177</v>
      </c>
      <c r="U21">
        <f t="shared" si="12"/>
        <v>25.876723729019929</v>
      </c>
      <c r="V21">
        <f t="shared" si="13"/>
        <v>24.982535483870969</v>
      </c>
      <c r="W21">
        <f t="shared" si="14"/>
        <v>3.1763683564223597</v>
      </c>
      <c r="X21">
        <f t="shared" si="15"/>
        <v>64.778716145297864</v>
      </c>
      <c r="Y21">
        <f t="shared" si="16"/>
        <v>2.0554554682944999</v>
      </c>
      <c r="Z21">
        <f t="shared" si="17"/>
        <v>3.1730413793384518</v>
      </c>
      <c r="AA21">
        <f t="shared" si="18"/>
        <v>1.1209128881278598</v>
      </c>
      <c r="AB21">
        <f t="shared" si="19"/>
        <v>-119.76927388784597</v>
      </c>
      <c r="AC21">
        <f t="shared" si="20"/>
        <v>-2.7321227921459923</v>
      </c>
      <c r="AD21">
        <f t="shared" si="21"/>
        <v>-0.20035771464675681</v>
      </c>
      <c r="AE21">
        <f t="shared" si="22"/>
        <v>149.20590410570304</v>
      </c>
      <c r="AF21">
        <f t="shared" si="23"/>
        <v>36.82617419315563</v>
      </c>
      <c r="AG21">
        <f t="shared" si="24"/>
        <v>2.7158565507448067</v>
      </c>
      <c r="AH21">
        <f t="shared" si="25"/>
        <v>36.824618467650957</v>
      </c>
      <c r="AI21">
        <v>427.59369462695139</v>
      </c>
      <c r="AJ21">
        <v>382.6235212121212</v>
      </c>
      <c r="AK21">
        <v>-4.1720526805585851E-3</v>
      </c>
      <c r="AL21">
        <v>67.087264861718637</v>
      </c>
      <c r="AM21">
        <f t="shared" si="26"/>
        <v>2.7164774426243703</v>
      </c>
      <c r="AN21">
        <v>17.912546720451012</v>
      </c>
      <c r="AO21">
        <v>21.103354545454529</v>
      </c>
      <c r="AP21">
        <v>-1.037637155220326E-5</v>
      </c>
      <c r="AQ21">
        <v>78.235603222510534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51855.826616968174</v>
      </c>
      <c r="AW21" t="s">
        <v>680</v>
      </c>
      <c r="AX21">
        <v>13244.2</v>
      </c>
      <c r="AY21">
        <v>599.9176470588236</v>
      </c>
      <c r="AZ21">
        <v>2276.13</v>
      </c>
      <c r="BA21">
        <f t="shared" si="30"/>
        <v>0.73643085102396455</v>
      </c>
      <c r="BB21">
        <v>-2.9242049494140931</v>
      </c>
      <c r="BC21" t="s">
        <v>697</v>
      </c>
      <c r="BD21">
        <v>13239.1</v>
      </c>
      <c r="BE21">
        <v>852.7878823529411</v>
      </c>
      <c r="BF21">
        <v>1124.06</v>
      </c>
      <c r="BG21">
        <f t="shared" si="31"/>
        <v>0.24133241788432902</v>
      </c>
      <c r="BH21">
        <v>0.5</v>
      </c>
      <c r="BI21">
        <f t="shared" si="32"/>
        <v>1428.2988675499018</v>
      </c>
      <c r="BJ21">
        <f t="shared" si="33"/>
        <v>36.82617419315563</v>
      </c>
      <c r="BK21">
        <f t="shared" si="34"/>
        <v>172.34740958363341</v>
      </c>
      <c r="BL21">
        <f t="shared" si="35"/>
        <v>2.7830575270816647E-2</v>
      </c>
      <c r="BM21">
        <f t="shared" si="36"/>
        <v>1.0249185986513178</v>
      </c>
      <c r="BN21">
        <f t="shared" si="37"/>
        <v>472.32517713810188</v>
      </c>
      <c r="BO21" t="s">
        <v>402</v>
      </c>
      <c r="BP21">
        <v>0</v>
      </c>
      <c r="BQ21">
        <f t="shared" si="38"/>
        <v>472.32517713810188</v>
      </c>
      <c r="BR21">
        <f t="shared" si="39"/>
        <v>0.57980430124895299</v>
      </c>
      <c r="BS21">
        <f t="shared" si="40"/>
        <v>0.41623081678503643</v>
      </c>
      <c r="BT21">
        <f t="shared" si="41"/>
        <v>0.63868883451156189</v>
      </c>
      <c r="BU21">
        <f t="shared" si="42"/>
        <v>0.51755427914733554</v>
      </c>
      <c r="BV21">
        <f t="shared" si="43"/>
        <v>0.68730551828860664</v>
      </c>
      <c r="BW21">
        <f t="shared" si="44"/>
        <v>0.23053363953284267</v>
      </c>
      <c r="BX21">
        <f t="shared" si="45"/>
        <v>0.76946636046715733</v>
      </c>
      <c r="DG21">
        <f t="shared" si="46"/>
        <v>1699.992580645162</v>
      </c>
      <c r="DH21">
        <f t="shared" si="47"/>
        <v>1428.2988675499018</v>
      </c>
      <c r="DI21">
        <f t="shared" si="48"/>
        <v>0.84017947125854509</v>
      </c>
      <c r="DJ21">
        <f t="shared" si="49"/>
        <v>0.15994637952899207</v>
      </c>
      <c r="DK21">
        <v>6</v>
      </c>
      <c r="DL21">
        <v>0.5</v>
      </c>
      <c r="DM21" t="s">
        <v>403</v>
      </c>
      <c r="DN21">
        <v>2</v>
      </c>
      <c r="DO21" t="b">
        <v>0</v>
      </c>
      <c r="DP21">
        <v>1785251413.5</v>
      </c>
      <c r="DQ21">
        <v>374.58983870967751</v>
      </c>
      <c r="DR21">
        <v>419.99867741935481</v>
      </c>
      <c r="DS21">
        <v>21.10194516129032</v>
      </c>
      <c r="DT21">
        <v>17.91192580645161</v>
      </c>
      <c r="DU21">
        <v>387.51783870967728</v>
      </c>
      <c r="DV21">
        <v>22.45421935483871</v>
      </c>
      <c r="DW21">
        <v>500.03709677419363</v>
      </c>
      <c r="DX21">
        <v>97.356529032258067</v>
      </c>
      <c r="DY21">
        <v>4.9442435483870957E-2</v>
      </c>
      <c r="DZ21">
        <v>24.964961290322581</v>
      </c>
      <c r="EA21">
        <v>24.982535483870969</v>
      </c>
      <c r="EB21">
        <v>999.90000000000032</v>
      </c>
      <c r="EC21">
        <v>0</v>
      </c>
      <c r="ED21">
        <v>0</v>
      </c>
      <c r="EE21">
        <v>10005</v>
      </c>
      <c r="EF21">
        <v>0</v>
      </c>
      <c r="EG21">
        <v>110.551129032258</v>
      </c>
      <c r="EH21">
        <v>-45.408864516129043</v>
      </c>
      <c r="EI21">
        <v>382.66477419354828</v>
      </c>
      <c r="EJ21">
        <v>427.65890322580651</v>
      </c>
      <c r="EK21">
        <v>3.1900077419354842</v>
      </c>
      <c r="EL21">
        <v>419.99867741935481</v>
      </c>
      <c r="EM21">
        <v>17.91192580645161</v>
      </c>
      <c r="EN21">
        <v>2.0544109677419349</v>
      </c>
      <c r="EO21">
        <v>1.7438435483870971</v>
      </c>
      <c r="EP21">
        <v>17.870051612903229</v>
      </c>
      <c r="EQ21">
        <v>15.2923064516129</v>
      </c>
      <c r="ER21">
        <v>1699.992580645162</v>
      </c>
      <c r="ES21">
        <v>0.99400138709677432</v>
      </c>
      <c r="ET21">
        <v>5.9983993548387094E-3</v>
      </c>
      <c r="EU21">
        <v>0</v>
      </c>
      <c r="EV21">
        <v>852.6001612903226</v>
      </c>
      <c r="EW21">
        <v>5.0010700000000003</v>
      </c>
      <c r="EX21">
        <v>15367.961290322581</v>
      </c>
      <c r="EY21">
        <v>15492.45483870968</v>
      </c>
      <c r="EZ21">
        <v>38.186999999999983</v>
      </c>
      <c r="FA21">
        <v>39.561999999999983</v>
      </c>
      <c r="FB21">
        <v>38.945129032258052</v>
      </c>
      <c r="FC21">
        <v>39.186999999999983</v>
      </c>
      <c r="FD21">
        <v>39.48577419354838</v>
      </c>
      <c r="FE21">
        <v>1684.822580645161</v>
      </c>
      <c r="FF21">
        <v>10.17</v>
      </c>
      <c r="FG21">
        <v>0</v>
      </c>
      <c r="FH21">
        <v>180.69999980926511</v>
      </c>
      <c r="FI21">
        <v>0</v>
      </c>
      <c r="FJ21">
        <v>852.7878823529411</v>
      </c>
      <c r="FK21">
        <v>3.412745121159714</v>
      </c>
      <c r="FL21">
        <v>55.269607674488377</v>
      </c>
      <c r="FM21">
        <v>15370.71764705882</v>
      </c>
      <c r="FN21">
        <v>10</v>
      </c>
      <c r="FO21">
        <v>1785251291</v>
      </c>
      <c r="FP21" t="s">
        <v>698</v>
      </c>
      <c r="FQ21">
        <v>1785251290</v>
      </c>
      <c r="FR21">
        <v>1785251291</v>
      </c>
      <c r="FS21">
        <v>5</v>
      </c>
      <c r="FT21">
        <v>7.4999999999999997E-2</v>
      </c>
      <c r="FU21">
        <v>7.0000000000000001E-3</v>
      </c>
      <c r="FV21">
        <v>-13.103</v>
      </c>
      <c r="FW21">
        <v>-1.4279999999999999</v>
      </c>
      <c r="FX21">
        <v>420</v>
      </c>
      <c r="FY21">
        <v>18</v>
      </c>
      <c r="FZ21">
        <v>0.15</v>
      </c>
      <c r="GA21">
        <v>7.0000000000000007E-2</v>
      </c>
      <c r="GB21">
        <v>374.5898064516129</v>
      </c>
      <c r="GC21">
        <v>-0.36977419354799912</v>
      </c>
      <c r="GD21">
        <v>5.3477411182332277E-2</v>
      </c>
      <c r="GE21">
        <v>-1</v>
      </c>
      <c r="GF21">
        <v>852.46532352941165</v>
      </c>
      <c r="GG21">
        <v>3.228006115312164</v>
      </c>
      <c r="GH21">
        <v>0.3597699199887559</v>
      </c>
      <c r="GI21">
        <v>1</v>
      </c>
      <c r="GJ21">
        <v>3.1923900000000001</v>
      </c>
      <c r="GK21">
        <v>-3.7412613240418148E-2</v>
      </c>
      <c r="GL21">
        <v>5.2303858925862911E-3</v>
      </c>
      <c r="GM21">
        <v>1</v>
      </c>
      <c r="GN21">
        <v>2</v>
      </c>
      <c r="GO21">
        <v>2</v>
      </c>
      <c r="GP21" t="s">
        <v>404</v>
      </c>
      <c r="GQ21">
        <v>3.1311499999999999</v>
      </c>
      <c r="GR21">
        <v>2.7251599999999998</v>
      </c>
      <c r="GS21">
        <v>8.5539400000000002E-2</v>
      </c>
      <c r="GT21">
        <v>9.1670699999999994E-2</v>
      </c>
      <c r="GU21">
        <v>0.107243</v>
      </c>
      <c r="GV21">
        <v>9.1596800000000006E-2</v>
      </c>
      <c r="GW21">
        <v>23026.799999999999</v>
      </c>
      <c r="GX21">
        <v>30491.7</v>
      </c>
      <c r="GY21">
        <v>27297.8</v>
      </c>
      <c r="GZ21">
        <v>34494.1</v>
      </c>
      <c r="HA21">
        <v>35658.800000000003</v>
      </c>
      <c r="HB21">
        <v>39028.699999999997</v>
      </c>
      <c r="HC21">
        <v>40288.699999999997</v>
      </c>
      <c r="HD21">
        <v>43048.2</v>
      </c>
      <c r="HE21">
        <v>2.0059999999999998</v>
      </c>
      <c r="HF21">
        <v>1.8593999999999999</v>
      </c>
      <c r="HG21">
        <v>8.9406999999999996E-4</v>
      </c>
      <c r="HH21">
        <v>0</v>
      </c>
      <c r="HI21">
        <v>24.958300000000001</v>
      </c>
      <c r="HJ21">
        <v>999.9</v>
      </c>
      <c r="HK21">
        <v>74.900000000000006</v>
      </c>
      <c r="HL21">
        <v>30</v>
      </c>
      <c r="HM21">
        <v>32.775199999999998</v>
      </c>
      <c r="HN21">
        <v>60.650100000000002</v>
      </c>
      <c r="HO21">
        <v>5.0761200000000004</v>
      </c>
      <c r="HP21">
        <v>1</v>
      </c>
      <c r="HQ21">
        <v>0.23042699999999999</v>
      </c>
      <c r="HR21">
        <v>2.8225699999999998</v>
      </c>
      <c r="HS21">
        <v>20.252099999999999</v>
      </c>
      <c r="HT21">
        <v>5.2100999999999997</v>
      </c>
      <c r="HU21">
        <v>11.902100000000001</v>
      </c>
      <c r="HV21">
        <v>4.9847999999999999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1.8669100000000001</v>
      </c>
      <c r="IC21">
        <v>1.86249</v>
      </c>
      <c r="ID21">
        <v>1.86188</v>
      </c>
      <c r="IE21">
        <v>1.8613599999999999</v>
      </c>
      <c r="IF21">
        <v>1.8614200000000001</v>
      </c>
      <c r="IG21">
        <v>1.8621799999999999</v>
      </c>
      <c r="IH21">
        <v>1.86307</v>
      </c>
      <c r="II21">
        <v>1.8610199999999999</v>
      </c>
      <c r="IJ21">
        <v>0</v>
      </c>
      <c r="IK21">
        <v>0</v>
      </c>
      <c r="IL21">
        <v>0</v>
      </c>
      <c r="IM21">
        <v>4.5</v>
      </c>
      <c r="IN21" t="s">
        <v>405</v>
      </c>
      <c r="IO21" t="s">
        <v>406</v>
      </c>
      <c r="IP21" t="s">
        <v>407</v>
      </c>
      <c r="IQ21" t="s">
        <v>408</v>
      </c>
      <c r="IR21" t="s">
        <v>408</v>
      </c>
      <c r="IS21" t="s">
        <v>407</v>
      </c>
      <c r="IT21">
        <v>0</v>
      </c>
      <c r="IU21">
        <v>100</v>
      </c>
      <c r="IV21">
        <v>100</v>
      </c>
      <c r="IW21">
        <v>-12.928000000000001</v>
      </c>
      <c r="IX21">
        <v>-1.3523000000000001</v>
      </c>
      <c r="IY21">
        <v>-11.088481587727561</v>
      </c>
      <c r="IZ21">
        <v>-5.6215304933332991E-3</v>
      </c>
      <c r="JA21">
        <v>2.3979931213773931E-6</v>
      </c>
      <c r="JB21">
        <v>-3.6297174575716598E-10</v>
      </c>
      <c r="JC21">
        <v>-1.702392018166538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2.2000000000000002</v>
      </c>
      <c r="JL21">
        <v>2.2000000000000002</v>
      </c>
      <c r="JM21">
        <v>1.09741</v>
      </c>
      <c r="JN21">
        <v>2.4609399999999999</v>
      </c>
      <c r="JO21">
        <v>1.50024</v>
      </c>
      <c r="JP21">
        <v>2.2814899999999998</v>
      </c>
      <c r="JQ21">
        <v>1.4477500000000001</v>
      </c>
      <c r="JR21">
        <v>2.4572799999999999</v>
      </c>
      <c r="JS21">
        <v>34.829599999999999</v>
      </c>
      <c r="JT21">
        <v>14.6311</v>
      </c>
      <c r="JU21">
        <v>18</v>
      </c>
      <c r="JV21">
        <v>538.44500000000005</v>
      </c>
      <c r="JW21">
        <v>459.33199999999999</v>
      </c>
      <c r="JX21">
        <v>22.222799999999999</v>
      </c>
      <c r="JY21">
        <v>30.100200000000001</v>
      </c>
      <c r="JZ21">
        <v>29.9999</v>
      </c>
      <c r="KA21">
        <v>30.104900000000001</v>
      </c>
      <c r="KB21">
        <v>30.108599999999999</v>
      </c>
      <c r="KC21">
        <v>21.962</v>
      </c>
      <c r="KD21">
        <v>46.180500000000002</v>
      </c>
      <c r="KE21">
        <v>0</v>
      </c>
      <c r="KF21">
        <v>22.220700000000001</v>
      </c>
      <c r="KG21">
        <v>420</v>
      </c>
      <c r="KH21">
        <v>17.949300000000001</v>
      </c>
      <c r="KI21">
        <v>100.714</v>
      </c>
      <c r="KJ21">
        <v>97.564700000000002</v>
      </c>
    </row>
    <row r="22" spans="1:296" x14ac:dyDescent="0.3">
      <c r="A22">
        <v>6</v>
      </c>
      <c r="B22">
        <v>1785251603</v>
      </c>
      <c r="C22">
        <v>931</v>
      </c>
      <c r="D22" t="s">
        <v>699</v>
      </c>
      <c r="E22" t="s">
        <v>700</v>
      </c>
      <c r="F22">
        <v>15</v>
      </c>
      <c r="H22">
        <v>1785251595.25</v>
      </c>
      <c r="I22">
        <f t="shared" si="0"/>
        <v>2.6821352736628146E-3</v>
      </c>
      <c r="J22">
        <f t="shared" si="1"/>
        <v>2.6821352736628148</v>
      </c>
      <c r="K22">
        <f t="shared" si="2"/>
        <v>37.169023407805525</v>
      </c>
      <c r="L22">
        <f t="shared" si="3"/>
        <v>374.20640000000009</v>
      </c>
      <c r="M22">
        <f t="shared" si="4"/>
        <v>111.01273791888448</v>
      </c>
      <c r="N22">
        <f t="shared" si="5"/>
        <v>10.813246341775478</v>
      </c>
      <c r="O22">
        <f t="shared" si="6"/>
        <v>36.449744972740092</v>
      </c>
      <c r="P22">
        <f t="shared" si="7"/>
        <v>0.23895483043071603</v>
      </c>
      <c r="Q22">
        <f t="shared" si="8"/>
        <v>2.8814255783720677</v>
      </c>
      <c r="R22">
        <f t="shared" si="9"/>
        <v>0.22846637257345104</v>
      </c>
      <c r="S22">
        <f t="shared" si="10"/>
        <v>0.14369546284432877</v>
      </c>
      <c r="T22">
        <f t="shared" si="11"/>
        <v>255.910388289411</v>
      </c>
      <c r="U22">
        <f t="shared" si="12"/>
        <v>25.844586718894842</v>
      </c>
      <c r="V22">
        <f t="shared" si="13"/>
        <v>25.011520000000001</v>
      </c>
      <c r="W22">
        <f t="shared" si="14"/>
        <v>3.1818620859431768</v>
      </c>
      <c r="X22">
        <f t="shared" si="15"/>
        <v>65.000305602512839</v>
      </c>
      <c r="Y22">
        <f t="shared" si="16"/>
        <v>2.0691704617869213</v>
      </c>
      <c r="Z22">
        <f t="shared" si="17"/>
        <v>3.1833242053356274</v>
      </c>
      <c r="AA22">
        <f t="shared" si="18"/>
        <v>1.1126916241562554</v>
      </c>
      <c r="AB22">
        <f t="shared" si="19"/>
        <v>-118.28216556853012</v>
      </c>
      <c r="AC22">
        <f t="shared" si="20"/>
        <v>1.1971799242871921</v>
      </c>
      <c r="AD22">
        <f t="shared" si="21"/>
        <v>8.7898047966126977E-2</v>
      </c>
      <c r="AE22">
        <f t="shared" si="22"/>
        <v>138.9133006931342</v>
      </c>
      <c r="AF22">
        <f t="shared" si="23"/>
        <v>37.169023407805525</v>
      </c>
      <c r="AG22">
        <f t="shared" si="24"/>
        <v>2.6821352736628148</v>
      </c>
      <c r="AH22">
        <f t="shared" si="25"/>
        <v>37.286663524952743</v>
      </c>
      <c r="AI22">
        <v>427.87901697528929</v>
      </c>
      <c r="AJ22">
        <v>382.32122424242408</v>
      </c>
      <c r="AK22">
        <v>-2.6501497577000699E-3</v>
      </c>
      <c r="AL22">
        <v>67.070996544265853</v>
      </c>
      <c r="AM22">
        <f t="shared" si="26"/>
        <v>2.6856807174729918</v>
      </c>
      <c r="AN22">
        <v>18.09615300511998</v>
      </c>
      <c r="AO22">
        <v>21.25080121212121</v>
      </c>
      <c r="AP22">
        <v>-1.454706789315453E-5</v>
      </c>
      <c r="AQ22">
        <v>78.188112844558944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51783.398122739905</v>
      </c>
      <c r="AW22" t="s">
        <v>680</v>
      </c>
      <c r="AX22">
        <v>13244.2</v>
      </c>
      <c r="AY22">
        <v>599.9176470588236</v>
      </c>
      <c r="AZ22">
        <v>2276.13</v>
      </c>
      <c r="BA22">
        <f t="shared" si="30"/>
        <v>0.73643085102396455</v>
      </c>
      <c r="BB22">
        <v>-2.9242049494140931</v>
      </c>
      <c r="BC22" t="s">
        <v>701</v>
      </c>
      <c r="BD22">
        <v>13226.8</v>
      </c>
      <c r="BE22">
        <v>856.3445294117646</v>
      </c>
      <c r="BF22">
        <v>1154.3399999999999</v>
      </c>
      <c r="BG22">
        <f t="shared" si="31"/>
        <v>0.25815225201260927</v>
      </c>
      <c r="BH22">
        <v>0.5</v>
      </c>
      <c r="BI22">
        <f t="shared" si="32"/>
        <v>1344.2702816007309</v>
      </c>
      <c r="BJ22">
        <f t="shared" si="33"/>
        <v>37.169023407805525</v>
      </c>
      <c r="BK22">
        <f t="shared" si="34"/>
        <v>173.51320025442655</v>
      </c>
      <c r="BL22">
        <f t="shared" si="35"/>
        <v>2.982527316565935E-2</v>
      </c>
      <c r="BM22">
        <f t="shared" si="36"/>
        <v>0.97180206871459041</v>
      </c>
      <c r="BN22">
        <f t="shared" si="37"/>
        <v>477.58932818457799</v>
      </c>
      <c r="BO22" t="s">
        <v>402</v>
      </c>
      <c r="BP22">
        <v>0</v>
      </c>
      <c r="BQ22">
        <f t="shared" si="38"/>
        <v>477.58932818457799</v>
      </c>
      <c r="BR22">
        <f t="shared" si="39"/>
        <v>0.58626632691877778</v>
      </c>
      <c r="BS22">
        <f t="shared" si="40"/>
        <v>0.44033272961347142</v>
      </c>
      <c r="BT22">
        <f t="shared" si="41"/>
        <v>0.62372234199612553</v>
      </c>
      <c r="BU22">
        <f t="shared" si="42"/>
        <v>0.53748819651189705</v>
      </c>
      <c r="BV22">
        <f t="shared" si="43"/>
        <v>0.66924098133010679</v>
      </c>
      <c r="BW22">
        <f t="shared" si="44"/>
        <v>0.24557664034852436</v>
      </c>
      <c r="BX22">
        <f t="shared" si="45"/>
        <v>0.75442335965147567</v>
      </c>
      <c r="DG22">
        <f t="shared" si="46"/>
        <v>1599.980333333333</v>
      </c>
      <c r="DH22">
        <f t="shared" si="47"/>
        <v>1344.2702816007309</v>
      </c>
      <c r="DI22">
        <f t="shared" si="48"/>
        <v>0.84017925320377762</v>
      </c>
      <c r="DJ22">
        <f t="shared" si="49"/>
        <v>0.15994595868329073</v>
      </c>
      <c r="DK22">
        <v>6</v>
      </c>
      <c r="DL22">
        <v>0.5</v>
      </c>
      <c r="DM22" t="s">
        <v>403</v>
      </c>
      <c r="DN22">
        <v>2</v>
      </c>
      <c r="DO22" t="b">
        <v>0</v>
      </c>
      <c r="DP22">
        <v>1785251595.25</v>
      </c>
      <c r="DQ22">
        <v>374.20640000000009</v>
      </c>
      <c r="DR22">
        <v>420.01696666666669</v>
      </c>
      <c r="DS22">
        <v>21.24286</v>
      </c>
      <c r="DT22">
        <v>18.09244</v>
      </c>
      <c r="DU22">
        <v>387.16473333333317</v>
      </c>
      <c r="DV22">
        <v>22.589520000000011</v>
      </c>
      <c r="DW22">
        <v>499.96363333333341</v>
      </c>
      <c r="DX22">
        <v>97.356479999999991</v>
      </c>
      <c r="DY22">
        <v>4.8975846666666663E-2</v>
      </c>
      <c r="DZ22">
        <v>25.019226666666668</v>
      </c>
      <c r="EA22">
        <v>25.011520000000001</v>
      </c>
      <c r="EB22">
        <v>999.9000000000002</v>
      </c>
      <c r="EC22">
        <v>0</v>
      </c>
      <c r="ED22">
        <v>0</v>
      </c>
      <c r="EE22">
        <v>9992.3333333333339</v>
      </c>
      <c r="EF22">
        <v>0</v>
      </c>
      <c r="EG22">
        <v>114.71</v>
      </c>
      <c r="EH22">
        <v>-45.810396666666669</v>
      </c>
      <c r="EI22">
        <v>382.32823333333329</v>
      </c>
      <c r="EJ22">
        <v>427.75603333333339</v>
      </c>
      <c r="EK22">
        <v>3.1504129999999999</v>
      </c>
      <c r="EL22">
        <v>420.01696666666669</v>
      </c>
      <c r="EM22">
        <v>18.09244</v>
      </c>
      <c r="EN22">
        <v>2.06813</v>
      </c>
      <c r="EO22">
        <v>1.761416666666666</v>
      </c>
      <c r="EP22">
        <v>17.97581666666667</v>
      </c>
      <c r="EQ22">
        <v>15.448536666666669</v>
      </c>
      <c r="ER22">
        <v>1599.980333333333</v>
      </c>
      <c r="ES22">
        <v>0.99400353333333336</v>
      </c>
      <c r="ET22">
        <v>5.9965569999999996E-3</v>
      </c>
      <c r="EU22">
        <v>0</v>
      </c>
      <c r="EV22">
        <v>856.26189999999997</v>
      </c>
      <c r="EW22">
        <v>5.0010700000000003</v>
      </c>
      <c r="EX22">
        <v>14553.823333333339</v>
      </c>
      <c r="EY22">
        <v>14578.34</v>
      </c>
      <c r="EZ22">
        <v>37.983199999999997</v>
      </c>
      <c r="FA22">
        <v>39.522733333333328</v>
      </c>
      <c r="FB22">
        <v>38.82459999999999</v>
      </c>
      <c r="FC22">
        <v>39.147733333333328</v>
      </c>
      <c r="FD22">
        <v>39.341399999999993</v>
      </c>
      <c r="FE22">
        <v>1585.410333333333</v>
      </c>
      <c r="FF22">
        <v>9.56</v>
      </c>
      <c r="FG22">
        <v>0</v>
      </c>
      <c r="FH22">
        <v>180.89999985694891</v>
      </c>
      <c r="FI22">
        <v>0</v>
      </c>
      <c r="FJ22">
        <v>856.3445294117646</v>
      </c>
      <c r="FK22">
        <v>-2.7090686060380929</v>
      </c>
      <c r="FL22">
        <v>-14.387254925354471</v>
      </c>
      <c r="FM22">
        <v>14555.11764705882</v>
      </c>
      <c r="FN22">
        <v>10</v>
      </c>
      <c r="FO22">
        <v>1785251483</v>
      </c>
      <c r="FP22" t="s">
        <v>702</v>
      </c>
      <c r="FQ22">
        <v>1785251480.5</v>
      </c>
      <c r="FR22">
        <v>1785251483</v>
      </c>
      <c r="FS22">
        <v>6</v>
      </c>
      <c r="FT22">
        <v>-3.2000000000000001E-2</v>
      </c>
      <c r="FU22">
        <v>2E-3</v>
      </c>
      <c r="FV22">
        <v>-13.135</v>
      </c>
      <c r="FW22">
        <v>-1.425</v>
      </c>
      <c r="FX22">
        <v>420</v>
      </c>
      <c r="FY22">
        <v>18</v>
      </c>
      <c r="FZ22">
        <v>0.21</v>
      </c>
      <c r="GA22">
        <v>0.11</v>
      </c>
      <c r="GB22">
        <v>374.21016666666668</v>
      </c>
      <c r="GC22">
        <v>2.533481646238029E-2</v>
      </c>
      <c r="GD22">
        <v>5.4526497126526012E-2</v>
      </c>
      <c r="GE22">
        <v>-1</v>
      </c>
      <c r="GF22">
        <v>856.14761764705884</v>
      </c>
      <c r="GG22">
        <v>1.5403666949692689</v>
      </c>
      <c r="GH22">
        <v>0.28181481348634518</v>
      </c>
      <c r="GI22">
        <v>1</v>
      </c>
      <c r="GJ22">
        <v>3.1487652499999998</v>
      </c>
      <c r="GK22">
        <v>2.2917185741080339E-2</v>
      </c>
      <c r="GL22">
        <v>4.1695988940784216E-3</v>
      </c>
      <c r="GM22">
        <v>1</v>
      </c>
      <c r="GN22">
        <v>2</v>
      </c>
      <c r="GO22">
        <v>2</v>
      </c>
      <c r="GP22" t="s">
        <v>404</v>
      </c>
      <c r="GQ22">
        <v>3.13117</v>
      </c>
      <c r="GR22">
        <v>2.72526</v>
      </c>
      <c r="GS22">
        <v>8.5475200000000001E-2</v>
      </c>
      <c r="GT22">
        <v>9.1632599999999995E-2</v>
      </c>
      <c r="GU22">
        <v>0.107722</v>
      </c>
      <c r="GV22">
        <v>9.2282199999999995E-2</v>
      </c>
      <c r="GW22">
        <v>23027.3</v>
      </c>
      <c r="GX22">
        <v>30489.7</v>
      </c>
      <c r="GY22">
        <v>27296.400000000001</v>
      </c>
      <c r="GZ22">
        <v>34490.199999999997</v>
      </c>
      <c r="HA22">
        <v>35638.400000000001</v>
      </c>
      <c r="HB22">
        <v>38995.9</v>
      </c>
      <c r="HC22">
        <v>40287.599999999999</v>
      </c>
      <c r="HD22">
        <v>43044.6</v>
      </c>
      <c r="HE22">
        <v>2.0064000000000002</v>
      </c>
      <c r="HF22">
        <v>1.8582000000000001</v>
      </c>
      <c r="HG22">
        <v>1.2516999999999999E-3</v>
      </c>
      <c r="HH22">
        <v>0</v>
      </c>
      <c r="HI22">
        <v>24.991900000000001</v>
      </c>
      <c r="HJ22">
        <v>999.9</v>
      </c>
      <c r="HK22">
        <v>74.5</v>
      </c>
      <c r="HL22">
        <v>30.2</v>
      </c>
      <c r="HM22">
        <v>32.977200000000003</v>
      </c>
      <c r="HN22">
        <v>60.5702</v>
      </c>
      <c r="HO22">
        <v>5.2604100000000003</v>
      </c>
      <c r="HP22">
        <v>1</v>
      </c>
      <c r="HQ22">
        <v>0.23008100000000001</v>
      </c>
      <c r="HR22">
        <v>2.8726600000000002</v>
      </c>
      <c r="HS22">
        <v>20.251799999999999</v>
      </c>
      <c r="HT22">
        <v>5.2112999999999996</v>
      </c>
      <c r="HU22">
        <v>11.902100000000001</v>
      </c>
      <c r="HV22">
        <v>4.9859999999999998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1.8669100000000001</v>
      </c>
      <c r="IC22">
        <v>1.86246</v>
      </c>
      <c r="ID22">
        <v>1.86188</v>
      </c>
      <c r="IE22">
        <v>1.8613299999999999</v>
      </c>
      <c r="IF22">
        <v>1.8614200000000001</v>
      </c>
      <c r="IG22">
        <v>1.8621799999999999</v>
      </c>
      <c r="IH22">
        <v>1.86304</v>
      </c>
      <c r="II22">
        <v>1.8609599999999999</v>
      </c>
      <c r="IJ22">
        <v>0</v>
      </c>
      <c r="IK22">
        <v>0</v>
      </c>
      <c r="IL22">
        <v>0</v>
      </c>
      <c r="IM22">
        <v>4.5</v>
      </c>
      <c r="IN22" t="s">
        <v>405</v>
      </c>
      <c r="IO22" t="s">
        <v>406</v>
      </c>
      <c r="IP22" t="s">
        <v>407</v>
      </c>
      <c r="IQ22" t="s">
        <v>408</v>
      </c>
      <c r="IR22" t="s">
        <v>408</v>
      </c>
      <c r="IS22" t="s">
        <v>407</v>
      </c>
      <c r="IT22">
        <v>0</v>
      </c>
      <c r="IU22">
        <v>100</v>
      </c>
      <c r="IV22">
        <v>100</v>
      </c>
      <c r="IW22">
        <v>-12.958</v>
      </c>
      <c r="IX22">
        <v>-1.3466</v>
      </c>
      <c r="IY22">
        <v>-11.12018186305289</v>
      </c>
      <c r="IZ22">
        <v>-5.6215304933332991E-3</v>
      </c>
      <c r="JA22">
        <v>2.3979931213773931E-6</v>
      </c>
      <c r="JB22">
        <v>-3.6297174575716598E-10</v>
      </c>
      <c r="JC22">
        <v>-1.7003937845520041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</v>
      </c>
      <c r="JL22">
        <v>2</v>
      </c>
      <c r="JM22">
        <v>1.09863</v>
      </c>
      <c r="JN22">
        <v>2.4645999999999999</v>
      </c>
      <c r="JO22">
        <v>1.50024</v>
      </c>
      <c r="JP22">
        <v>2.2814899999999998</v>
      </c>
      <c r="JQ22">
        <v>1.4477500000000001</v>
      </c>
      <c r="JR22">
        <v>2.4584999999999999</v>
      </c>
      <c r="JS22">
        <v>34.967399999999998</v>
      </c>
      <c r="JT22">
        <v>14.587300000000001</v>
      </c>
      <c r="JU22">
        <v>18</v>
      </c>
      <c r="JV22">
        <v>538.62400000000002</v>
      </c>
      <c r="JW22">
        <v>458.50700000000001</v>
      </c>
      <c r="JX22">
        <v>22.315999999999999</v>
      </c>
      <c r="JY22">
        <v>30.0898</v>
      </c>
      <c r="JZ22">
        <v>30.0001</v>
      </c>
      <c r="KA22">
        <v>30.095099999999999</v>
      </c>
      <c r="KB22">
        <v>30.100899999999999</v>
      </c>
      <c r="KC22">
        <v>21.966000000000001</v>
      </c>
      <c r="KD22">
        <v>45.805999999999997</v>
      </c>
      <c r="KE22">
        <v>0</v>
      </c>
      <c r="KF22">
        <v>22.315000000000001</v>
      </c>
      <c r="KG22">
        <v>420</v>
      </c>
      <c r="KH22">
        <v>18.023099999999999</v>
      </c>
      <c r="KI22">
        <v>100.711</v>
      </c>
      <c r="KJ22">
        <v>97.555300000000003</v>
      </c>
    </row>
    <row r="23" spans="1:296" x14ac:dyDescent="0.3">
      <c r="A23">
        <v>7</v>
      </c>
      <c r="B23">
        <v>1785251784.5</v>
      </c>
      <c r="C23">
        <v>1112.5</v>
      </c>
      <c r="D23" t="s">
        <v>703</v>
      </c>
      <c r="E23" t="s">
        <v>704</v>
      </c>
      <c r="F23">
        <v>15</v>
      </c>
      <c r="H23">
        <v>1785251776.75</v>
      </c>
      <c r="I23">
        <f t="shared" si="0"/>
        <v>2.6337245540047649E-3</v>
      </c>
      <c r="J23">
        <f t="shared" si="1"/>
        <v>2.6337245540047647</v>
      </c>
      <c r="K23">
        <f t="shared" si="2"/>
        <v>36.599243995300178</v>
      </c>
      <c r="L23">
        <f t="shared" si="3"/>
        <v>374.89593333333329</v>
      </c>
      <c r="M23">
        <f t="shared" si="4"/>
        <v>111.77798453393463</v>
      </c>
      <c r="N23">
        <f t="shared" si="5"/>
        <v>10.888057372638302</v>
      </c>
      <c r="O23">
        <f t="shared" si="6"/>
        <v>36.517820999562737</v>
      </c>
      <c r="P23">
        <f t="shared" si="7"/>
        <v>0.23522230925347923</v>
      </c>
      <c r="Q23">
        <f t="shared" si="8"/>
        <v>2.8812292245058675</v>
      </c>
      <c r="R23">
        <f t="shared" si="9"/>
        <v>0.22505079872279074</v>
      </c>
      <c r="S23">
        <f t="shared" si="10"/>
        <v>0.1415339648582182</v>
      </c>
      <c r="T23">
        <f t="shared" si="11"/>
        <v>224.0045059672108</v>
      </c>
      <c r="U23">
        <f t="shared" si="12"/>
        <v>25.696970071889467</v>
      </c>
      <c r="V23">
        <f t="shared" si="13"/>
        <v>25.004049999999999</v>
      </c>
      <c r="W23">
        <f t="shared" si="14"/>
        <v>3.1804454274079879</v>
      </c>
      <c r="X23">
        <f t="shared" si="15"/>
        <v>64.945306718591098</v>
      </c>
      <c r="Y23">
        <f t="shared" si="16"/>
        <v>2.0712300240537211</v>
      </c>
      <c r="Z23">
        <f t="shared" si="17"/>
        <v>3.1891912267477451</v>
      </c>
      <c r="AA23">
        <f t="shared" si="18"/>
        <v>1.1092154033542667</v>
      </c>
      <c r="AB23">
        <f t="shared" si="19"/>
        <v>-116.14725283161013</v>
      </c>
      <c r="AC23">
        <f t="shared" si="20"/>
        <v>7.1561834758684277</v>
      </c>
      <c r="AD23">
        <f t="shared" si="21"/>
        <v>0.52551131444944277</v>
      </c>
      <c r="AE23">
        <f t="shared" si="22"/>
        <v>115.53894792591854</v>
      </c>
      <c r="AF23">
        <f t="shared" si="23"/>
        <v>36.599243995300178</v>
      </c>
      <c r="AG23">
        <f t="shared" si="24"/>
        <v>2.6337245540047647</v>
      </c>
      <c r="AH23">
        <f t="shared" si="25"/>
        <v>36.586701859309152</v>
      </c>
      <c r="AI23">
        <v>427.75829352844858</v>
      </c>
      <c r="AJ23">
        <v>383.03416969696951</v>
      </c>
      <c r="AK23">
        <v>9.8215888832949212E-4</v>
      </c>
      <c r="AL23">
        <v>67.075431993612682</v>
      </c>
      <c r="AM23">
        <f t="shared" si="26"/>
        <v>2.6241950461484747</v>
      </c>
      <c r="AN23">
        <v>18.171275550648971</v>
      </c>
      <c r="AO23">
        <v>21.253687878787879</v>
      </c>
      <c r="AP23">
        <v>-2.2960228230230041E-5</v>
      </c>
      <c r="AQ23">
        <v>78.205409385694466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51772.462646918902</v>
      </c>
      <c r="AW23" t="s">
        <v>680</v>
      </c>
      <c r="AX23">
        <v>13244.2</v>
      </c>
      <c r="AY23">
        <v>599.9176470588236</v>
      </c>
      <c r="AZ23">
        <v>2276.13</v>
      </c>
      <c r="BA23">
        <f t="shared" si="30"/>
        <v>0.73643085102396455</v>
      </c>
      <c r="BB23">
        <v>-2.9242049494140931</v>
      </c>
      <c r="BC23" t="s">
        <v>705</v>
      </c>
      <c r="BD23">
        <v>13240.8</v>
      </c>
      <c r="BE23">
        <v>856.13176470588246</v>
      </c>
      <c r="BF23">
        <v>1208.04</v>
      </c>
      <c r="BG23">
        <f t="shared" si="31"/>
        <v>0.29130511845147311</v>
      </c>
      <c r="BH23">
        <v>0.5</v>
      </c>
      <c r="BI23">
        <f t="shared" si="32"/>
        <v>1176.2841597757561</v>
      </c>
      <c r="BJ23">
        <f t="shared" si="33"/>
        <v>36.599243995300178</v>
      </c>
      <c r="BK23">
        <f t="shared" si="34"/>
        <v>171.32879824803408</v>
      </c>
      <c r="BL23">
        <f t="shared" si="35"/>
        <v>3.3600256040384767E-2</v>
      </c>
      <c r="BM23">
        <f t="shared" si="36"/>
        <v>0.88415118704678664</v>
      </c>
      <c r="BN23">
        <f t="shared" si="37"/>
        <v>486.53741277970568</v>
      </c>
      <c r="BO23" t="s">
        <v>402</v>
      </c>
      <c r="BP23">
        <v>0</v>
      </c>
      <c r="BQ23">
        <f t="shared" si="38"/>
        <v>486.53741277970568</v>
      </c>
      <c r="BR23">
        <f t="shared" si="39"/>
        <v>0.59725057715000696</v>
      </c>
      <c r="BS23">
        <f t="shared" si="40"/>
        <v>0.48774355286777421</v>
      </c>
      <c r="BT23">
        <f t="shared" si="41"/>
        <v>0.5968341664060105</v>
      </c>
      <c r="BU23">
        <f t="shared" si="42"/>
        <v>0.57867998699952006</v>
      </c>
      <c r="BV23">
        <f t="shared" si="43"/>
        <v>0.63720446763554117</v>
      </c>
      <c r="BW23">
        <f t="shared" si="44"/>
        <v>0.27718336837296648</v>
      </c>
      <c r="BX23">
        <f t="shared" si="45"/>
        <v>0.72281663162703347</v>
      </c>
      <c r="DG23">
        <f t="shared" si="46"/>
        <v>1399.9889999999989</v>
      </c>
      <c r="DH23">
        <f t="shared" si="47"/>
        <v>1176.2841597757561</v>
      </c>
      <c r="DI23">
        <f t="shared" si="48"/>
        <v>0.84020957291504217</v>
      </c>
      <c r="DJ23">
        <f t="shared" si="49"/>
        <v>0.16000447572603141</v>
      </c>
      <c r="DK23">
        <v>6</v>
      </c>
      <c r="DL23">
        <v>0.5</v>
      </c>
      <c r="DM23" t="s">
        <v>403</v>
      </c>
      <c r="DN23">
        <v>2</v>
      </c>
      <c r="DO23" t="b">
        <v>0</v>
      </c>
      <c r="DP23">
        <v>1785251776.75</v>
      </c>
      <c r="DQ23">
        <v>374.89593333333329</v>
      </c>
      <c r="DR23">
        <v>420.00229999999999</v>
      </c>
      <c r="DS23">
        <v>21.26347333333333</v>
      </c>
      <c r="DT23">
        <v>18.17003999999999</v>
      </c>
      <c r="DU23">
        <v>387.88826666666671</v>
      </c>
      <c r="DV23">
        <v>22.61112666666666</v>
      </c>
      <c r="DW23">
        <v>499.97309999999999</v>
      </c>
      <c r="DX23">
        <v>97.35847333333335</v>
      </c>
      <c r="DY23">
        <v>4.9414436666666672E-2</v>
      </c>
      <c r="DZ23">
        <v>25.05012</v>
      </c>
      <c r="EA23">
        <v>25.004049999999999</v>
      </c>
      <c r="EB23">
        <v>999.9000000000002</v>
      </c>
      <c r="EC23">
        <v>0</v>
      </c>
      <c r="ED23">
        <v>0</v>
      </c>
      <c r="EE23">
        <v>9991</v>
      </c>
      <c r="EF23">
        <v>0</v>
      </c>
      <c r="EG23">
        <v>119.79236666666669</v>
      </c>
      <c r="EH23">
        <v>-45.106189999999998</v>
      </c>
      <c r="EI23">
        <v>383.04079999999999</v>
      </c>
      <c r="EJ23">
        <v>427.7748666666667</v>
      </c>
      <c r="EK23">
        <v>3.0934383333333328</v>
      </c>
      <c r="EL23">
        <v>420.00229999999999</v>
      </c>
      <c r="EM23">
        <v>18.17003999999999</v>
      </c>
      <c r="EN23">
        <v>2.0701800000000001</v>
      </c>
      <c r="EO23">
        <v>1.7690083333333331</v>
      </c>
      <c r="EP23">
        <v>17.991566666666671</v>
      </c>
      <c r="EQ23">
        <v>15.51559666666666</v>
      </c>
      <c r="ER23">
        <v>1399.9889999999989</v>
      </c>
      <c r="ES23">
        <v>0.99298856666666702</v>
      </c>
      <c r="ET23">
        <v>7.0113210000000009E-3</v>
      </c>
      <c r="EU23">
        <v>0</v>
      </c>
      <c r="EV23">
        <v>856.10236666666663</v>
      </c>
      <c r="EW23">
        <v>5.0010700000000003</v>
      </c>
      <c r="EX23">
        <v>12796.896666666669</v>
      </c>
      <c r="EY23">
        <v>12745.34</v>
      </c>
      <c r="EZ23">
        <v>37.625</v>
      </c>
      <c r="FA23">
        <v>39.436999999999983</v>
      </c>
      <c r="FB23">
        <v>38.6374</v>
      </c>
      <c r="FC23">
        <v>39.082999999999977</v>
      </c>
      <c r="FD23">
        <v>39.125</v>
      </c>
      <c r="FE23">
        <v>1385.2090000000001</v>
      </c>
      <c r="FF23">
        <v>9.7799999999999958</v>
      </c>
      <c r="FG23">
        <v>0</v>
      </c>
      <c r="FH23">
        <v>180.69999980926511</v>
      </c>
      <c r="FI23">
        <v>0</v>
      </c>
      <c r="FJ23">
        <v>856.13176470588246</v>
      </c>
      <c r="FK23">
        <v>3.955637282651844</v>
      </c>
      <c r="FL23">
        <v>21.544117650773462</v>
      </c>
      <c r="FM23">
        <v>12799.12941176471</v>
      </c>
      <c r="FN23">
        <v>10</v>
      </c>
      <c r="FO23">
        <v>1785251666.5</v>
      </c>
      <c r="FP23" t="s">
        <v>706</v>
      </c>
      <c r="FQ23">
        <v>1785251666.5</v>
      </c>
      <c r="FR23">
        <v>1785251661</v>
      </c>
      <c r="FS23">
        <v>7</v>
      </c>
      <c r="FT23">
        <v>-3.1E-2</v>
      </c>
      <c r="FU23">
        <v>-2E-3</v>
      </c>
      <c r="FV23">
        <v>-13.166</v>
      </c>
      <c r="FW23">
        <v>-1.427</v>
      </c>
      <c r="FX23">
        <v>420</v>
      </c>
      <c r="FY23">
        <v>18</v>
      </c>
      <c r="FZ23">
        <v>0.18</v>
      </c>
      <c r="GA23">
        <v>0.06</v>
      </c>
      <c r="GB23">
        <v>374.89977419354841</v>
      </c>
      <c r="GC23">
        <v>-0.15251612903207501</v>
      </c>
      <c r="GD23">
        <v>5.5763735283221517E-2</v>
      </c>
      <c r="GE23">
        <v>-1</v>
      </c>
      <c r="GF23">
        <v>855.9753823529411</v>
      </c>
      <c r="GG23">
        <v>1.9158288770488461</v>
      </c>
      <c r="GH23">
        <v>0.30829712699294998</v>
      </c>
      <c r="GI23">
        <v>1</v>
      </c>
      <c r="GJ23">
        <v>3.0980763414634138</v>
      </c>
      <c r="GK23">
        <v>-0.1017754703832694</v>
      </c>
      <c r="GL23">
        <v>1.1083418895809549E-2</v>
      </c>
      <c r="GM23">
        <v>1</v>
      </c>
      <c r="GN23">
        <v>2</v>
      </c>
      <c r="GO23">
        <v>2</v>
      </c>
      <c r="GP23" t="s">
        <v>404</v>
      </c>
      <c r="GQ23">
        <v>3.1303200000000002</v>
      </c>
      <c r="GR23">
        <v>2.7260200000000001</v>
      </c>
      <c r="GS23">
        <v>8.5620000000000002E-2</v>
      </c>
      <c r="GT23">
        <v>9.1668200000000005E-2</v>
      </c>
      <c r="GU23">
        <v>0.107742</v>
      </c>
      <c r="GV23">
        <v>9.2533699999999997E-2</v>
      </c>
      <c r="GW23">
        <v>23022.799999999999</v>
      </c>
      <c r="GX23">
        <v>30491.7</v>
      </c>
      <c r="GY23">
        <v>27295.4</v>
      </c>
      <c r="GZ23">
        <v>34493.9</v>
      </c>
      <c r="HA23">
        <v>35636.199999999997</v>
      </c>
      <c r="HB23">
        <v>38988.199999999997</v>
      </c>
      <c r="HC23">
        <v>40286</v>
      </c>
      <c r="HD23">
        <v>43048.1</v>
      </c>
      <c r="HE23">
        <v>2.0051999999999999</v>
      </c>
      <c r="HF23">
        <v>1.8582000000000001</v>
      </c>
      <c r="HG23">
        <v>-2.5332000000000002E-3</v>
      </c>
      <c r="HH23">
        <v>0</v>
      </c>
      <c r="HI23">
        <v>25.0488</v>
      </c>
      <c r="HJ23">
        <v>999.9</v>
      </c>
      <c r="HK23">
        <v>74.099999999999994</v>
      </c>
      <c r="HL23">
        <v>30.4</v>
      </c>
      <c r="HM23">
        <v>33.177599999999998</v>
      </c>
      <c r="HN23">
        <v>60.740200000000002</v>
      </c>
      <c r="HO23">
        <v>5</v>
      </c>
      <c r="HP23">
        <v>1</v>
      </c>
      <c r="HQ23">
        <v>0.230569</v>
      </c>
      <c r="HR23">
        <v>2.7459699999999998</v>
      </c>
      <c r="HS23">
        <v>20.255299999999998</v>
      </c>
      <c r="HT23">
        <v>5.2112999999999996</v>
      </c>
      <c r="HU23">
        <v>11.902100000000001</v>
      </c>
      <c r="HV23">
        <v>4.9859999999999998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1.8669100000000001</v>
      </c>
      <c r="IC23">
        <v>1.86243</v>
      </c>
      <c r="ID23">
        <v>1.86188</v>
      </c>
      <c r="IE23">
        <v>1.8614200000000001</v>
      </c>
      <c r="IF23">
        <v>1.8614200000000001</v>
      </c>
      <c r="IG23">
        <v>1.8621799999999999</v>
      </c>
      <c r="IH23">
        <v>1.8629800000000001</v>
      </c>
      <c r="II23">
        <v>1.8609899999999999</v>
      </c>
      <c r="IJ23">
        <v>0</v>
      </c>
      <c r="IK23">
        <v>0</v>
      </c>
      <c r="IL23">
        <v>0</v>
      </c>
      <c r="IM23">
        <v>4.5</v>
      </c>
      <c r="IN23" t="s">
        <v>405</v>
      </c>
      <c r="IO23" t="s">
        <v>406</v>
      </c>
      <c r="IP23" t="s">
        <v>407</v>
      </c>
      <c r="IQ23" t="s">
        <v>408</v>
      </c>
      <c r="IR23" t="s">
        <v>408</v>
      </c>
      <c r="IS23" t="s">
        <v>407</v>
      </c>
      <c r="IT23">
        <v>0</v>
      </c>
      <c r="IU23">
        <v>100</v>
      </c>
      <c r="IV23">
        <v>100</v>
      </c>
      <c r="IW23">
        <v>-12.992000000000001</v>
      </c>
      <c r="IX23">
        <v>-1.3480000000000001</v>
      </c>
      <c r="IY23">
        <v>-11.15127151732489</v>
      </c>
      <c r="IZ23">
        <v>-5.6215304933332991E-3</v>
      </c>
      <c r="JA23">
        <v>2.3979931213773931E-6</v>
      </c>
      <c r="JB23">
        <v>-3.6297174575716598E-10</v>
      </c>
      <c r="JC23">
        <v>-1.7019591662327289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2</v>
      </c>
      <c r="JL23">
        <v>2.1</v>
      </c>
      <c r="JM23">
        <v>1.09863</v>
      </c>
      <c r="JN23">
        <v>2.4694799999999999</v>
      </c>
      <c r="JO23">
        <v>1.50024</v>
      </c>
      <c r="JP23">
        <v>2.2814899999999998</v>
      </c>
      <c r="JQ23">
        <v>1.4477500000000001</v>
      </c>
      <c r="JR23">
        <v>2.34375</v>
      </c>
      <c r="JS23">
        <v>35.059399999999997</v>
      </c>
      <c r="JT23">
        <v>14.552300000000001</v>
      </c>
      <c r="JU23">
        <v>18</v>
      </c>
      <c r="JV23">
        <v>537.85900000000004</v>
      </c>
      <c r="JW23">
        <v>458.52699999999999</v>
      </c>
      <c r="JX23">
        <v>22.512599999999999</v>
      </c>
      <c r="JY23">
        <v>30.092300000000002</v>
      </c>
      <c r="JZ23">
        <v>30</v>
      </c>
      <c r="KA23">
        <v>30.097200000000001</v>
      </c>
      <c r="KB23">
        <v>30.1035</v>
      </c>
      <c r="KC23">
        <v>21.967500000000001</v>
      </c>
      <c r="KD23">
        <v>45.738100000000003</v>
      </c>
      <c r="KE23">
        <v>0</v>
      </c>
      <c r="KF23">
        <v>22.5197</v>
      </c>
      <c r="KG23">
        <v>420</v>
      </c>
      <c r="KH23">
        <v>18.129899999999999</v>
      </c>
      <c r="KI23">
        <v>100.70699999999999</v>
      </c>
      <c r="KJ23">
        <v>97.564300000000003</v>
      </c>
    </row>
    <row r="24" spans="1:296" x14ac:dyDescent="0.3">
      <c r="A24">
        <v>8</v>
      </c>
      <c r="B24">
        <v>1785251966.0999999</v>
      </c>
      <c r="C24">
        <v>1294.099999904633</v>
      </c>
      <c r="D24" t="s">
        <v>707</v>
      </c>
      <c r="E24" t="s">
        <v>708</v>
      </c>
      <c r="F24">
        <v>15</v>
      </c>
      <c r="H24">
        <v>1785251958.349999</v>
      </c>
      <c r="I24">
        <f t="shared" si="0"/>
        <v>2.4228778729419179E-3</v>
      </c>
      <c r="J24">
        <f t="shared" si="1"/>
        <v>2.422877872941918</v>
      </c>
      <c r="K24">
        <f t="shared" si="2"/>
        <v>33.819314929121525</v>
      </c>
      <c r="L24">
        <f t="shared" si="3"/>
        <v>378.31243333333327</v>
      </c>
      <c r="M24">
        <f t="shared" si="4"/>
        <v>114.3576468919579</v>
      </c>
      <c r="N24">
        <f t="shared" si="5"/>
        <v>11.139070559173796</v>
      </c>
      <c r="O24">
        <f t="shared" si="6"/>
        <v>36.849734170326663</v>
      </c>
      <c r="P24">
        <f t="shared" si="7"/>
        <v>0.21603114082135144</v>
      </c>
      <c r="Q24">
        <f t="shared" si="8"/>
        <v>2.884151266459142</v>
      </c>
      <c r="R24">
        <f t="shared" si="9"/>
        <v>0.20742733966809368</v>
      </c>
      <c r="S24">
        <f t="shared" si="10"/>
        <v>0.13038655260295717</v>
      </c>
      <c r="T24">
        <f t="shared" si="11"/>
        <v>160.17569855336532</v>
      </c>
      <c r="U24">
        <f t="shared" si="12"/>
        <v>25.437905404029177</v>
      </c>
      <c r="V24">
        <f t="shared" si="13"/>
        <v>25.010179999999998</v>
      </c>
      <c r="W24">
        <f t="shared" si="14"/>
        <v>3.1816079192012712</v>
      </c>
      <c r="X24">
        <f t="shared" si="15"/>
        <v>64.785257140138299</v>
      </c>
      <c r="Y24">
        <f t="shared" si="16"/>
        <v>2.0745491222587016</v>
      </c>
      <c r="Z24">
        <f t="shared" si="17"/>
        <v>3.2021932362963419</v>
      </c>
      <c r="AA24">
        <f t="shared" si="18"/>
        <v>1.1070587969425696</v>
      </c>
      <c r="AB24">
        <f t="shared" si="19"/>
        <v>-106.84891419673858</v>
      </c>
      <c r="AC24">
        <f t="shared" si="20"/>
        <v>16.828203694651414</v>
      </c>
      <c r="AD24">
        <f t="shared" si="21"/>
        <v>1.2349825078666736</v>
      </c>
      <c r="AE24">
        <f t="shared" si="22"/>
        <v>71.389970559144842</v>
      </c>
      <c r="AF24">
        <f t="shared" si="23"/>
        <v>33.819314929121525</v>
      </c>
      <c r="AG24">
        <f t="shared" si="24"/>
        <v>2.422877872941918</v>
      </c>
      <c r="AH24">
        <f t="shared" si="25"/>
        <v>33.771213967094845</v>
      </c>
      <c r="AI24">
        <v>427.81669549789268</v>
      </c>
      <c r="AJ24">
        <v>386.54951515151521</v>
      </c>
      <c r="AK24">
        <v>-3.2905614918958548E-3</v>
      </c>
      <c r="AL24">
        <v>67.076725390554955</v>
      </c>
      <c r="AM24">
        <f t="shared" si="26"/>
        <v>2.4209321903099492</v>
      </c>
      <c r="AN24">
        <v>18.4541010858091</v>
      </c>
      <c r="AO24">
        <v>21.29708606060607</v>
      </c>
      <c r="AP24">
        <v>1.1330340273694711E-5</v>
      </c>
      <c r="AQ24">
        <v>78.209775130722036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51844.069693323385</v>
      </c>
      <c r="AW24" t="s">
        <v>680</v>
      </c>
      <c r="AX24">
        <v>13244.2</v>
      </c>
      <c r="AY24">
        <v>599.9176470588236</v>
      </c>
      <c r="AZ24">
        <v>2276.13</v>
      </c>
      <c r="BA24">
        <f t="shared" si="30"/>
        <v>0.73643085102396455</v>
      </c>
      <c r="BB24">
        <v>-2.9242049494140931</v>
      </c>
      <c r="BC24" t="s">
        <v>709</v>
      </c>
      <c r="BD24">
        <v>13251.7</v>
      </c>
      <c r="BE24">
        <v>849.88664705882366</v>
      </c>
      <c r="BF24">
        <v>1354.17</v>
      </c>
      <c r="BG24">
        <f t="shared" si="31"/>
        <v>0.37239294397392975</v>
      </c>
      <c r="BH24">
        <v>0.5</v>
      </c>
      <c r="BI24">
        <f t="shared" si="32"/>
        <v>840.29359411055191</v>
      </c>
      <c r="BJ24">
        <f t="shared" si="33"/>
        <v>33.819314929121525</v>
      </c>
      <c r="BK24">
        <f t="shared" si="34"/>
        <v>156.45970265663141</v>
      </c>
      <c r="BL24">
        <f t="shared" si="35"/>
        <v>4.3727002247861371E-2</v>
      </c>
      <c r="BM24">
        <f t="shared" si="36"/>
        <v>0.68083032410997146</v>
      </c>
      <c r="BN24">
        <f t="shared" si="37"/>
        <v>508.64364593945669</v>
      </c>
      <c r="BO24" t="s">
        <v>402</v>
      </c>
      <c r="BP24">
        <v>0</v>
      </c>
      <c r="BQ24">
        <f t="shared" si="38"/>
        <v>508.64364593945669</v>
      </c>
      <c r="BR24">
        <f t="shared" si="39"/>
        <v>0.62438715527632671</v>
      </c>
      <c r="BS24">
        <f t="shared" si="40"/>
        <v>0.5964135245689427</v>
      </c>
      <c r="BT24">
        <f t="shared" si="41"/>
        <v>0.52162213183820672</v>
      </c>
      <c r="BU24">
        <f t="shared" si="42"/>
        <v>0.66858704646361911</v>
      </c>
      <c r="BV24">
        <f t="shared" si="43"/>
        <v>0.55002577590021762</v>
      </c>
      <c r="BW24">
        <f t="shared" si="44"/>
        <v>0.35694401209171134</v>
      </c>
      <c r="BX24">
        <f t="shared" si="45"/>
        <v>0.64305598790828866</v>
      </c>
      <c r="DG24">
        <f t="shared" si="46"/>
        <v>999.99379999999996</v>
      </c>
      <c r="DH24">
        <f t="shared" si="47"/>
        <v>840.29359411055191</v>
      </c>
      <c r="DI24">
        <f t="shared" si="48"/>
        <v>0.8402988039631365</v>
      </c>
      <c r="DJ24">
        <f t="shared" si="49"/>
        <v>0.16017669164885356</v>
      </c>
      <c r="DK24">
        <v>6</v>
      </c>
      <c r="DL24">
        <v>0.5</v>
      </c>
      <c r="DM24" t="s">
        <v>403</v>
      </c>
      <c r="DN24">
        <v>2</v>
      </c>
      <c r="DO24" t="b">
        <v>0</v>
      </c>
      <c r="DP24">
        <v>1785251958.349999</v>
      </c>
      <c r="DQ24">
        <v>378.31243333333327</v>
      </c>
      <c r="DR24">
        <v>419.9926999999999</v>
      </c>
      <c r="DS24">
        <v>21.29805666666666</v>
      </c>
      <c r="DT24">
        <v>18.452719999999999</v>
      </c>
      <c r="DU24">
        <v>391.26396666666659</v>
      </c>
      <c r="DV24">
        <v>22.64594</v>
      </c>
      <c r="DW24">
        <v>500.03403333333341</v>
      </c>
      <c r="DX24">
        <v>97.356586666666672</v>
      </c>
      <c r="DY24">
        <v>4.8972663333333319E-2</v>
      </c>
      <c r="DZ24">
        <v>25.118406666666669</v>
      </c>
      <c r="EA24">
        <v>25.010179999999998</v>
      </c>
      <c r="EB24">
        <v>999.9000000000002</v>
      </c>
      <c r="EC24">
        <v>0</v>
      </c>
      <c r="ED24">
        <v>0</v>
      </c>
      <c r="EE24">
        <v>10008</v>
      </c>
      <c r="EF24">
        <v>0</v>
      </c>
      <c r="EG24">
        <v>132.23443333333341</v>
      </c>
      <c r="EH24">
        <v>-41.680226666666663</v>
      </c>
      <c r="EI24">
        <v>386.5451333333333</v>
      </c>
      <c r="EJ24">
        <v>427.88843333333341</v>
      </c>
      <c r="EK24">
        <v>2.8453323333333329</v>
      </c>
      <c r="EL24">
        <v>419.9926999999999</v>
      </c>
      <c r="EM24">
        <v>18.452719999999999</v>
      </c>
      <c r="EN24">
        <v>2.0735060000000001</v>
      </c>
      <c r="EO24">
        <v>1.7964933333333339</v>
      </c>
      <c r="EP24">
        <v>18.017093333333332</v>
      </c>
      <c r="EQ24">
        <v>15.75631666666667</v>
      </c>
      <c r="ER24">
        <v>999.99379999999996</v>
      </c>
      <c r="ES24">
        <v>0.98998500000000011</v>
      </c>
      <c r="ET24">
        <v>1.001471E-2</v>
      </c>
      <c r="EU24">
        <v>0</v>
      </c>
      <c r="EV24">
        <v>849.63099999999986</v>
      </c>
      <c r="EW24">
        <v>5.0010700000000003</v>
      </c>
      <c r="EX24">
        <v>9224.6950000000015</v>
      </c>
      <c r="EY24">
        <v>9080.1680000000015</v>
      </c>
      <c r="EZ24">
        <v>36.928733333333327</v>
      </c>
      <c r="FA24">
        <v>39.231099999999977</v>
      </c>
      <c r="FB24">
        <v>38.254133333333343</v>
      </c>
      <c r="FC24">
        <v>38.936999999999991</v>
      </c>
      <c r="FD24">
        <v>38.631200000000007</v>
      </c>
      <c r="FE24">
        <v>985.02566666666678</v>
      </c>
      <c r="FF24">
        <v>9.9599999999999991</v>
      </c>
      <c r="FG24">
        <v>0</v>
      </c>
      <c r="FH24">
        <v>180.89999985694891</v>
      </c>
      <c r="FI24">
        <v>0</v>
      </c>
      <c r="FJ24">
        <v>849.88664705882366</v>
      </c>
      <c r="FK24">
        <v>0.1046568333245745</v>
      </c>
      <c r="FL24">
        <v>8.8357841789154499</v>
      </c>
      <c r="FM24">
        <v>9228.3394117647076</v>
      </c>
      <c r="FN24">
        <v>10</v>
      </c>
      <c r="FO24">
        <v>1785251842.0999999</v>
      </c>
      <c r="FP24" t="s">
        <v>710</v>
      </c>
      <c r="FQ24">
        <v>1785251832.5999999</v>
      </c>
      <c r="FR24">
        <v>1785251842.0999999</v>
      </c>
      <c r="FS24">
        <v>8</v>
      </c>
      <c r="FT24">
        <v>5.3999999999999999E-2</v>
      </c>
      <c r="FU24">
        <v>-1E-3</v>
      </c>
      <c r="FV24">
        <v>-13.112</v>
      </c>
      <c r="FW24">
        <v>-1.429</v>
      </c>
      <c r="FX24">
        <v>420</v>
      </c>
      <c r="FY24">
        <v>18</v>
      </c>
      <c r="FZ24">
        <v>0.18</v>
      </c>
      <c r="GA24">
        <v>0.08</v>
      </c>
      <c r="GB24">
        <v>378.31564516129032</v>
      </c>
      <c r="GC24">
        <v>4.3016129030516867E-2</v>
      </c>
      <c r="GD24">
        <v>5.7699191243336542E-2</v>
      </c>
      <c r="GE24">
        <v>-1</v>
      </c>
      <c r="GF24">
        <v>849.28914705882335</v>
      </c>
      <c r="GG24">
        <v>6.0745760139225569</v>
      </c>
      <c r="GH24">
        <v>0.64984147987177054</v>
      </c>
      <c r="GI24">
        <v>1</v>
      </c>
      <c r="GJ24">
        <v>2.849740487804878</v>
      </c>
      <c r="GK24">
        <v>-7.1796376306618837E-2</v>
      </c>
      <c r="GL24">
        <v>8.4925218039940565E-3</v>
      </c>
      <c r="GM24">
        <v>1</v>
      </c>
      <c r="GN24">
        <v>2</v>
      </c>
      <c r="GO24">
        <v>2</v>
      </c>
      <c r="GP24" t="s">
        <v>404</v>
      </c>
      <c r="GQ24">
        <v>3.1314099999999998</v>
      </c>
      <c r="GR24">
        <v>2.7255699999999998</v>
      </c>
      <c r="GS24">
        <v>8.61841E-2</v>
      </c>
      <c r="GT24">
        <v>9.1628399999999999E-2</v>
      </c>
      <c r="GU24">
        <v>0.107894</v>
      </c>
      <c r="GV24">
        <v>9.35724E-2</v>
      </c>
      <c r="GW24">
        <v>23007.1</v>
      </c>
      <c r="GX24">
        <v>30490.2</v>
      </c>
      <c r="GY24">
        <v>27293.7</v>
      </c>
      <c r="GZ24">
        <v>34490.699999999997</v>
      </c>
      <c r="HA24">
        <v>35628.6</v>
      </c>
      <c r="HB24">
        <v>38940.6</v>
      </c>
      <c r="HC24">
        <v>40284.199999999997</v>
      </c>
      <c r="HD24">
        <v>43045.1</v>
      </c>
      <c r="HE24">
        <v>2.0062000000000002</v>
      </c>
      <c r="HF24">
        <v>1.8564000000000001</v>
      </c>
      <c r="HG24">
        <v>-9.2387200000000006E-3</v>
      </c>
      <c r="HH24">
        <v>0</v>
      </c>
      <c r="HI24">
        <v>25.167300000000001</v>
      </c>
      <c r="HJ24">
        <v>999.9</v>
      </c>
      <c r="HK24">
        <v>73.7</v>
      </c>
      <c r="HL24">
        <v>30.5</v>
      </c>
      <c r="HM24">
        <v>33.190100000000001</v>
      </c>
      <c r="HN24">
        <v>60.379300000000001</v>
      </c>
      <c r="HO24">
        <v>4.8718000000000004</v>
      </c>
      <c r="HP24">
        <v>1</v>
      </c>
      <c r="HQ24">
        <v>0.23128000000000001</v>
      </c>
      <c r="HR24">
        <v>2.6701999999999999</v>
      </c>
      <c r="HS24">
        <v>20.259799999999998</v>
      </c>
      <c r="HT24">
        <v>5.2112999999999996</v>
      </c>
      <c r="HU24">
        <v>11.904500000000001</v>
      </c>
      <c r="HV24">
        <v>4.9851999999999999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1.8669100000000001</v>
      </c>
      <c r="IC24">
        <v>1.86249</v>
      </c>
      <c r="ID24">
        <v>1.86191</v>
      </c>
      <c r="IE24">
        <v>1.8614200000000001</v>
      </c>
      <c r="IF24">
        <v>1.8614200000000001</v>
      </c>
      <c r="IG24">
        <v>1.8621799999999999</v>
      </c>
      <c r="IH24">
        <v>1.8630100000000001</v>
      </c>
      <c r="II24">
        <v>1.8609899999999999</v>
      </c>
      <c r="IJ24">
        <v>0</v>
      </c>
      <c r="IK24">
        <v>0</v>
      </c>
      <c r="IL24">
        <v>0</v>
      </c>
      <c r="IM24">
        <v>4.5</v>
      </c>
      <c r="IN24" t="s">
        <v>405</v>
      </c>
      <c r="IO24" t="s">
        <v>406</v>
      </c>
      <c r="IP24" t="s">
        <v>407</v>
      </c>
      <c r="IQ24" t="s">
        <v>408</v>
      </c>
      <c r="IR24" t="s">
        <v>408</v>
      </c>
      <c r="IS24" t="s">
        <v>407</v>
      </c>
      <c r="IT24">
        <v>0</v>
      </c>
      <c r="IU24">
        <v>100</v>
      </c>
      <c r="IV24">
        <v>100</v>
      </c>
      <c r="IW24">
        <v>-12.952</v>
      </c>
      <c r="IX24">
        <v>-1.3479000000000001</v>
      </c>
      <c r="IY24">
        <v>-11.09737089719737</v>
      </c>
      <c r="IZ24">
        <v>-5.6215304933332991E-3</v>
      </c>
      <c r="JA24">
        <v>2.3979931213773931E-6</v>
      </c>
      <c r="JB24">
        <v>-3.6297174575716598E-10</v>
      </c>
      <c r="JC24">
        <v>-1.7031223711638319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2.2000000000000002</v>
      </c>
      <c r="JL24">
        <v>2.1</v>
      </c>
      <c r="JM24">
        <v>1.09863</v>
      </c>
      <c r="JN24">
        <v>2.4658199999999999</v>
      </c>
      <c r="JO24">
        <v>1.50024</v>
      </c>
      <c r="JP24">
        <v>2.2814899999999998</v>
      </c>
      <c r="JQ24">
        <v>1.4477500000000001</v>
      </c>
      <c r="JR24">
        <v>2.4365199999999998</v>
      </c>
      <c r="JS24">
        <v>35.151600000000002</v>
      </c>
      <c r="JT24">
        <v>14.5436</v>
      </c>
      <c r="JU24">
        <v>18</v>
      </c>
      <c r="JV24">
        <v>538.59799999999996</v>
      </c>
      <c r="JW24">
        <v>457.46100000000001</v>
      </c>
      <c r="JX24">
        <v>22.7422</v>
      </c>
      <c r="JY24">
        <v>30.100200000000001</v>
      </c>
      <c r="JZ24">
        <v>30.0001</v>
      </c>
      <c r="KA24">
        <v>30.107500000000002</v>
      </c>
      <c r="KB24">
        <v>30.113800000000001</v>
      </c>
      <c r="KC24">
        <v>21.9754</v>
      </c>
      <c r="KD24">
        <v>45.580500000000001</v>
      </c>
      <c r="KE24">
        <v>0</v>
      </c>
      <c r="KF24">
        <v>22.746400000000001</v>
      </c>
      <c r="KG24">
        <v>420</v>
      </c>
      <c r="KH24">
        <v>18.5502</v>
      </c>
      <c r="KI24">
        <v>100.70099999999999</v>
      </c>
      <c r="KJ24">
        <v>97.5565</v>
      </c>
    </row>
    <row r="25" spans="1:296" x14ac:dyDescent="0.3">
      <c r="A25">
        <v>9</v>
      </c>
      <c r="B25">
        <v>1785252147.5999999</v>
      </c>
      <c r="C25">
        <v>1475.599999904633</v>
      </c>
      <c r="D25" t="s">
        <v>711</v>
      </c>
      <c r="E25" t="s">
        <v>712</v>
      </c>
      <c r="F25">
        <v>15</v>
      </c>
      <c r="H25">
        <v>1785252139.599999</v>
      </c>
      <c r="I25">
        <f t="shared" si="0"/>
        <v>2.298726575309809E-3</v>
      </c>
      <c r="J25">
        <f t="shared" si="1"/>
        <v>2.298726575309809</v>
      </c>
      <c r="K25">
        <f t="shared" si="2"/>
        <v>31.418647114391781</v>
      </c>
      <c r="L25">
        <f t="shared" si="3"/>
        <v>381.23774193548388</v>
      </c>
      <c r="M25">
        <f t="shared" si="4"/>
        <v>121.45845333516837</v>
      </c>
      <c r="N25">
        <f t="shared" si="5"/>
        <v>11.83055535007726</v>
      </c>
      <c r="O25">
        <f t="shared" si="6"/>
        <v>37.134131743469723</v>
      </c>
      <c r="P25">
        <f t="shared" si="7"/>
        <v>0.20367200612049149</v>
      </c>
      <c r="Q25">
        <f t="shared" si="8"/>
        <v>2.8837383263997429</v>
      </c>
      <c r="R25">
        <f t="shared" si="9"/>
        <v>0.19600465092779976</v>
      </c>
      <c r="S25">
        <f t="shared" si="10"/>
        <v>0.12316773919304977</v>
      </c>
      <c r="T25">
        <f t="shared" si="11"/>
        <v>128.27583778444833</v>
      </c>
      <c r="U25">
        <f t="shared" si="12"/>
        <v>25.269243510384033</v>
      </c>
      <c r="V25">
        <f t="shared" si="13"/>
        <v>24.999112903225811</v>
      </c>
      <c r="W25">
        <f t="shared" si="14"/>
        <v>3.179509427383262</v>
      </c>
      <c r="X25">
        <f t="shared" si="15"/>
        <v>64.618512403926232</v>
      </c>
      <c r="Y25">
        <f t="shared" si="16"/>
        <v>2.0679324770269876</v>
      </c>
      <c r="Z25">
        <f t="shared" si="17"/>
        <v>3.2002167801395252</v>
      </c>
      <c r="AA25">
        <f t="shared" si="18"/>
        <v>1.1115769503562745</v>
      </c>
      <c r="AB25">
        <f t="shared" si="19"/>
        <v>-101.37384197116258</v>
      </c>
      <c r="AC25">
        <f t="shared" si="20"/>
        <v>16.934989751113516</v>
      </c>
      <c r="AD25">
        <f t="shared" si="21"/>
        <v>1.2428631954567586</v>
      </c>
      <c r="AE25">
        <f t="shared" si="22"/>
        <v>45.07984875985602</v>
      </c>
      <c r="AF25">
        <f t="shared" si="23"/>
        <v>31.418647114391781</v>
      </c>
      <c r="AG25">
        <f t="shared" si="24"/>
        <v>2.298726575309809</v>
      </c>
      <c r="AH25">
        <f t="shared" si="25"/>
        <v>31.369330311484262</v>
      </c>
      <c r="AI25">
        <v>427.85053294304669</v>
      </c>
      <c r="AJ25">
        <v>389.5211939393941</v>
      </c>
      <c r="AK25">
        <v>-5.8664397028788994E-3</v>
      </c>
      <c r="AL25">
        <v>67.072713035088881</v>
      </c>
      <c r="AM25">
        <f t="shared" si="26"/>
        <v>2.2996632354621154</v>
      </c>
      <c r="AN25">
        <v>18.531619630338351</v>
      </c>
      <c r="AO25">
        <v>21.23389454545454</v>
      </c>
      <c r="AP25">
        <v>-1.3504577478281029E-4</v>
      </c>
      <c r="AQ25">
        <v>78.194356483055685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51834.028861771505</v>
      </c>
      <c r="AW25" t="s">
        <v>680</v>
      </c>
      <c r="AX25">
        <v>13244.2</v>
      </c>
      <c r="AY25">
        <v>599.9176470588236</v>
      </c>
      <c r="AZ25">
        <v>2276.13</v>
      </c>
      <c r="BA25">
        <f t="shared" si="30"/>
        <v>0.73643085102396455</v>
      </c>
      <c r="BB25">
        <v>-2.9242049494140931</v>
      </c>
      <c r="BC25" t="s">
        <v>713</v>
      </c>
      <c r="BD25">
        <v>13262.2</v>
      </c>
      <c r="BE25">
        <v>848.19635294117643</v>
      </c>
      <c r="BF25">
        <v>1480.74</v>
      </c>
      <c r="BG25">
        <f t="shared" si="31"/>
        <v>0.42718076573795771</v>
      </c>
      <c r="BH25">
        <v>0.5</v>
      </c>
      <c r="BI25">
        <f t="shared" si="32"/>
        <v>672.30024730265575</v>
      </c>
      <c r="BJ25">
        <f t="shared" si="33"/>
        <v>31.418647114391781</v>
      </c>
      <c r="BK25">
        <f t="shared" si="34"/>
        <v>143.59686722428341</v>
      </c>
      <c r="BL25">
        <f t="shared" si="35"/>
        <v>5.1082611082761395E-2</v>
      </c>
      <c r="BM25">
        <f t="shared" si="36"/>
        <v>0.53715709712711224</v>
      </c>
      <c r="BN25">
        <f t="shared" si="37"/>
        <v>525.51610716630569</v>
      </c>
      <c r="BO25" t="s">
        <v>402</v>
      </c>
      <c r="BP25">
        <v>0</v>
      </c>
      <c r="BQ25">
        <f t="shared" si="38"/>
        <v>525.51610716630569</v>
      </c>
      <c r="BR25">
        <f t="shared" si="39"/>
        <v>0.6450989997120995</v>
      </c>
      <c r="BS25">
        <f t="shared" si="40"/>
        <v>0.66219412203181793</v>
      </c>
      <c r="BT25">
        <f t="shared" si="41"/>
        <v>0.45434918759413778</v>
      </c>
      <c r="BU25">
        <f t="shared" si="42"/>
        <v>0.71812851359491614</v>
      </c>
      <c r="BV25">
        <f t="shared" si="43"/>
        <v>0.47451625004693709</v>
      </c>
      <c r="BW25">
        <f t="shared" si="44"/>
        <v>0.41027490390860522</v>
      </c>
      <c r="BX25">
        <f t="shared" si="45"/>
        <v>0.58972509609139478</v>
      </c>
      <c r="DG25">
        <f t="shared" si="46"/>
        <v>799.98880645161285</v>
      </c>
      <c r="DH25">
        <f t="shared" si="47"/>
        <v>672.30024730265575</v>
      </c>
      <c r="DI25">
        <f t="shared" si="48"/>
        <v>0.84038706776995342</v>
      </c>
      <c r="DJ25">
        <f t="shared" si="49"/>
        <v>0.16034704079601025</v>
      </c>
      <c r="DK25">
        <v>6</v>
      </c>
      <c r="DL25">
        <v>0.5</v>
      </c>
      <c r="DM25" t="s">
        <v>403</v>
      </c>
      <c r="DN25">
        <v>2</v>
      </c>
      <c r="DO25" t="b">
        <v>0</v>
      </c>
      <c r="DP25">
        <v>1785252139.599999</v>
      </c>
      <c r="DQ25">
        <v>381.23774193548388</v>
      </c>
      <c r="DR25">
        <v>419.99816129032263</v>
      </c>
      <c r="DS25">
        <v>21.230438709677419</v>
      </c>
      <c r="DT25">
        <v>18.53008387096774</v>
      </c>
      <c r="DU25">
        <v>394.26741935483869</v>
      </c>
      <c r="DV25">
        <v>22.59221612903227</v>
      </c>
      <c r="DW25">
        <v>499.91732258064519</v>
      </c>
      <c r="DX25">
        <v>97.35480967741934</v>
      </c>
      <c r="DY25">
        <v>4.9323383870967727E-2</v>
      </c>
      <c r="DZ25">
        <v>25.108041935483861</v>
      </c>
      <c r="EA25">
        <v>24.999112903225811</v>
      </c>
      <c r="EB25">
        <v>999.90000000000032</v>
      </c>
      <c r="EC25">
        <v>0</v>
      </c>
      <c r="ED25">
        <v>0</v>
      </c>
      <c r="EE25">
        <v>10005.8064516129</v>
      </c>
      <c r="EF25">
        <v>0</v>
      </c>
      <c r="EG25">
        <v>147.30332258064519</v>
      </c>
      <c r="EH25">
        <v>-38.760506451612898</v>
      </c>
      <c r="EI25">
        <v>389.50709677419349</v>
      </c>
      <c r="EJ25">
        <v>427.92777419354837</v>
      </c>
      <c r="EK25">
        <v>2.7003732258064521</v>
      </c>
      <c r="EL25">
        <v>419.99816129032263</v>
      </c>
      <c r="EM25">
        <v>18.53008387096774</v>
      </c>
      <c r="EN25">
        <v>2.0668858064516118</v>
      </c>
      <c r="EO25">
        <v>1.8039916129032261</v>
      </c>
      <c r="EP25">
        <v>17.966261290322581</v>
      </c>
      <c r="EQ25">
        <v>15.8213935483871</v>
      </c>
      <c r="ER25">
        <v>799.98880645161285</v>
      </c>
      <c r="ES25">
        <v>0.98701232258064531</v>
      </c>
      <c r="ET25">
        <v>1.298748387096774E-2</v>
      </c>
      <c r="EU25">
        <v>0</v>
      </c>
      <c r="EV25">
        <v>848.03861290322573</v>
      </c>
      <c r="EW25">
        <v>5.0010700000000003</v>
      </c>
      <c r="EX25">
        <v>7503.9970967741947</v>
      </c>
      <c r="EY25">
        <v>7246.5529032258046</v>
      </c>
      <c r="EZ25">
        <v>36.304000000000002</v>
      </c>
      <c r="FA25">
        <v>38.901000000000003</v>
      </c>
      <c r="FB25">
        <v>37.803999999999988</v>
      </c>
      <c r="FC25">
        <v>38.670999999999999</v>
      </c>
      <c r="FD25">
        <v>38.146999999999991</v>
      </c>
      <c r="FE25">
        <v>784.6622580645161</v>
      </c>
      <c r="FF25">
        <v>10.321612903225811</v>
      </c>
      <c r="FG25">
        <v>0</v>
      </c>
      <c r="FH25">
        <v>180.70000004768369</v>
      </c>
      <c r="FI25">
        <v>0</v>
      </c>
      <c r="FJ25">
        <v>848.19635294117643</v>
      </c>
      <c r="FK25">
        <v>4.2941176319542196</v>
      </c>
      <c r="FL25">
        <v>46.399509828384538</v>
      </c>
      <c r="FM25">
        <v>7506.6564705882356</v>
      </c>
      <c r="FN25">
        <v>10</v>
      </c>
      <c r="FO25">
        <v>1785252027.0999999</v>
      </c>
      <c r="FP25" t="s">
        <v>714</v>
      </c>
      <c r="FQ25">
        <v>1785252027.0999999</v>
      </c>
      <c r="FR25">
        <v>1785252023.5999999</v>
      </c>
      <c r="FS25">
        <v>9</v>
      </c>
      <c r="FT25">
        <v>-6.6000000000000003E-2</v>
      </c>
      <c r="FU25">
        <v>-1.2E-2</v>
      </c>
      <c r="FV25">
        <v>-13.178000000000001</v>
      </c>
      <c r="FW25">
        <v>-1.429</v>
      </c>
      <c r="FX25">
        <v>420</v>
      </c>
      <c r="FY25">
        <v>19</v>
      </c>
      <c r="FZ25">
        <v>0.23</v>
      </c>
      <c r="GA25">
        <v>7.0000000000000007E-2</v>
      </c>
      <c r="GB25">
        <v>381.23409677419352</v>
      </c>
      <c r="GC25">
        <v>0.40698387096632688</v>
      </c>
      <c r="GD25">
        <v>6.7505008100335648E-2</v>
      </c>
      <c r="GE25">
        <v>-1</v>
      </c>
      <c r="GF25">
        <v>847.93</v>
      </c>
      <c r="GG25">
        <v>2.9493659340308751</v>
      </c>
      <c r="GH25">
        <v>0.35041177458057071</v>
      </c>
      <c r="GI25">
        <v>1</v>
      </c>
      <c r="GJ25">
        <v>2.715185609756098</v>
      </c>
      <c r="GK25">
        <v>-0.24227498257838831</v>
      </c>
      <c r="GL25">
        <v>3.4381338106508487E-2</v>
      </c>
      <c r="GM25">
        <v>1</v>
      </c>
      <c r="GN25">
        <v>2</v>
      </c>
      <c r="GO25">
        <v>2</v>
      </c>
      <c r="GP25" t="s">
        <v>404</v>
      </c>
      <c r="GQ25">
        <v>3.1316999999999999</v>
      </c>
      <c r="GR25">
        <v>2.7250999999999999</v>
      </c>
      <c r="GS25">
        <v>8.6681999999999995E-2</v>
      </c>
      <c r="GT25">
        <v>9.1637999999999997E-2</v>
      </c>
      <c r="GU25">
        <v>0.107742</v>
      </c>
      <c r="GV25">
        <v>9.4352699999999998E-2</v>
      </c>
      <c r="GW25">
        <v>22993.7</v>
      </c>
      <c r="GX25">
        <v>30489.200000000001</v>
      </c>
      <c r="GY25">
        <v>27292.7</v>
      </c>
      <c r="GZ25">
        <v>34490</v>
      </c>
      <c r="HA25">
        <v>35634.300000000003</v>
      </c>
      <c r="HB25">
        <v>38906.1</v>
      </c>
      <c r="HC25">
        <v>40283.599999999999</v>
      </c>
      <c r="HD25">
        <v>43044.1</v>
      </c>
      <c r="HE25">
        <v>2.0064000000000002</v>
      </c>
      <c r="HF25">
        <v>1.8548</v>
      </c>
      <c r="HG25">
        <v>-1.4305099999999999E-2</v>
      </c>
      <c r="HH25">
        <v>0</v>
      </c>
      <c r="HI25">
        <v>25.237300000000001</v>
      </c>
      <c r="HJ25">
        <v>999.9</v>
      </c>
      <c r="HK25">
        <v>73.3</v>
      </c>
      <c r="HL25">
        <v>30.7</v>
      </c>
      <c r="HM25">
        <v>33.391100000000002</v>
      </c>
      <c r="HN25">
        <v>60.039299999999997</v>
      </c>
      <c r="HO25">
        <v>5.3405500000000004</v>
      </c>
      <c r="HP25">
        <v>1</v>
      </c>
      <c r="HQ25">
        <v>0.23128000000000001</v>
      </c>
      <c r="HR25">
        <v>2.4710200000000002</v>
      </c>
      <c r="HS25">
        <v>20.264700000000001</v>
      </c>
      <c r="HT25">
        <v>5.2148899999999996</v>
      </c>
      <c r="HU25">
        <v>11.9057</v>
      </c>
      <c r="HV25">
        <v>4.9855999999999998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1.86694</v>
      </c>
      <c r="IC25">
        <v>1.86249</v>
      </c>
      <c r="ID25">
        <v>1.8619699999999999</v>
      </c>
      <c r="IE25">
        <v>1.8614200000000001</v>
      </c>
      <c r="IF25">
        <v>1.8614200000000001</v>
      </c>
      <c r="IG25">
        <v>1.8621799999999999</v>
      </c>
      <c r="IH25">
        <v>1.8631</v>
      </c>
      <c r="II25">
        <v>1.8609599999999999</v>
      </c>
      <c r="IJ25">
        <v>0</v>
      </c>
      <c r="IK25">
        <v>0</v>
      </c>
      <c r="IL25">
        <v>0</v>
      </c>
      <c r="IM25">
        <v>4.5</v>
      </c>
      <c r="IN25" t="s">
        <v>405</v>
      </c>
      <c r="IO25" t="s">
        <v>406</v>
      </c>
      <c r="IP25" t="s">
        <v>407</v>
      </c>
      <c r="IQ25" t="s">
        <v>408</v>
      </c>
      <c r="IR25" t="s">
        <v>408</v>
      </c>
      <c r="IS25" t="s">
        <v>407</v>
      </c>
      <c r="IT25">
        <v>0</v>
      </c>
      <c r="IU25">
        <v>100</v>
      </c>
      <c r="IV25">
        <v>100</v>
      </c>
      <c r="IW25">
        <v>-13.029</v>
      </c>
      <c r="IX25">
        <v>-1.3615999999999999</v>
      </c>
      <c r="IY25">
        <v>-11.163852390628209</v>
      </c>
      <c r="IZ25">
        <v>-5.6215304933332991E-3</v>
      </c>
      <c r="JA25">
        <v>2.3979931213773931E-6</v>
      </c>
      <c r="JB25">
        <v>-3.6297174575716598E-10</v>
      </c>
      <c r="JC25">
        <v>-1.71557916179532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2</v>
      </c>
      <c r="JL25">
        <v>2.1</v>
      </c>
      <c r="JM25">
        <v>1.09863</v>
      </c>
      <c r="JN25">
        <v>2.4670399999999999</v>
      </c>
      <c r="JO25">
        <v>1.50024</v>
      </c>
      <c r="JP25">
        <v>2.2814899999999998</v>
      </c>
      <c r="JQ25">
        <v>1.4477500000000001</v>
      </c>
      <c r="JR25">
        <v>2.3742700000000001</v>
      </c>
      <c r="JS25">
        <v>35.244</v>
      </c>
      <c r="JT25">
        <v>14.517300000000001</v>
      </c>
      <c r="JU25">
        <v>18</v>
      </c>
      <c r="JV25">
        <v>538.86400000000003</v>
      </c>
      <c r="JW25">
        <v>456.56400000000002</v>
      </c>
      <c r="JX25">
        <v>22.988499999999998</v>
      </c>
      <c r="JY25">
        <v>30.1158</v>
      </c>
      <c r="JZ25">
        <v>30.0001</v>
      </c>
      <c r="KA25">
        <v>30.123100000000001</v>
      </c>
      <c r="KB25">
        <v>30.129300000000001</v>
      </c>
      <c r="KC25">
        <v>21.981999999999999</v>
      </c>
      <c r="KD25">
        <v>45.130800000000001</v>
      </c>
      <c r="KE25">
        <v>0</v>
      </c>
      <c r="KF25">
        <v>22.986999999999998</v>
      </c>
      <c r="KG25">
        <v>420</v>
      </c>
      <c r="KH25">
        <v>18.598600000000001</v>
      </c>
      <c r="KI25">
        <v>100.699</v>
      </c>
      <c r="KJ25">
        <v>97.554400000000001</v>
      </c>
    </row>
    <row r="26" spans="1:296" x14ac:dyDescent="0.3">
      <c r="A26">
        <v>10</v>
      </c>
      <c r="B26">
        <v>1785252329.0999999</v>
      </c>
      <c r="C26">
        <v>1657.099999904633</v>
      </c>
      <c r="D26" t="s">
        <v>715</v>
      </c>
      <c r="E26" t="s">
        <v>716</v>
      </c>
      <c r="F26">
        <v>15</v>
      </c>
      <c r="H26">
        <v>1785252321.349999</v>
      </c>
      <c r="I26">
        <f t="shared" si="0"/>
        <v>2.0760927337009861E-3</v>
      </c>
      <c r="J26">
        <f t="shared" si="1"/>
        <v>2.0760927337009862</v>
      </c>
      <c r="K26">
        <f t="shared" si="2"/>
        <v>27.756464263079838</v>
      </c>
      <c r="L26">
        <f t="shared" si="3"/>
        <v>385.72809999999998</v>
      </c>
      <c r="M26">
        <f t="shared" si="4"/>
        <v>135.02296388809711</v>
      </c>
      <c r="N26">
        <f t="shared" si="5"/>
        <v>13.151274425669754</v>
      </c>
      <c r="O26">
        <f t="shared" si="6"/>
        <v>37.570024762575791</v>
      </c>
      <c r="P26">
        <f t="shared" si="7"/>
        <v>0.18612561176186754</v>
      </c>
      <c r="Q26">
        <f t="shared" si="8"/>
        <v>2.8823706037085093</v>
      </c>
      <c r="R26">
        <f t="shared" si="9"/>
        <v>0.17969708404236356</v>
      </c>
      <c r="S26">
        <f t="shared" si="10"/>
        <v>0.1128697578830294</v>
      </c>
      <c r="T26">
        <f t="shared" si="11"/>
        <v>96.345174093926886</v>
      </c>
      <c r="U26">
        <f t="shared" si="12"/>
        <v>25.128672294840065</v>
      </c>
      <c r="V26">
        <f t="shared" si="13"/>
        <v>25.010336666666671</v>
      </c>
      <c r="W26">
        <f t="shared" si="14"/>
        <v>3.1816376342974615</v>
      </c>
      <c r="X26">
        <f t="shared" si="15"/>
        <v>65.238785380292867</v>
      </c>
      <c r="Y26">
        <f t="shared" si="16"/>
        <v>2.0867776128631625</v>
      </c>
      <c r="Z26">
        <f t="shared" si="17"/>
        <v>3.1986763712702873</v>
      </c>
      <c r="AA26">
        <f t="shared" si="18"/>
        <v>1.0948600214342989</v>
      </c>
      <c r="AB26">
        <f t="shared" si="19"/>
        <v>-91.555689556213494</v>
      </c>
      <c r="AC26">
        <f t="shared" si="20"/>
        <v>13.926960881739415</v>
      </c>
      <c r="AD26">
        <f t="shared" si="21"/>
        <v>1.0226043527038169</v>
      </c>
      <c r="AE26">
        <f t="shared" si="22"/>
        <v>19.73904977215663</v>
      </c>
      <c r="AF26">
        <f t="shared" si="23"/>
        <v>27.756464263079838</v>
      </c>
      <c r="AG26">
        <f t="shared" si="24"/>
        <v>2.0760927337009862</v>
      </c>
      <c r="AH26">
        <f t="shared" si="25"/>
        <v>27.854210476603352</v>
      </c>
      <c r="AI26">
        <v>428.19469485984581</v>
      </c>
      <c r="AJ26">
        <v>394.14839393939383</v>
      </c>
      <c r="AK26">
        <v>-4.4836036716771159E-3</v>
      </c>
      <c r="AL26">
        <v>67.024896224077295</v>
      </c>
      <c r="AM26">
        <f t="shared" si="26"/>
        <v>2.0691883731597769</v>
      </c>
      <c r="AN26">
        <v>18.98903153983602</v>
      </c>
      <c r="AO26">
        <v>21.41924242424242</v>
      </c>
      <c r="AP26">
        <v>-8.4488942210482888E-5</v>
      </c>
      <c r="AQ26">
        <v>78.048429712094034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51796.258443865845</v>
      </c>
      <c r="AW26" t="s">
        <v>680</v>
      </c>
      <c r="AX26">
        <v>13244.2</v>
      </c>
      <c r="AY26">
        <v>599.9176470588236</v>
      </c>
      <c r="AZ26">
        <v>2276.13</v>
      </c>
      <c r="BA26">
        <f t="shared" si="30"/>
        <v>0.73643085102396455</v>
      </c>
      <c r="BB26">
        <v>-2.9242049494140931</v>
      </c>
      <c r="BC26" t="s">
        <v>717</v>
      </c>
      <c r="BD26">
        <v>13256.9</v>
      </c>
      <c r="BE26">
        <v>837.44417647058822</v>
      </c>
      <c r="BF26">
        <v>1643.42</v>
      </c>
      <c r="BG26">
        <f t="shared" si="31"/>
        <v>0.49042595534276801</v>
      </c>
      <c r="BH26">
        <v>0.5</v>
      </c>
      <c r="BI26">
        <f t="shared" si="32"/>
        <v>504.30009405902933</v>
      </c>
      <c r="BJ26">
        <f t="shared" si="33"/>
        <v>27.756464263079838</v>
      </c>
      <c r="BK26">
        <f t="shared" si="34"/>
        <v>123.66092770417362</v>
      </c>
      <c r="BL26">
        <f t="shared" si="35"/>
        <v>6.0838119155501684E-2</v>
      </c>
      <c r="BM26">
        <f t="shared" si="36"/>
        <v>0.38499592313589953</v>
      </c>
      <c r="BN26">
        <f t="shared" si="37"/>
        <v>544.65031917582326</v>
      </c>
      <c r="BO26" t="s">
        <v>402</v>
      </c>
      <c r="BP26">
        <v>0</v>
      </c>
      <c r="BQ26">
        <f t="shared" si="38"/>
        <v>544.65031917582326</v>
      </c>
      <c r="BR26">
        <f t="shared" si="39"/>
        <v>0.66858726364786647</v>
      </c>
      <c r="BS26">
        <f t="shared" si="40"/>
        <v>0.73352572208295463</v>
      </c>
      <c r="BT26">
        <f t="shared" si="41"/>
        <v>0.36541578108432254</v>
      </c>
      <c r="BU26">
        <f t="shared" si="42"/>
        <v>0.77237566475793629</v>
      </c>
      <c r="BV26">
        <f t="shared" si="43"/>
        <v>0.37746410762921029</v>
      </c>
      <c r="BW26">
        <f t="shared" si="44"/>
        <v>0.47706465682275689</v>
      </c>
      <c r="BX26">
        <f t="shared" si="45"/>
        <v>0.52293534317724311</v>
      </c>
      <c r="DG26">
        <f t="shared" si="46"/>
        <v>599.99589999999989</v>
      </c>
      <c r="DH26">
        <f t="shared" si="47"/>
        <v>504.30009405902933</v>
      </c>
      <c r="DI26">
        <f t="shared" si="48"/>
        <v>0.84050590022203386</v>
      </c>
      <c r="DJ26">
        <f t="shared" si="49"/>
        <v>0.16057638742852559</v>
      </c>
      <c r="DK26">
        <v>6</v>
      </c>
      <c r="DL26">
        <v>0.5</v>
      </c>
      <c r="DM26" t="s">
        <v>403</v>
      </c>
      <c r="DN26">
        <v>2</v>
      </c>
      <c r="DO26" t="b">
        <v>0</v>
      </c>
      <c r="DP26">
        <v>1785252321.349999</v>
      </c>
      <c r="DQ26">
        <v>385.72809999999998</v>
      </c>
      <c r="DR26">
        <v>419.99473333333339</v>
      </c>
      <c r="DS26">
        <v>21.424759999999999</v>
      </c>
      <c r="DT26">
        <v>18.986973333333339</v>
      </c>
      <c r="DU26">
        <v>398.78776666666658</v>
      </c>
      <c r="DV26">
        <v>22.791066666666669</v>
      </c>
      <c r="DW26">
        <v>500.03053333333332</v>
      </c>
      <c r="DX26">
        <v>97.350966666666679</v>
      </c>
      <c r="DY26">
        <v>4.9312863333333318E-2</v>
      </c>
      <c r="DZ26">
        <v>25.099959999999999</v>
      </c>
      <c r="EA26">
        <v>25.010336666666671</v>
      </c>
      <c r="EB26">
        <v>999.9000000000002</v>
      </c>
      <c r="EC26">
        <v>0</v>
      </c>
      <c r="ED26">
        <v>0</v>
      </c>
      <c r="EE26">
        <v>9998.3333333333339</v>
      </c>
      <c r="EF26">
        <v>0</v>
      </c>
      <c r="EG26">
        <v>171.60990000000001</v>
      </c>
      <c r="EH26">
        <v>-34.266553333333327</v>
      </c>
      <c r="EI26">
        <v>394.17323333333343</v>
      </c>
      <c r="EJ26">
        <v>428.12339999999989</v>
      </c>
      <c r="EK26">
        <v>2.4377833333333339</v>
      </c>
      <c r="EL26">
        <v>419.99473333333339</v>
      </c>
      <c r="EM26">
        <v>18.986973333333339</v>
      </c>
      <c r="EN26">
        <v>2.0857193333333339</v>
      </c>
      <c r="EO26">
        <v>1.8484</v>
      </c>
      <c r="EP26">
        <v>18.110546666666671</v>
      </c>
      <c r="EQ26">
        <v>16.202206666666669</v>
      </c>
      <c r="ER26">
        <v>599.99589999999989</v>
      </c>
      <c r="ES26">
        <v>0.98299959999999986</v>
      </c>
      <c r="ET26">
        <v>1.700043E-2</v>
      </c>
      <c r="EU26">
        <v>0</v>
      </c>
      <c r="EV26">
        <v>837.34816666666666</v>
      </c>
      <c r="EW26">
        <v>5.0010700000000003</v>
      </c>
      <c r="EX26">
        <v>5754.7570000000014</v>
      </c>
      <c r="EY26">
        <v>5415.0729999999994</v>
      </c>
      <c r="EZ26">
        <v>35.666333333333327</v>
      </c>
      <c r="FA26">
        <v>38.541333333333327</v>
      </c>
      <c r="FB26">
        <v>37.320399999999992</v>
      </c>
      <c r="FC26">
        <v>38.362399999999987</v>
      </c>
      <c r="FD26">
        <v>37.641533333333342</v>
      </c>
      <c r="FE26">
        <v>584.88066666666668</v>
      </c>
      <c r="FF26">
        <v>10.118</v>
      </c>
      <c r="FG26">
        <v>0</v>
      </c>
      <c r="FH26">
        <v>180.9000000953674</v>
      </c>
      <c r="FI26">
        <v>0</v>
      </c>
      <c r="FJ26">
        <v>837.44417647058822</v>
      </c>
      <c r="FK26">
        <v>2.4122549127887098</v>
      </c>
      <c r="FL26">
        <v>43.69852938379141</v>
      </c>
      <c r="FM26">
        <v>5756.3911764705881</v>
      </c>
      <c r="FN26">
        <v>10</v>
      </c>
      <c r="FO26">
        <v>1785252231.0999999</v>
      </c>
      <c r="FP26" t="s">
        <v>718</v>
      </c>
      <c r="FQ26">
        <v>1785252228.5999999</v>
      </c>
      <c r="FR26">
        <v>1785252231.0999999</v>
      </c>
      <c r="FS26">
        <v>10</v>
      </c>
      <c r="FT26">
        <v>-1.2E-2</v>
      </c>
      <c r="FU26">
        <v>-0.01</v>
      </c>
      <c r="FV26">
        <v>-13.191000000000001</v>
      </c>
      <c r="FW26">
        <v>-1.4319999999999999</v>
      </c>
      <c r="FX26">
        <v>420</v>
      </c>
      <c r="FY26">
        <v>19</v>
      </c>
      <c r="FZ26">
        <v>0.25</v>
      </c>
      <c r="GA26">
        <v>0.12</v>
      </c>
      <c r="GB26">
        <v>385.72866666666658</v>
      </c>
      <c r="GC26">
        <v>0.29403337041131888</v>
      </c>
      <c r="GD26">
        <v>5.140319920869333E-2</v>
      </c>
      <c r="GE26">
        <v>-1</v>
      </c>
      <c r="GF26">
        <v>837.2626764705883</v>
      </c>
      <c r="GG26">
        <v>1.4820931985528949</v>
      </c>
      <c r="GH26">
        <v>0.25283437040507017</v>
      </c>
      <c r="GI26">
        <v>1</v>
      </c>
      <c r="GJ26">
        <v>2.4407445000000001</v>
      </c>
      <c r="GK26">
        <v>-6.0296960600384093E-2</v>
      </c>
      <c r="GL26">
        <v>6.8244303608433017E-3</v>
      </c>
      <c r="GM26">
        <v>1</v>
      </c>
      <c r="GN26">
        <v>2</v>
      </c>
      <c r="GO26">
        <v>2</v>
      </c>
      <c r="GP26" t="s">
        <v>404</v>
      </c>
      <c r="GQ26">
        <v>3.1305000000000001</v>
      </c>
      <c r="GR26">
        <v>2.7263099999999998</v>
      </c>
      <c r="GS26">
        <v>8.7456400000000004E-2</v>
      </c>
      <c r="GT26">
        <v>9.1654299999999994E-2</v>
      </c>
      <c r="GU26">
        <v>0.108349</v>
      </c>
      <c r="GV26">
        <v>9.5502400000000001E-2</v>
      </c>
      <c r="GW26">
        <v>22972.9</v>
      </c>
      <c r="GX26">
        <v>30488.5</v>
      </c>
      <c r="GY26">
        <v>27291.3</v>
      </c>
      <c r="GZ26">
        <v>34489.9</v>
      </c>
      <c r="HA26">
        <v>35607.9</v>
      </c>
      <c r="HB26">
        <v>38856.800000000003</v>
      </c>
      <c r="HC26">
        <v>40281.300000000003</v>
      </c>
      <c r="HD26">
        <v>43044.5</v>
      </c>
      <c r="HE26">
        <v>2.0044</v>
      </c>
      <c r="HF26">
        <v>1.8555999999999999</v>
      </c>
      <c r="HG26">
        <v>-1.8775500000000001E-2</v>
      </c>
      <c r="HH26">
        <v>0</v>
      </c>
      <c r="HI26">
        <v>25.322500000000002</v>
      </c>
      <c r="HJ26">
        <v>999.9</v>
      </c>
      <c r="HK26">
        <v>72.900000000000006</v>
      </c>
      <c r="HL26">
        <v>30.8</v>
      </c>
      <c r="HM26">
        <v>33.3979</v>
      </c>
      <c r="HN26">
        <v>60.379300000000001</v>
      </c>
      <c r="HO26">
        <v>5.0040100000000001</v>
      </c>
      <c r="HP26">
        <v>1</v>
      </c>
      <c r="HQ26">
        <v>0.23317099999999999</v>
      </c>
      <c r="HR26">
        <v>2.4845999999999999</v>
      </c>
      <c r="HS26">
        <v>20.265799999999999</v>
      </c>
      <c r="HT26">
        <v>5.2112999999999996</v>
      </c>
      <c r="HU26">
        <v>11.9033</v>
      </c>
      <c r="HV26">
        <v>4.9851999999999999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1.8669100000000001</v>
      </c>
      <c r="IC26">
        <v>1.86249</v>
      </c>
      <c r="ID26">
        <v>1.86188</v>
      </c>
      <c r="IE26">
        <v>1.8614200000000001</v>
      </c>
      <c r="IF26">
        <v>1.8614200000000001</v>
      </c>
      <c r="IG26">
        <v>1.8621799999999999</v>
      </c>
      <c r="IH26">
        <v>1.8630100000000001</v>
      </c>
      <c r="II26">
        <v>1.8609599999999999</v>
      </c>
      <c r="IJ26">
        <v>0</v>
      </c>
      <c r="IK26">
        <v>0</v>
      </c>
      <c r="IL26">
        <v>0</v>
      </c>
      <c r="IM26">
        <v>4.5</v>
      </c>
      <c r="IN26" t="s">
        <v>405</v>
      </c>
      <c r="IO26" t="s">
        <v>406</v>
      </c>
      <c r="IP26" t="s">
        <v>407</v>
      </c>
      <c r="IQ26" t="s">
        <v>408</v>
      </c>
      <c r="IR26" t="s">
        <v>408</v>
      </c>
      <c r="IS26" t="s">
        <v>407</v>
      </c>
      <c r="IT26">
        <v>0</v>
      </c>
      <c r="IU26">
        <v>100</v>
      </c>
      <c r="IV26">
        <v>100</v>
      </c>
      <c r="IW26">
        <v>-13.06</v>
      </c>
      <c r="IX26">
        <v>-1.3665</v>
      </c>
      <c r="IY26">
        <v>-11.176192214050509</v>
      </c>
      <c r="IZ26">
        <v>-5.6215304933332991E-3</v>
      </c>
      <c r="JA26">
        <v>2.3979931213773931E-6</v>
      </c>
      <c r="JB26">
        <v>-3.6297174575716598E-10</v>
      </c>
      <c r="JC26">
        <v>-1.725456007717264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1.7</v>
      </c>
      <c r="JL26">
        <v>1.6</v>
      </c>
      <c r="JM26">
        <v>1.09985</v>
      </c>
      <c r="JN26">
        <v>2.4706999999999999</v>
      </c>
      <c r="JO26">
        <v>1.50024</v>
      </c>
      <c r="JP26">
        <v>2.2802699999999998</v>
      </c>
      <c r="JQ26">
        <v>1.4477500000000001</v>
      </c>
      <c r="JR26">
        <v>2.4609399999999999</v>
      </c>
      <c r="JS26">
        <v>35.3596</v>
      </c>
      <c r="JT26">
        <v>14.491</v>
      </c>
      <c r="JU26">
        <v>18</v>
      </c>
      <c r="JV26">
        <v>537.67899999999997</v>
      </c>
      <c r="JW26">
        <v>457.17200000000003</v>
      </c>
      <c r="JX26">
        <v>23.0686</v>
      </c>
      <c r="JY26">
        <v>30.128799999999998</v>
      </c>
      <c r="JZ26">
        <v>30.0002</v>
      </c>
      <c r="KA26">
        <v>30.136099999999999</v>
      </c>
      <c r="KB26">
        <v>30.142199999999999</v>
      </c>
      <c r="KC26">
        <v>21.994</v>
      </c>
      <c r="KD26">
        <v>45.031199999999998</v>
      </c>
      <c r="KE26">
        <v>0</v>
      </c>
      <c r="KF26">
        <v>23.0672</v>
      </c>
      <c r="KG26">
        <v>420</v>
      </c>
      <c r="KH26">
        <v>18.904900000000001</v>
      </c>
      <c r="KI26">
        <v>100.693</v>
      </c>
      <c r="KJ26">
        <v>97.554699999999997</v>
      </c>
    </row>
    <row r="27" spans="1:296" x14ac:dyDescent="0.3">
      <c r="A27">
        <v>11</v>
      </c>
      <c r="B27">
        <v>1785252510.5999999</v>
      </c>
      <c r="C27">
        <v>1838.599999904633</v>
      </c>
      <c r="D27" t="s">
        <v>719</v>
      </c>
      <c r="E27" t="s">
        <v>720</v>
      </c>
      <c r="F27">
        <v>15</v>
      </c>
      <c r="H27">
        <v>1785252502.849999</v>
      </c>
      <c r="I27">
        <f t="shared" si="0"/>
        <v>1.8644927138970404E-3</v>
      </c>
      <c r="J27">
        <f t="shared" si="1"/>
        <v>1.8644927138970404</v>
      </c>
      <c r="K27">
        <f t="shared" si="2"/>
        <v>21.298771135809623</v>
      </c>
      <c r="L27">
        <f t="shared" si="3"/>
        <v>393.55619999999988</v>
      </c>
      <c r="M27">
        <f t="shared" si="4"/>
        <v>175.33672699316247</v>
      </c>
      <c r="N27">
        <f t="shared" si="5"/>
        <v>17.076959872229505</v>
      </c>
      <c r="O27">
        <f t="shared" si="6"/>
        <v>38.330494415634973</v>
      </c>
      <c r="P27">
        <f t="shared" si="7"/>
        <v>0.16438582246566463</v>
      </c>
      <c r="Q27">
        <f t="shared" si="8"/>
        <v>2.882167717417301</v>
      </c>
      <c r="R27">
        <f t="shared" si="9"/>
        <v>0.15934910912583236</v>
      </c>
      <c r="S27">
        <f t="shared" si="10"/>
        <v>0.10003286688263982</v>
      </c>
      <c r="T27">
        <f t="shared" si="11"/>
        <v>64.411432945507698</v>
      </c>
      <c r="U27">
        <f t="shared" si="12"/>
        <v>24.984517723416193</v>
      </c>
      <c r="V27">
        <f t="shared" si="13"/>
        <v>24.997039999999991</v>
      </c>
      <c r="W27">
        <f t="shared" si="14"/>
        <v>3.1791165075594234</v>
      </c>
      <c r="X27">
        <f t="shared" si="15"/>
        <v>64.755032541804496</v>
      </c>
      <c r="Y27">
        <f t="shared" si="16"/>
        <v>2.0702367857970825</v>
      </c>
      <c r="Z27">
        <f t="shared" si="17"/>
        <v>3.1970284077312145</v>
      </c>
      <c r="AA27">
        <f t="shared" si="18"/>
        <v>1.108879721762341</v>
      </c>
      <c r="AB27">
        <f t="shared" si="19"/>
        <v>-82.224128682859487</v>
      </c>
      <c r="AC27">
        <f t="shared" si="20"/>
        <v>14.647995567268083</v>
      </c>
      <c r="AD27">
        <f t="shared" si="21"/>
        <v>1.0755041343522167</v>
      </c>
      <c r="AE27">
        <f t="shared" si="22"/>
        <v>-2.08919603573149</v>
      </c>
      <c r="AF27">
        <f t="shared" si="23"/>
        <v>21.298771135809623</v>
      </c>
      <c r="AG27">
        <f t="shared" si="24"/>
        <v>1.8644927138970404</v>
      </c>
      <c r="AH27">
        <f t="shared" si="25"/>
        <v>21.318725737502479</v>
      </c>
      <c r="AI27">
        <v>428.2784000337416</v>
      </c>
      <c r="AJ27">
        <v>402.15961212121198</v>
      </c>
      <c r="AK27">
        <v>8.4360629412058817E-3</v>
      </c>
      <c r="AL27">
        <v>67.076427672051722</v>
      </c>
      <c r="AM27">
        <f t="shared" si="26"/>
        <v>1.8537324858178248</v>
      </c>
      <c r="AN27">
        <v>19.07245664507122</v>
      </c>
      <c r="AO27">
        <v>21.249130909090901</v>
      </c>
      <c r="AP27">
        <v>1.4532267981172689E-5</v>
      </c>
      <c r="AQ27">
        <v>78.208629825587693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51791.857672485537</v>
      </c>
      <c r="AW27" t="s">
        <v>680</v>
      </c>
      <c r="AX27">
        <v>13244.2</v>
      </c>
      <c r="AY27">
        <v>599.9176470588236</v>
      </c>
      <c r="AZ27">
        <v>2276.13</v>
      </c>
      <c r="BA27">
        <f t="shared" si="30"/>
        <v>0.73643085102396455</v>
      </c>
      <c r="BB27">
        <v>-2.9242049494140931</v>
      </c>
      <c r="BC27" t="s">
        <v>721</v>
      </c>
      <c r="BD27">
        <v>13273.4</v>
      </c>
      <c r="BE27">
        <v>800.86723529411768</v>
      </c>
      <c r="BF27">
        <v>1814.32</v>
      </c>
      <c r="BG27">
        <f t="shared" si="31"/>
        <v>0.55858545609698518</v>
      </c>
      <c r="BH27">
        <v>0.5</v>
      </c>
      <c r="BI27">
        <f t="shared" si="32"/>
        <v>336.29590254171382</v>
      </c>
      <c r="BJ27">
        <f t="shared" si="33"/>
        <v>21.298771135809623</v>
      </c>
      <c r="BK27">
        <f t="shared" si="34"/>
        <v>93.925000052405238</v>
      </c>
      <c r="BL27">
        <f t="shared" si="35"/>
        <v>7.2028757716484884E-2</v>
      </c>
      <c r="BM27">
        <f t="shared" si="36"/>
        <v>0.25453613475020953</v>
      </c>
      <c r="BN27">
        <f t="shared" si="37"/>
        <v>562.20079204764215</v>
      </c>
      <c r="BO27" t="s">
        <v>402</v>
      </c>
      <c r="BP27">
        <v>0</v>
      </c>
      <c r="BQ27">
        <f t="shared" si="38"/>
        <v>562.20079204764215</v>
      </c>
      <c r="BR27">
        <f t="shared" si="39"/>
        <v>0.69013140347477719</v>
      </c>
      <c r="BS27">
        <f t="shared" si="40"/>
        <v>0.80938999918643795</v>
      </c>
      <c r="BT27">
        <f t="shared" si="41"/>
        <v>0.26944520103705305</v>
      </c>
      <c r="BU27">
        <f t="shared" si="42"/>
        <v>0.83452799827947322</v>
      </c>
      <c r="BV27">
        <f t="shared" si="43"/>
        <v>0.27550805194203609</v>
      </c>
      <c r="BW27">
        <f t="shared" si="44"/>
        <v>0.56818368708883815</v>
      </c>
      <c r="BX27">
        <f t="shared" si="45"/>
        <v>0.43181631291116185</v>
      </c>
      <c r="DG27">
        <f t="shared" si="46"/>
        <v>399.99976666666669</v>
      </c>
      <c r="DH27">
        <f t="shared" si="47"/>
        <v>336.29590254171382</v>
      </c>
      <c r="DI27">
        <f t="shared" si="48"/>
        <v>0.84074024678609516</v>
      </c>
      <c r="DJ27">
        <f t="shared" si="49"/>
        <v>0.16102867629716375</v>
      </c>
      <c r="DK27">
        <v>6</v>
      </c>
      <c r="DL27">
        <v>0.5</v>
      </c>
      <c r="DM27" t="s">
        <v>403</v>
      </c>
      <c r="DN27">
        <v>2</v>
      </c>
      <c r="DO27" t="b">
        <v>0</v>
      </c>
      <c r="DP27">
        <v>1785252502.849999</v>
      </c>
      <c r="DQ27">
        <v>393.55619999999988</v>
      </c>
      <c r="DR27">
        <v>419.98983333333331</v>
      </c>
      <c r="DS27">
        <v>21.256039999999999</v>
      </c>
      <c r="DT27">
        <v>19.06665666666667</v>
      </c>
      <c r="DU27">
        <v>406.62576666666678</v>
      </c>
      <c r="DV27">
        <v>22.62882333333334</v>
      </c>
      <c r="DW27">
        <v>500.10273333333328</v>
      </c>
      <c r="DX27">
        <v>97.346096666666654</v>
      </c>
      <c r="DY27">
        <v>4.9127740000000003E-2</v>
      </c>
      <c r="DZ27">
        <v>25.09131</v>
      </c>
      <c r="EA27">
        <v>24.997039999999991</v>
      </c>
      <c r="EB27">
        <v>999.9000000000002</v>
      </c>
      <c r="EC27">
        <v>0</v>
      </c>
      <c r="ED27">
        <v>0</v>
      </c>
      <c r="EE27">
        <v>9997.6666666666661</v>
      </c>
      <c r="EF27">
        <v>0</v>
      </c>
      <c r="EG27">
        <v>216.9777</v>
      </c>
      <c r="EH27">
        <v>-26.433576666666671</v>
      </c>
      <c r="EI27">
        <v>402.10329999999999</v>
      </c>
      <c r="EJ27">
        <v>428.15313333333341</v>
      </c>
      <c r="EK27">
        <v>2.1893893333333332</v>
      </c>
      <c r="EL27">
        <v>419.98983333333331</v>
      </c>
      <c r="EM27">
        <v>19.06665666666667</v>
      </c>
      <c r="EN27">
        <v>2.069194</v>
      </c>
      <c r="EO27">
        <v>1.8560650000000001</v>
      </c>
      <c r="EP27">
        <v>17.983983333333331</v>
      </c>
      <c r="EQ27">
        <v>16.26711666666667</v>
      </c>
      <c r="ER27">
        <v>399.99976666666669</v>
      </c>
      <c r="ES27">
        <v>0.97501613333333337</v>
      </c>
      <c r="ET27">
        <v>2.498423E-2</v>
      </c>
      <c r="EU27">
        <v>0</v>
      </c>
      <c r="EV27">
        <v>800.82396666666671</v>
      </c>
      <c r="EW27">
        <v>5.0010700000000003</v>
      </c>
      <c r="EX27">
        <v>3953.2370000000001</v>
      </c>
      <c r="EY27">
        <v>3583.695666666667</v>
      </c>
      <c r="EZ27">
        <v>35.068300000000001</v>
      </c>
      <c r="FA27">
        <v>38.25</v>
      </c>
      <c r="FB27">
        <v>36.893599999999999</v>
      </c>
      <c r="FC27">
        <v>38.125</v>
      </c>
      <c r="FD27">
        <v>37.186999999999991</v>
      </c>
      <c r="FE27">
        <v>385.13066666666668</v>
      </c>
      <c r="FF27">
        <v>9.870000000000001</v>
      </c>
      <c r="FG27">
        <v>0</v>
      </c>
      <c r="FH27">
        <v>180.70000004768369</v>
      </c>
      <c r="FI27">
        <v>0</v>
      </c>
      <c r="FJ27">
        <v>800.86723529411768</v>
      </c>
      <c r="FK27">
        <v>-1.228186266591252</v>
      </c>
      <c r="FL27">
        <v>8.0906862119125034</v>
      </c>
      <c r="FM27">
        <v>3954.1917647058822</v>
      </c>
      <c r="FN27">
        <v>10</v>
      </c>
      <c r="FO27">
        <v>1785252385.5999999</v>
      </c>
      <c r="FP27" t="s">
        <v>722</v>
      </c>
      <c r="FQ27">
        <v>1785252377.0999999</v>
      </c>
      <c r="FR27">
        <v>1785252385.5999999</v>
      </c>
      <c r="FS27">
        <v>11</v>
      </c>
      <c r="FT27">
        <v>0.02</v>
      </c>
      <c r="FU27">
        <v>-2E-3</v>
      </c>
      <c r="FV27">
        <v>-13.17</v>
      </c>
      <c r="FW27">
        <v>-1.4319999999999999</v>
      </c>
      <c r="FX27">
        <v>420</v>
      </c>
      <c r="FY27">
        <v>19</v>
      </c>
      <c r="FZ27">
        <v>0.33</v>
      </c>
      <c r="GA27">
        <v>0.12</v>
      </c>
      <c r="GB27">
        <v>393.55290322580629</v>
      </c>
      <c r="GC27">
        <v>0.43799999999949829</v>
      </c>
      <c r="GD27">
        <v>4.9046623532278032E-2</v>
      </c>
      <c r="GE27">
        <v>-1</v>
      </c>
      <c r="GF27">
        <v>800.76455882352946</v>
      </c>
      <c r="GG27">
        <v>0.94100840719736101</v>
      </c>
      <c r="GH27">
        <v>0.24368340009317521</v>
      </c>
      <c r="GI27">
        <v>1</v>
      </c>
      <c r="GJ27">
        <v>2.193091219512195</v>
      </c>
      <c r="GK27">
        <v>-7.9840557491290529E-2</v>
      </c>
      <c r="GL27">
        <v>8.4909507626798591E-3</v>
      </c>
      <c r="GM27">
        <v>1</v>
      </c>
      <c r="GN27">
        <v>2</v>
      </c>
      <c r="GO27">
        <v>2</v>
      </c>
      <c r="GP27" t="s">
        <v>404</v>
      </c>
      <c r="GQ27">
        <v>3.1305399999999999</v>
      </c>
      <c r="GR27">
        <v>2.72539</v>
      </c>
      <c r="GS27">
        <v>8.8743100000000005E-2</v>
      </c>
      <c r="GT27">
        <v>9.1653899999999996E-2</v>
      </c>
      <c r="GU27">
        <v>0.107794</v>
      </c>
      <c r="GV27">
        <v>9.57895E-2</v>
      </c>
      <c r="GW27">
        <v>22939</v>
      </c>
      <c r="GX27">
        <v>30485.9</v>
      </c>
      <c r="GY27">
        <v>27289.7</v>
      </c>
      <c r="GZ27">
        <v>34487.199999999997</v>
      </c>
      <c r="HA27">
        <v>35629.4</v>
      </c>
      <c r="HB27">
        <v>38841.1</v>
      </c>
      <c r="HC27">
        <v>40280</v>
      </c>
      <c r="HD27">
        <v>43040.800000000003</v>
      </c>
      <c r="HE27">
        <v>2.0034000000000001</v>
      </c>
      <c r="HF27">
        <v>1.855</v>
      </c>
      <c r="HG27">
        <v>-2.4288899999999999E-2</v>
      </c>
      <c r="HH27">
        <v>0</v>
      </c>
      <c r="HI27">
        <v>25.393000000000001</v>
      </c>
      <c r="HJ27">
        <v>999.9</v>
      </c>
      <c r="HK27">
        <v>72.599999999999994</v>
      </c>
      <c r="HL27">
        <v>31</v>
      </c>
      <c r="HM27">
        <v>33.645099999999999</v>
      </c>
      <c r="HN27">
        <v>60.3093</v>
      </c>
      <c r="HO27">
        <v>4.8357400000000004</v>
      </c>
      <c r="HP27">
        <v>1</v>
      </c>
      <c r="HQ27">
        <v>0.23565</v>
      </c>
      <c r="HR27">
        <v>2.3612899999999999</v>
      </c>
      <c r="HS27">
        <v>20.2714</v>
      </c>
      <c r="HT27">
        <v>5.2125000000000004</v>
      </c>
      <c r="HU27">
        <v>11.9033</v>
      </c>
      <c r="HV27">
        <v>4.9851999999999999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1.8669100000000001</v>
      </c>
      <c r="IC27">
        <v>1.86249</v>
      </c>
      <c r="ID27">
        <v>1.8619399999999999</v>
      </c>
      <c r="IE27">
        <v>1.8614200000000001</v>
      </c>
      <c r="IF27">
        <v>1.8614200000000001</v>
      </c>
      <c r="IG27">
        <v>1.8621799999999999</v>
      </c>
      <c r="IH27">
        <v>1.86307</v>
      </c>
      <c r="II27">
        <v>1.8610800000000001</v>
      </c>
      <c r="IJ27">
        <v>0</v>
      </c>
      <c r="IK27">
        <v>0</v>
      </c>
      <c r="IL27">
        <v>0</v>
      </c>
      <c r="IM27">
        <v>4.5</v>
      </c>
      <c r="IN27" t="s">
        <v>405</v>
      </c>
      <c r="IO27" t="s">
        <v>406</v>
      </c>
      <c r="IP27" t="s">
        <v>407</v>
      </c>
      <c r="IQ27" t="s">
        <v>408</v>
      </c>
      <c r="IR27" t="s">
        <v>408</v>
      </c>
      <c r="IS27" t="s">
        <v>407</v>
      </c>
      <c r="IT27">
        <v>0</v>
      </c>
      <c r="IU27">
        <v>100</v>
      </c>
      <c r="IV27">
        <v>100</v>
      </c>
      <c r="IW27">
        <v>-13.07</v>
      </c>
      <c r="IX27">
        <v>-1.3729</v>
      </c>
      <c r="IY27">
        <v>-11.155756974039029</v>
      </c>
      <c r="IZ27">
        <v>-5.6215304933332991E-3</v>
      </c>
      <c r="JA27">
        <v>2.3979931213773931E-6</v>
      </c>
      <c r="JB27">
        <v>-3.6297174575716598E-10</v>
      </c>
      <c r="JC27">
        <v>-1.7275703728417251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2.2000000000000002</v>
      </c>
      <c r="JL27">
        <v>2.1</v>
      </c>
      <c r="JM27">
        <v>1.09985</v>
      </c>
      <c r="JN27">
        <v>2.4719199999999999</v>
      </c>
      <c r="JO27">
        <v>1.50024</v>
      </c>
      <c r="JP27">
        <v>2.2802699999999998</v>
      </c>
      <c r="JQ27">
        <v>1.4477500000000001</v>
      </c>
      <c r="JR27">
        <v>2.4548299999999998</v>
      </c>
      <c r="JS27">
        <v>35.498600000000003</v>
      </c>
      <c r="JT27">
        <v>14.4735</v>
      </c>
      <c r="JU27">
        <v>18</v>
      </c>
      <c r="JV27">
        <v>537.322</v>
      </c>
      <c r="JW27">
        <v>457.04899999999998</v>
      </c>
      <c r="JX27">
        <v>23.232600000000001</v>
      </c>
      <c r="JY27">
        <v>30.170500000000001</v>
      </c>
      <c r="JZ27">
        <v>30.0002</v>
      </c>
      <c r="KA27">
        <v>30.169899999999998</v>
      </c>
      <c r="KB27">
        <v>30.175799999999999</v>
      </c>
      <c r="KC27">
        <v>22.0093</v>
      </c>
      <c r="KD27">
        <v>44.828000000000003</v>
      </c>
      <c r="KE27">
        <v>0</v>
      </c>
      <c r="KF27">
        <v>23.2317</v>
      </c>
      <c r="KG27">
        <v>420</v>
      </c>
      <c r="KH27">
        <v>19.056999999999999</v>
      </c>
      <c r="KI27">
        <v>100.68899999999999</v>
      </c>
      <c r="KJ27">
        <v>97.546700000000001</v>
      </c>
    </row>
    <row r="28" spans="1:296" x14ac:dyDescent="0.3">
      <c r="A28">
        <v>12</v>
      </c>
      <c r="B28">
        <v>1785252692.0999999</v>
      </c>
      <c r="C28">
        <v>2020.099999904633</v>
      </c>
      <c r="D28" t="s">
        <v>723</v>
      </c>
      <c r="E28" t="s">
        <v>724</v>
      </c>
      <c r="F28">
        <v>15</v>
      </c>
      <c r="H28">
        <v>1785252684.349999</v>
      </c>
      <c r="I28">
        <f t="shared" si="0"/>
        <v>1.5264193331766813E-3</v>
      </c>
      <c r="J28">
        <f t="shared" si="1"/>
        <v>1.5264193331766813</v>
      </c>
      <c r="K28">
        <f t="shared" si="2"/>
        <v>16.403975291435287</v>
      </c>
      <c r="L28">
        <f t="shared" si="3"/>
        <v>399.56130000000002</v>
      </c>
      <c r="M28">
        <f t="shared" si="4"/>
        <v>194.17088213977982</v>
      </c>
      <c r="N28">
        <f t="shared" si="5"/>
        <v>18.911234741849619</v>
      </c>
      <c r="O28">
        <f t="shared" si="6"/>
        <v>38.915193950754364</v>
      </c>
      <c r="P28">
        <f t="shared" si="7"/>
        <v>0.13422125675365018</v>
      </c>
      <c r="Q28">
        <f t="shared" si="8"/>
        <v>2.8825610843235014</v>
      </c>
      <c r="R28">
        <f t="shared" si="9"/>
        <v>0.13084340427528143</v>
      </c>
      <c r="S28">
        <f t="shared" si="10"/>
        <v>8.2073533944904783E-2</v>
      </c>
      <c r="T28">
        <f t="shared" si="11"/>
        <v>48.439947798764386</v>
      </c>
      <c r="U28">
        <f t="shared" si="12"/>
        <v>24.902963228378503</v>
      </c>
      <c r="V28">
        <f t="shared" si="13"/>
        <v>25.013603333333329</v>
      </c>
      <c r="W28">
        <f t="shared" si="14"/>
        <v>3.1822572809161787</v>
      </c>
      <c r="X28">
        <f t="shared" si="15"/>
        <v>65.249718062009848</v>
      </c>
      <c r="Y28">
        <f t="shared" si="16"/>
        <v>2.0767250277077576</v>
      </c>
      <c r="Z28">
        <f t="shared" si="17"/>
        <v>3.1827341012173402</v>
      </c>
      <c r="AA28">
        <f t="shared" si="18"/>
        <v>1.1055322532084211</v>
      </c>
      <c r="AB28">
        <f t="shared" si="19"/>
        <v>-67.315092593091649</v>
      </c>
      <c r="AC28">
        <f t="shared" si="20"/>
        <v>0.39058364472186941</v>
      </c>
      <c r="AD28">
        <f t="shared" si="21"/>
        <v>2.8665564740398546E-2</v>
      </c>
      <c r="AE28">
        <f t="shared" si="22"/>
        <v>-18.455895584864994</v>
      </c>
      <c r="AF28">
        <f t="shared" si="23"/>
        <v>16.403975291435287</v>
      </c>
      <c r="AG28">
        <f t="shared" si="24"/>
        <v>1.5264193331766813</v>
      </c>
      <c r="AH28">
        <f t="shared" si="25"/>
        <v>16.344026340764501</v>
      </c>
      <c r="AI28">
        <v>428.33219466118408</v>
      </c>
      <c r="AJ28">
        <v>408.30521818181819</v>
      </c>
      <c r="AK28">
        <v>4.6878653550531434E-3</v>
      </c>
      <c r="AL28">
        <v>67.078411673438112</v>
      </c>
      <c r="AM28">
        <f t="shared" si="26"/>
        <v>1.5621665775318714</v>
      </c>
      <c r="AN28">
        <v>19.53502674415326</v>
      </c>
      <c r="AO28">
        <v>21.361512121212119</v>
      </c>
      <c r="AP28">
        <v>1.295596979106947E-3</v>
      </c>
      <c r="AQ28">
        <v>78.21460959681464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51816.15489322885</v>
      </c>
      <c r="AW28" t="s">
        <v>680</v>
      </c>
      <c r="AX28">
        <v>13244.2</v>
      </c>
      <c r="AY28">
        <v>599.9176470588236</v>
      </c>
      <c r="AZ28">
        <v>2276.13</v>
      </c>
      <c r="BA28">
        <f t="shared" si="30"/>
        <v>0.73643085102396455</v>
      </c>
      <c r="BB28">
        <v>-2.9242049494140931</v>
      </c>
      <c r="BC28" t="s">
        <v>725</v>
      </c>
      <c r="BD28">
        <v>13273.4</v>
      </c>
      <c r="BE28">
        <v>770.89794117647068</v>
      </c>
      <c r="BF28">
        <v>1882.76</v>
      </c>
      <c r="BG28">
        <f t="shared" si="31"/>
        <v>0.59054901252604119</v>
      </c>
      <c r="BH28">
        <v>0.5</v>
      </c>
      <c r="BI28">
        <f t="shared" si="32"/>
        <v>252.27389680764998</v>
      </c>
      <c r="BJ28">
        <f t="shared" si="33"/>
        <v>16.403975291435287</v>
      </c>
      <c r="BK28">
        <f t="shared" si="34"/>
        <v>74.490050322927061</v>
      </c>
      <c r="BL28">
        <f t="shared" si="35"/>
        <v>7.6615854773062167E-2</v>
      </c>
      <c r="BM28">
        <f t="shared" si="36"/>
        <v>0.20893263081858554</v>
      </c>
      <c r="BN28">
        <f t="shared" si="37"/>
        <v>568.60556455484402</v>
      </c>
      <c r="BO28" t="s">
        <v>402</v>
      </c>
      <c r="BP28">
        <v>0</v>
      </c>
      <c r="BQ28">
        <f t="shared" si="38"/>
        <v>568.60556455484402</v>
      </c>
      <c r="BR28">
        <f t="shared" si="39"/>
        <v>0.69799360271365229</v>
      </c>
      <c r="BS28">
        <f t="shared" si="40"/>
        <v>0.84606651154123891</v>
      </c>
      <c r="BT28">
        <f t="shared" si="41"/>
        <v>0.23037444843209376</v>
      </c>
      <c r="BU28">
        <f t="shared" si="42"/>
        <v>0.86671761052662477</v>
      </c>
      <c r="BV28">
        <f t="shared" si="43"/>
        <v>0.23467790301734204</v>
      </c>
      <c r="BW28">
        <f t="shared" si="44"/>
        <v>0.62404904819395191</v>
      </c>
      <c r="BX28">
        <f t="shared" si="45"/>
        <v>0.37595095180604809</v>
      </c>
      <c r="DG28">
        <f t="shared" si="46"/>
        <v>299.97856666666672</v>
      </c>
      <c r="DH28">
        <f t="shared" si="47"/>
        <v>252.27389680764998</v>
      </c>
      <c r="DI28">
        <f t="shared" si="48"/>
        <v>0.84097307221277007</v>
      </c>
      <c r="DJ28">
        <f t="shared" si="49"/>
        <v>0.16147802937064629</v>
      </c>
      <c r="DK28">
        <v>6</v>
      </c>
      <c r="DL28">
        <v>0.5</v>
      </c>
      <c r="DM28" t="s">
        <v>403</v>
      </c>
      <c r="DN28">
        <v>2</v>
      </c>
      <c r="DO28" t="b">
        <v>0</v>
      </c>
      <c r="DP28">
        <v>1785252684.349999</v>
      </c>
      <c r="DQ28">
        <v>399.56130000000002</v>
      </c>
      <c r="DR28">
        <v>419.97670000000011</v>
      </c>
      <c r="DS28">
        <v>21.322749999999999</v>
      </c>
      <c r="DT28">
        <v>19.530213333333329</v>
      </c>
      <c r="DU28">
        <v>412.66280000000012</v>
      </c>
      <c r="DV28">
        <v>22.70488666666667</v>
      </c>
      <c r="DW28">
        <v>500.03056666666657</v>
      </c>
      <c r="DX28">
        <v>97.345406666666705</v>
      </c>
      <c r="DY28">
        <v>4.9395960000000003E-2</v>
      </c>
      <c r="DZ28">
        <v>25.016116666666669</v>
      </c>
      <c r="EA28">
        <v>25.013603333333329</v>
      </c>
      <c r="EB28">
        <v>999.9000000000002</v>
      </c>
      <c r="EC28">
        <v>0</v>
      </c>
      <c r="ED28">
        <v>0</v>
      </c>
      <c r="EE28">
        <v>10000</v>
      </c>
      <c r="EF28">
        <v>0</v>
      </c>
      <c r="EG28">
        <v>405.89749999999992</v>
      </c>
      <c r="EH28">
        <v>-20.41539666666667</v>
      </c>
      <c r="EI28">
        <v>408.26663333333329</v>
      </c>
      <c r="EJ28">
        <v>428.34233333333327</v>
      </c>
      <c r="EK28">
        <v>1.7925310000000001</v>
      </c>
      <c r="EL28">
        <v>419.97670000000011</v>
      </c>
      <c r="EM28">
        <v>19.530213333333329</v>
      </c>
      <c r="EN28">
        <v>2.0756706666666669</v>
      </c>
      <c r="EO28">
        <v>1.901176666666667</v>
      </c>
      <c r="EP28">
        <v>18.033676666666668</v>
      </c>
      <c r="EQ28">
        <v>16.64445666666667</v>
      </c>
      <c r="ER28">
        <v>299.97856666666672</v>
      </c>
      <c r="ES28">
        <v>0.96701360000000003</v>
      </c>
      <c r="ET28">
        <v>3.2986283333333338E-2</v>
      </c>
      <c r="EU28">
        <v>0</v>
      </c>
      <c r="EV28">
        <v>770.90213333333327</v>
      </c>
      <c r="EW28">
        <v>5.0010700000000003</v>
      </c>
      <c r="EX28">
        <v>4056.4206666666669</v>
      </c>
      <c r="EY28">
        <v>2667.8473333333332</v>
      </c>
      <c r="EZ28">
        <v>34.691200000000002</v>
      </c>
      <c r="FA28">
        <v>38.070399999999992</v>
      </c>
      <c r="FB28">
        <v>36.616599999999991</v>
      </c>
      <c r="FC28">
        <v>37.936999999999991</v>
      </c>
      <c r="FD28">
        <v>36.875</v>
      </c>
      <c r="FE28">
        <v>285.24666666666673</v>
      </c>
      <c r="FF28">
        <v>9.73</v>
      </c>
      <c r="FG28">
        <v>0</v>
      </c>
      <c r="FH28">
        <v>180.9000000953674</v>
      </c>
      <c r="FI28">
        <v>0</v>
      </c>
      <c r="FJ28">
        <v>770.89794117647068</v>
      </c>
      <c r="FK28">
        <v>-1.0196078707860829</v>
      </c>
      <c r="FL28">
        <v>37.727940978701987</v>
      </c>
      <c r="FM28">
        <v>4058.3029411764701</v>
      </c>
      <c r="FN28">
        <v>10</v>
      </c>
      <c r="FO28">
        <v>1785252567.0999999</v>
      </c>
      <c r="FP28" t="s">
        <v>726</v>
      </c>
      <c r="FQ28">
        <v>1785252564.0999999</v>
      </c>
      <c r="FR28">
        <v>1785252567.0999999</v>
      </c>
      <c r="FS28">
        <v>12</v>
      </c>
      <c r="FT28">
        <v>-8.9999999999999993E-3</v>
      </c>
      <c r="FU28">
        <v>-1.0999999999999999E-2</v>
      </c>
      <c r="FV28">
        <v>-13.179</v>
      </c>
      <c r="FW28">
        <v>-1.4339999999999999</v>
      </c>
      <c r="FX28">
        <v>420</v>
      </c>
      <c r="FY28">
        <v>19</v>
      </c>
      <c r="FZ28">
        <v>0.41</v>
      </c>
      <c r="GA28">
        <v>0.15</v>
      </c>
      <c r="GB28">
        <v>399.56163333333342</v>
      </c>
      <c r="GC28">
        <v>-5.5795328134819787E-3</v>
      </c>
      <c r="GD28">
        <v>2.9186164911172981E-2</v>
      </c>
      <c r="GE28">
        <v>-1</v>
      </c>
      <c r="GF28">
        <v>770.90541176470583</v>
      </c>
      <c r="GG28">
        <v>-0.25857907087178322</v>
      </c>
      <c r="GH28">
        <v>0.1984500407788414</v>
      </c>
      <c r="GI28">
        <v>1</v>
      </c>
      <c r="GJ28">
        <v>1.7792375</v>
      </c>
      <c r="GK28">
        <v>0.31613290806753769</v>
      </c>
      <c r="GL28">
        <v>3.2583131813102309E-2</v>
      </c>
      <c r="GM28">
        <v>1</v>
      </c>
      <c r="GN28">
        <v>2</v>
      </c>
      <c r="GO28">
        <v>2</v>
      </c>
      <c r="GP28" t="s">
        <v>404</v>
      </c>
      <c r="GQ28">
        <v>3.1312099999999998</v>
      </c>
      <c r="GR28">
        <v>2.7256100000000001</v>
      </c>
      <c r="GS28">
        <v>8.9738999999999999E-2</v>
      </c>
      <c r="GT28">
        <v>9.1616900000000001E-2</v>
      </c>
      <c r="GU28">
        <v>0.108191</v>
      </c>
      <c r="GV28">
        <v>9.74714E-2</v>
      </c>
      <c r="GW28">
        <v>22911.1</v>
      </c>
      <c r="GX28">
        <v>30483.1</v>
      </c>
      <c r="GY28">
        <v>27286.7</v>
      </c>
      <c r="GZ28">
        <v>34483.199999999997</v>
      </c>
      <c r="HA28">
        <v>35610.6</v>
      </c>
      <c r="HB28">
        <v>38765.699999999997</v>
      </c>
      <c r="HC28">
        <v>40276.300000000003</v>
      </c>
      <c r="HD28">
        <v>43037.4</v>
      </c>
      <c r="HE28">
        <v>2.0034000000000001</v>
      </c>
      <c r="HF28">
        <v>1.8517999999999999</v>
      </c>
      <c r="HG28">
        <v>-3.21865E-2</v>
      </c>
      <c r="HH28">
        <v>0</v>
      </c>
      <c r="HI28">
        <v>25.567</v>
      </c>
      <c r="HJ28">
        <v>999.9</v>
      </c>
      <c r="HK28">
        <v>72.3</v>
      </c>
      <c r="HL28">
        <v>31.1</v>
      </c>
      <c r="HM28">
        <v>33.698399999999999</v>
      </c>
      <c r="HN28">
        <v>59.929299999999998</v>
      </c>
      <c r="HO28">
        <v>5.1682699999999997</v>
      </c>
      <c r="HP28">
        <v>1</v>
      </c>
      <c r="HQ28">
        <v>0.24207300000000001</v>
      </c>
      <c r="HR28">
        <v>2.60608</v>
      </c>
      <c r="HS28">
        <v>20.265699999999999</v>
      </c>
      <c r="HT28">
        <v>5.2125000000000004</v>
      </c>
      <c r="HU28">
        <v>11.908099999999999</v>
      </c>
      <c r="HV28">
        <v>4.9855999999999998</v>
      </c>
      <c r="HW28">
        <v>3.2706</v>
      </c>
      <c r="HX28">
        <v>9999</v>
      </c>
      <c r="HY28">
        <v>9999</v>
      </c>
      <c r="HZ28">
        <v>9999</v>
      </c>
      <c r="IA28">
        <v>999.9</v>
      </c>
      <c r="IB28">
        <v>1.8669100000000001</v>
      </c>
      <c r="IC28">
        <v>1.86249</v>
      </c>
      <c r="ID28">
        <v>1.8620300000000001</v>
      </c>
      <c r="IE28">
        <v>1.8614200000000001</v>
      </c>
      <c r="IF28">
        <v>1.86148</v>
      </c>
      <c r="IG28">
        <v>1.8621799999999999</v>
      </c>
      <c r="IH28">
        <v>1.8631</v>
      </c>
      <c r="II28">
        <v>1.8610500000000001</v>
      </c>
      <c r="IJ28">
        <v>0</v>
      </c>
      <c r="IK28">
        <v>0</v>
      </c>
      <c r="IL28">
        <v>0</v>
      </c>
      <c r="IM28">
        <v>4.5</v>
      </c>
      <c r="IN28" t="s">
        <v>405</v>
      </c>
      <c r="IO28" t="s">
        <v>406</v>
      </c>
      <c r="IP28" t="s">
        <v>407</v>
      </c>
      <c r="IQ28" t="s">
        <v>408</v>
      </c>
      <c r="IR28" t="s">
        <v>408</v>
      </c>
      <c r="IS28" t="s">
        <v>407</v>
      </c>
      <c r="IT28">
        <v>0</v>
      </c>
      <c r="IU28">
        <v>100</v>
      </c>
      <c r="IV28">
        <v>100</v>
      </c>
      <c r="IW28">
        <v>-13.102</v>
      </c>
      <c r="IX28">
        <v>-1.381</v>
      </c>
      <c r="IY28">
        <v>-11.16462607931245</v>
      </c>
      <c r="IZ28">
        <v>-5.6215304933332991E-3</v>
      </c>
      <c r="JA28">
        <v>2.3979931213773931E-6</v>
      </c>
      <c r="JB28">
        <v>-3.6297174575716598E-10</v>
      </c>
      <c r="JC28">
        <v>-1.738970259112175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2.1</v>
      </c>
      <c r="JL28">
        <v>2.1</v>
      </c>
      <c r="JM28">
        <v>1.10107</v>
      </c>
      <c r="JN28">
        <v>2.4706999999999999</v>
      </c>
      <c r="JO28">
        <v>1.50024</v>
      </c>
      <c r="JP28">
        <v>2.2802699999999998</v>
      </c>
      <c r="JQ28">
        <v>1.4477500000000001</v>
      </c>
      <c r="JR28">
        <v>2.4462899999999999</v>
      </c>
      <c r="JS28">
        <v>35.661299999999997</v>
      </c>
      <c r="JT28">
        <v>14.4472</v>
      </c>
      <c r="JU28">
        <v>18</v>
      </c>
      <c r="JV28">
        <v>537.91099999999994</v>
      </c>
      <c r="JW28">
        <v>455.54</v>
      </c>
      <c r="JX28">
        <v>23.060400000000001</v>
      </c>
      <c r="JY28">
        <v>30.256799999999998</v>
      </c>
      <c r="JZ28">
        <v>30.000900000000001</v>
      </c>
      <c r="KA28">
        <v>30.2376</v>
      </c>
      <c r="KB28">
        <v>30.244299999999999</v>
      </c>
      <c r="KC28">
        <v>22.033899999999999</v>
      </c>
      <c r="KD28">
        <v>43.855600000000003</v>
      </c>
      <c r="KE28">
        <v>0</v>
      </c>
      <c r="KF28">
        <v>23.031700000000001</v>
      </c>
      <c r="KG28">
        <v>420</v>
      </c>
      <c r="KH28">
        <v>19.483000000000001</v>
      </c>
      <c r="KI28">
        <v>100.679</v>
      </c>
      <c r="KJ28">
        <v>97.537400000000005</v>
      </c>
    </row>
    <row r="29" spans="1:296" x14ac:dyDescent="0.3">
      <c r="A29">
        <v>13</v>
      </c>
      <c r="B29">
        <v>1785252873.5999999</v>
      </c>
      <c r="C29">
        <v>2201.599999904633</v>
      </c>
      <c r="D29" t="s">
        <v>727</v>
      </c>
      <c r="E29" t="s">
        <v>728</v>
      </c>
      <c r="F29">
        <v>15</v>
      </c>
      <c r="H29">
        <v>1785252865.599999</v>
      </c>
      <c r="I29">
        <f t="shared" si="0"/>
        <v>1.290617012944319E-3</v>
      </c>
      <c r="J29">
        <f t="shared" si="1"/>
        <v>1.2906170129443191</v>
      </c>
      <c r="K29">
        <f t="shared" si="2"/>
        <v>10.888977274923594</v>
      </c>
      <c r="L29">
        <f t="shared" si="3"/>
        <v>406.29354838709668</v>
      </c>
      <c r="M29">
        <f t="shared" si="4"/>
        <v>240.16662350957716</v>
      </c>
      <c r="N29">
        <f t="shared" si="5"/>
        <v>23.389873567067394</v>
      </c>
      <c r="O29">
        <f t="shared" si="6"/>
        <v>39.569006671363773</v>
      </c>
      <c r="P29">
        <f t="shared" si="7"/>
        <v>0.11088126493180742</v>
      </c>
      <c r="Q29">
        <f t="shared" si="8"/>
        <v>2.8825553254508702</v>
      </c>
      <c r="R29">
        <f t="shared" si="9"/>
        <v>0.1085651096077547</v>
      </c>
      <c r="S29">
        <f t="shared" si="10"/>
        <v>6.8057261225292986E-2</v>
      </c>
      <c r="T29">
        <f t="shared" si="11"/>
        <v>32.486866995635467</v>
      </c>
      <c r="U29">
        <f t="shared" si="12"/>
        <v>24.796784359183441</v>
      </c>
      <c r="V29">
        <f t="shared" si="13"/>
        <v>25.008912903225799</v>
      </c>
      <c r="W29">
        <f t="shared" si="14"/>
        <v>3.181367596821199</v>
      </c>
      <c r="X29">
        <f t="shared" si="15"/>
        <v>64.839493333475971</v>
      </c>
      <c r="Y29">
        <f t="shared" si="16"/>
        <v>2.054720677000426</v>
      </c>
      <c r="Z29">
        <f t="shared" si="17"/>
        <v>3.1689338879204265</v>
      </c>
      <c r="AA29">
        <f t="shared" si="18"/>
        <v>1.1266469198207729</v>
      </c>
      <c r="AB29">
        <f t="shared" si="19"/>
        <v>-56.916210270844466</v>
      </c>
      <c r="AC29">
        <f t="shared" si="20"/>
        <v>-10.205552263362993</v>
      </c>
      <c r="AD29">
        <f t="shared" si="21"/>
        <v>-0.74871109508184164</v>
      </c>
      <c r="AE29">
        <f t="shared" si="22"/>
        <v>-35.383606633653834</v>
      </c>
      <c r="AF29">
        <f t="shared" si="23"/>
        <v>10.888977274923594</v>
      </c>
      <c r="AG29">
        <f t="shared" si="24"/>
        <v>1.2906170129443191</v>
      </c>
      <c r="AH29">
        <f t="shared" si="25"/>
        <v>10.990771924080668</v>
      </c>
      <c r="AI29">
        <v>428.33969545914442</v>
      </c>
      <c r="AJ29">
        <v>415.00665454545452</v>
      </c>
      <c r="AK29">
        <v>-2.2710322909054659E-2</v>
      </c>
      <c r="AL29">
        <v>67.079374731857456</v>
      </c>
      <c r="AM29">
        <f t="shared" si="26"/>
        <v>1.280208871378866</v>
      </c>
      <c r="AN29">
        <v>19.586968851892259</v>
      </c>
      <c r="AO29">
        <v>21.09058666666666</v>
      </c>
      <c r="AP29">
        <v>4.4456205945419859E-5</v>
      </c>
      <c r="AQ29">
        <v>78.217276117682459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51828.554548266118</v>
      </c>
      <c r="AW29" t="s">
        <v>680</v>
      </c>
      <c r="AX29">
        <v>13244.2</v>
      </c>
      <c r="AY29">
        <v>599.9176470588236</v>
      </c>
      <c r="AZ29">
        <v>2276.13</v>
      </c>
      <c r="BA29">
        <f t="shared" si="30"/>
        <v>0.73643085102396455</v>
      </c>
      <c r="BB29">
        <v>-2.9242049494140931</v>
      </c>
      <c r="BC29" t="s">
        <v>729</v>
      </c>
      <c r="BD29">
        <v>13257.3</v>
      </c>
      <c r="BE29">
        <v>736.20411764705875</v>
      </c>
      <c r="BF29">
        <v>1950.27</v>
      </c>
      <c r="BG29">
        <f t="shared" si="31"/>
        <v>0.62251169445919863</v>
      </c>
      <c r="BH29">
        <v>0.5</v>
      </c>
      <c r="BI29">
        <f t="shared" si="32"/>
        <v>168.30480433335617</v>
      </c>
      <c r="BJ29">
        <f t="shared" si="33"/>
        <v>10.888977274923594</v>
      </c>
      <c r="BK29">
        <f t="shared" si="34"/>
        <v>52.385854465590711</v>
      </c>
      <c r="BL29">
        <f t="shared" si="35"/>
        <v>8.2072417831747332E-2</v>
      </c>
      <c r="BM29">
        <f t="shared" si="36"/>
        <v>0.1670845575228046</v>
      </c>
      <c r="BN29">
        <f t="shared" si="37"/>
        <v>574.61266234972186</v>
      </c>
      <c r="BO29" t="s">
        <v>402</v>
      </c>
      <c r="BP29">
        <v>0</v>
      </c>
      <c r="BQ29">
        <f t="shared" si="38"/>
        <v>574.61266234972186</v>
      </c>
      <c r="BR29">
        <f t="shared" si="39"/>
        <v>0.70536763507118405</v>
      </c>
      <c r="BS29">
        <f t="shared" si="40"/>
        <v>0.88253509731329838</v>
      </c>
      <c r="BT29">
        <f t="shared" si="41"/>
        <v>0.19151141912547226</v>
      </c>
      <c r="BU29">
        <f t="shared" si="42"/>
        <v>0.89907340088578191</v>
      </c>
      <c r="BV29">
        <f t="shared" si="43"/>
        <v>0.1944025763968556</v>
      </c>
      <c r="BW29">
        <f t="shared" si="44"/>
        <v>0.6888250550744407</v>
      </c>
      <c r="BX29">
        <f t="shared" si="45"/>
        <v>0.3111749449255593</v>
      </c>
      <c r="DG29">
        <f t="shared" si="46"/>
        <v>200.0146451612903</v>
      </c>
      <c r="DH29">
        <f t="shared" si="47"/>
        <v>168.30480433335617</v>
      </c>
      <c r="DI29">
        <f t="shared" si="48"/>
        <v>0.84146240490358315</v>
      </c>
      <c r="DJ29">
        <f t="shared" si="49"/>
        <v>0.16242244146391532</v>
      </c>
      <c r="DK29">
        <v>6</v>
      </c>
      <c r="DL29">
        <v>0.5</v>
      </c>
      <c r="DM29" t="s">
        <v>403</v>
      </c>
      <c r="DN29">
        <v>2</v>
      </c>
      <c r="DO29" t="b">
        <v>0</v>
      </c>
      <c r="DP29">
        <v>1785252865.599999</v>
      </c>
      <c r="DQ29">
        <v>406.29354838709668</v>
      </c>
      <c r="DR29">
        <v>419.98993548387091</v>
      </c>
      <c r="DS29">
        <v>21.097819354838709</v>
      </c>
      <c r="DT29">
        <v>19.58171290322581</v>
      </c>
      <c r="DU29">
        <v>419.48887096774189</v>
      </c>
      <c r="DV29">
        <v>22.49212903225806</v>
      </c>
      <c r="DW29">
        <v>499.98645161290318</v>
      </c>
      <c r="DX29">
        <v>97.340374193548399</v>
      </c>
      <c r="DY29">
        <v>4.9817770967741933E-2</v>
      </c>
      <c r="DZ29">
        <v>24.943241935483869</v>
      </c>
      <c r="EA29">
        <v>25.008912903225799</v>
      </c>
      <c r="EB29">
        <v>999.90000000000032</v>
      </c>
      <c r="EC29">
        <v>0</v>
      </c>
      <c r="ED29">
        <v>0</v>
      </c>
      <c r="EE29">
        <v>10000.483870967741</v>
      </c>
      <c r="EF29">
        <v>0</v>
      </c>
      <c r="EG29">
        <v>403.40093548387102</v>
      </c>
      <c r="EH29">
        <v>-13.69639677419355</v>
      </c>
      <c r="EI29">
        <v>415.05035483870961</v>
      </c>
      <c r="EJ29">
        <v>428.37835483870958</v>
      </c>
      <c r="EK29">
        <v>1.5161067741935479</v>
      </c>
      <c r="EL29">
        <v>419.98993548387091</v>
      </c>
      <c r="EM29">
        <v>19.58171290322581</v>
      </c>
      <c r="EN29">
        <v>2.053669677419355</v>
      </c>
      <c r="EO29">
        <v>1.90609064516129</v>
      </c>
      <c r="EP29">
        <v>17.864312903225809</v>
      </c>
      <c r="EQ29">
        <v>16.685083870967741</v>
      </c>
      <c r="ER29">
        <v>200.0146451612903</v>
      </c>
      <c r="ES29">
        <v>0.94999193548387095</v>
      </c>
      <c r="ET29">
        <v>5.0007961290322589E-2</v>
      </c>
      <c r="EU29">
        <v>0</v>
      </c>
      <c r="EV29">
        <v>736.14480645161291</v>
      </c>
      <c r="EW29">
        <v>5.0010700000000003</v>
      </c>
      <c r="EX29">
        <v>3230.8783870967741</v>
      </c>
      <c r="EY29">
        <v>1751.953548387097</v>
      </c>
      <c r="EZ29">
        <v>34.436999999999991</v>
      </c>
      <c r="FA29">
        <v>38.003999999999998</v>
      </c>
      <c r="FB29">
        <v>36.436999999999991</v>
      </c>
      <c r="FC29">
        <v>37.875</v>
      </c>
      <c r="FD29">
        <v>36.625</v>
      </c>
      <c r="FE29">
        <v>185.2619354838709</v>
      </c>
      <c r="FF29">
        <v>9.75</v>
      </c>
      <c r="FG29">
        <v>0</v>
      </c>
      <c r="FH29">
        <v>180.70000004768369</v>
      </c>
      <c r="FI29">
        <v>0</v>
      </c>
      <c r="FJ29">
        <v>736.20411764705875</v>
      </c>
      <c r="FK29">
        <v>0.40245100771898462</v>
      </c>
      <c r="FL29">
        <v>-9.1936273324629489</v>
      </c>
      <c r="FM29">
        <v>3230.3488235294121</v>
      </c>
      <c r="FN29">
        <v>10</v>
      </c>
      <c r="FO29">
        <v>1785252748.0999999</v>
      </c>
      <c r="FP29" t="s">
        <v>730</v>
      </c>
      <c r="FQ29">
        <v>1785252748.0999999</v>
      </c>
      <c r="FR29">
        <v>1785252743.0999999</v>
      </c>
      <c r="FS29">
        <v>13</v>
      </c>
      <c r="FT29">
        <v>-6.8000000000000005E-2</v>
      </c>
      <c r="FU29">
        <v>-6.0000000000000001E-3</v>
      </c>
      <c r="FV29">
        <v>-13.247</v>
      </c>
      <c r="FW29">
        <v>-1.4359999999999999</v>
      </c>
      <c r="FX29">
        <v>420</v>
      </c>
      <c r="FY29">
        <v>19</v>
      </c>
      <c r="FZ29">
        <v>0.57999999999999996</v>
      </c>
      <c r="GA29">
        <v>0.15</v>
      </c>
      <c r="GB29">
        <v>406.29116129032258</v>
      </c>
      <c r="GC29">
        <v>0.28141935483765629</v>
      </c>
      <c r="GD29">
        <v>6.8870658003384891E-2</v>
      </c>
      <c r="GE29">
        <v>-1</v>
      </c>
      <c r="GF29">
        <v>736.08694117647065</v>
      </c>
      <c r="GG29">
        <v>1.3238197143807739</v>
      </c>
      <c r="GH29">
        <v>0.18338852058121999</v>
      </c>
      <c r="GI29">
        <v>1</v>
      </c>
      <c r="GJ29">
        <v>1.522699756097561</v>
      </c>
      <c r="GK29">
        <v>-0.12679254355400721</v>
      </c>
      <c r="GL29">
        <v>1.295190926462382E-2</v>
      </c>
      <c r="GM29">
        <v>1</v>
      </c>
      <c r="GN29">
        <v>2</v>
      </c>
      <c r="GO29">
        <v>2</v>
      </c>
      <c r="GP29" t="s">
        <v>404</v>
      </c>
      <c r="GQ29">
        <v>3.1313599999999999</v>
      </c>
      <c r="GR29">
        <v>2.7259600000000002</v>
      </c>
      <c r="GS29">
        <v>9.0828300000000001E-2</v>
      </c>
      <c r="GT29">
        <v>9.1589699999999996E-2</v>
      </c>
      <c r="GU29">
        <v>0.107268</v>
      </c>
      <c r="GV29">
        <v>9.7609399999999999E-2</v>
      </c>
      <c r="GW29">
        <v>22878.799999999999</v>
      </c>
      <c r="GX29">
        <v>30477.1</v>
      </c>
      <c r="GY29">
        <v>27281.5</v>
      </c>
      <c r="GZ29">
        <v>34476.400000000001</v>
      </c>
      <c r="HA29">
        <v>35642.400000000001</v>
      </c>
      <c r="HB29">
        <v>38753.9</v>
      </c>
      <c r="HC29">
        <v>40269.4</v>
      </c>
      <c r="HD29">
        <v>43030.6</v>
      </c>
      <c r="HE29">
        <v>2.0013999999999998</v>
      </c>
      <c r="HF29">
        <v>1.8480000000000001</v>
      </c>
      <c r="HG29">
        <v>-4.0829200000000003E-2</v>
      </c>
      <c r="HH29">
        <v>0</v>
      </c>
      <c r="HI29">
        <v>25.687999999999999</v>
      </c>
      <c r="HJ29">
        <v>999.9</v>
      </c>
      <c r="HK29">
        <v>72</v>
      </c>
      <c r="HL29">
        <v>31.3</v>
      </c>
      <c r="HM29">
        <v>33.944499999999998</v>
      </c>
      <c r="HN29">
        <v>60.339300000000001</v>
      </c>
      <c r="HO29">
        <v>5.3445499999999999</v>
      </c>
      <c r="HP29">
        <v>1</v>
      </c>
      <c r="HQ29">
        <v>0.255</v>
      </c>
      <c r="HR29">
        <v>2.81656</v>
      </c>
      <c r="HS29">
        <v>20.2636</v>
      </c>
      <c r="HT29">
        <v>5.2112999999999996</v>
      </c>
      <c r="HU29">
        <v>11.904500000000001</v>
      </c>
      <c r="HV29">
        <v>4.9855999999999998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1.8669100000000001</v>
      </c>
      <c r="IC29">
        <v>1.86249</v>
      </c>
      <c r="ID29">
        <v>1.8620300000000001</v>
      </c>
      <c r="IE29">
        <v>1.8614200000000001</v>
      </c>
      <c r="IF29">
        <v>1.86145</v>
      </c>
      <c r="IG29">
        <v>1.8621799999999999</v>
      </c>
      <c r="IH29">
        <v>1.8631</v>
      </c>
      <c r="II29">
        <v>1.86111</v>
      </c>
      <c r="IJ29">
        <v>0</v>
      </c>
      <c r="IK29">
        <v>0</v>
      </c>
      <c r="IL29">
        <v>0</v>
      </c>
      <c r="IM29">
        <v>4.5</v>
      </c>
      <c r="IN29" t="s">
        <v>405</v>
      </c>
      <c r="IO29" t="s">
        <v>406</v>
      </c>
      <c r="IP29" t="s">
        <v>407</v>
      </c>
      <c r="IQ29" t="s">
        <v>408</v>
      </c>
      <c r="IR29" t="s">
        <v>408</v>
      </c>
      <c r="IS29" t="s">
        <v>407</v>
      </c>
      <c r="IT29">
        <v>0</v>
      </c>
      <c r="IU29">
        <v>100</v>
      </c>
      <c r="IV29">
        <v>100</v>
      </c>
      <c r="IW29">
        <v>-13.195</v>
      </c>
      <c r="IX29">
        <v>-1.3945000000000001</v>
      </c>
      <c r="IY29">
        <v>-11.23237108856735</v>
      </c>
      <c r="IZ29">
        <v>-5.6215304933332991E-3</v>
      </c>
      <c r="JA29">
        <v>2.3979931213773931E-6</v>
      </c>
      <c r="JB29">
        <v>-3.6297174575716598E-10</v>
      </c>
      <c r="JC29">
        <v>-1.745426298163977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2.1</v>
      </c>
      <c r="JL29">
        <v>2.2000000000000002</v>
      </c>
      <c r="JM29">
        <v>1.10229</v>
      </c>
      <c r="JN29">
        <v>2.47437</v>
      </c>
      <c r="JO29">
        <v>1.50024</v>
      </c>
      <c r="JP29">
        <v>2.2790499999999998</v>
      </c>
      <c r="JQ29">
        <v>1.4477500000000001</v>
      </c>
      <c r="JR29">
        <v>2.35107</v>
      </c>
      <c r="JS29">
        <v>35.824399999999997</v>
      </c>
      <c r="JT29">
        <v>14.4122</v>
      </c>
      <c r="JU29">
        <v>18</v>
      </c>
      <c r="JV29">
        <v>537.61</v>
      </c>
      <c r="JW29">
        <v>453.98599999999999</v>
      </c>
      <c r="JX29">
        <v>22.884899999999998</v>
      </c>
      <c r="JY29">
        <v>30.398800000000001</v>
      </c>
      <c r="JZ29">
        <v>30.000499999999999</v>
      </c>
      <c r="KA29">
        <v>30.352599999999999</v>
      </c>
      <c r="KB29">
        <v>30.3551</v>
      </c>
      <c r="KC29">
        <v>22.0473</v>
      </c>
      <c r="KD29">
        <v>44.204900000000002</v>
      </c>
      <c r="KE29">
        <v>0</v>
      </c>
      <c r="KF29">
        <v>22.8857</v>
      </c>
      <c r="KG29">
        <v>420</v>
      </c>
      <c r="KH29">
        <v>19.630600000000001</v>
      </c>
      <c r="KI29">
        <v>100.661</v>
      </c>
      <c r="KJ29">
        <v>97.520300000000006</v>
      </c>
    </row>
    <row r="30" spans="1:296" x14ac:dyDescent="0.3">
      <c r="A30">
        <v>14</v>
      </c>
      <c r="B30">
        <v>1785253055.0999999</v>
      </c>
      <c r="C30">
        <v>2383.099999904633</v>
      </c>
      <c r="D30" t="s">
        <v>731</v>
      </c>
      <c r="E30" t="s">
        <v>732</v>
      </c>
      <c r="F30">
        <v>15</v>
      </c>
      <c r="H30">
        <v>1785253047.349999</v>
      </c>
      <c r="I30">
        <f t="shared" si="0"/>
        <v>9.4388429900768892E-4</v>
      </c>
      <c r="J30">
        <f t="shared" si="1"/>
        <v>0.94388429900768889</v>
      </c>
      <c r="K30">
        <f t="shared" si="2"/>
        <v>4.484326724167583</v>
      </c>
      <c r="L30">
        <f t="shared" si="3"/>
        <v>414.14953333333341</v>
      </c>
      <c r="M30">
        <f t="shared" si="4"/>
        <v>316.61678711633635</v>
      </c>
      <c r="N30">
        <f t="shared" si="5"/>
        <v>30.835005140391377</v>
      </c>
      <c r="O30">
        <f t="shared" si="6"/>
        <v>40.33362572317354</v>
      </c>
      <c r="P30">
        <f t="shared" si="7"/>
        <v>8.0270029305134216E-2</v>
      </c>
      <c r="Q30">
        <f t="shared" si="8"/>
        <v>2.883088321335654</v>
      </c>
      <c r="R30">
        <f t="shared" si="9"/>
        <v>7.9048828029170778E-2</v>
      </c>
      <c r="S30">
        <f t="shared" si="10"/>
        <v>4.9513689909656523E-2</v>
      </c>
      <c r="T30">
        <f t="shared" si="11"/>
        <v>16.512501217681709</v>
      </c>
      <c r="U30">
        <f t="shared" si="12"/>
        <v>24.7624978234842</v>
      </c>
      <c r="V30">
        <f t="shared" si="13"/>
        <v>24.99667333333333</v>
      </c>
      <c r="W30">
        <f t="shared" si="14"/>
        <v>3.1790470101296258</v>
      </c>
      <c r="X30">
        <f t="shared" si="15"/>
        <v>64.724201621590709</v>
      </c>
      <c r="Y30">
        <f t="shared" si="16"/>
        <v>2.0473740915692904</v>
      </c>
      <c r="Z30">
        <f t="shared" si="17"/>
        <v>3.163228035687855</v>
      </c>
      <c r="AA30">
        <f t="shared" si="18"/>
        <v>1.1316729185603354</v>
      </c>
      <c r="AB30">
        <f t="shared" si="19"/>
        <v>-41.625297586239078</v>
      </c>
      <c r="AC30">
        <f t="shared" si="20"/>
        <v>-13.000939046170052</v>
      </c>
      <c r="AD30">
        <f t="shared" si="21"/>
        <v>-0.95340928308731332</v>
      </c>
      <c r="AE30">
        <f t="shared" si="22"/>
        <v>-39.067144697814733</v>
      </c>
      <c r="AF30">
        <f t="shared" si="23"/>
        <v>4.484326724167583</v>
      </c>
      <c r="AG30">
        <f t="shared" si="24"/>
        <v>0.94388429900768889</v>
      </c>
      <c r="AH30">
        <f t="shared" si="25"/>
        <v>4.5116445664956135</v>
      </c>
      <c r="AI30">
        <v>428.55617347184682</v>
      </c>
      <c r="AJ30">
        <v>423.0466848484848</v>
      </c>
      <c r="AK30">
        <v>-2.6868887336119222E-3</v>
      </c>
      <c r="AL30">
        <v>67.0786545593092</v>
      </c>
      <c r="AM30">
        <f t="shared" si="26"/>
        <v>0.93259688927206508</v>
      </c>
      <c r="AN30">
        <v>19.918614912879889</v>
      </c>
      <c r="AO30">
        <v>21.01421696969696</v>
      </c>
      <c r="AP30">
        <v>-1.117397863570845E-5</v>
      </c>
      <c r="AQ30">
        <v>78.214668957154245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51849.028085539278</v>
      </c>
      <c r="AW30" t="s">
        <v>680</v>
      </c>
      <c r="AX30">
        <v>13244.2</v>
      </c>
      <c r="AY30">
        <v>599.9176470588236</v>
      </c>
      <c r="AZ30">
        <v>2276.13</v>
      </c>
      <c r="BA30">
        <f t="shared" si="30"/>
        <v>0.73643085102396455</v>
      </c>
      <c r="BB30">
        <v>-2.9242049494140931</v>
      </c>
      <c r="BC30" t="s">
        <v>733</v>
      </c>
      <c r="BD30">
        <v>13269</v>
      </c>
      <c r="BE30">
        <v>692.05076470588233</v>
      </c>
      <c r="BF30">
        <v>2006.22</v>
      </c>
      <c r="BG30">
        <f t="shared" si="31"/>
        <v>0.65504742017032913</v>
      </c>
      <c r="BH30">
        <v>0.5</v>
      </c>
      <c r="BI30">
        <f t="shared" si="32"/>
        <v>84.297902276519011</v>
      </c>
      <c r="BJ30">
        <f t="shared" si="33"/>
        <v>4.484326724167583</v>
      </c>
      <c r="BK30">
        <f t="shared" si="34"/>
        <v>27.609561706002147</v>
      </c>
      <c r="BL30">
        <f t="shared" si="35"/>
        <v>8.7885124937982062E-2</v>
      </c>
      <c r="BM30">
        <f t="shared" si="36"/>
        <v>0.1345365912013638</v>
      </c>
      <c r="BN30">
        <f t="shared" si="37"/>
        <v>579.37324846455033</v>
      </c>
      <c r="BO30" t="s">
        <v>402</v>
      </c>
      <c r="BP30">
        <v>0</v>
      </c>
      <c r="BQ30">
        <f t="shared" si="38"/>
        <v>579.37324846455033</v>
      </c>
      <c r="BR30">
        <f t="shared" si="39"/>
        <v>0.71121150797791355</v>
      </c>
      <c r="BS30">
        <f t="shared" si="40"/>
        <v>0.92103040069294195</v>
      </c>
      <c r="BT30">
        <f t="shared" si="41"/>
        <v>0.15907406866408508</v>
      </c>
      <c r="BU30">
        <f t="shared" si="42"/>
        <v>0.93448555536128541</v>
      </c>
      <c r="BV30">
        <f t="shared" si="43"/>
        <v>0.16102375067598138</v>
      </c>
      <c r="BW30">
        <f t="shared" si="44"/>
        <v>0.77107114448585556</v>
      </c>
      <c r="BX30">
        <f t="shared" si="45"/>
        <v>0.22892885551414444</v>
      </c>
      <c r="DG30">
        <f t="shared" si="46"/>
        <v>100.01536</v>
      </c>
      <c r="DH30">
        <f t="shared" si="47"/>
        <v>84.297902276519011</v>
      </c>
      <c r="DI30">
        <f t="shared" si="48"/>
        <v>0.84284956107260933</v>
      </c>
      <c r="DJ30">
        <f t="shared" si="49"/>
        <v>0.16509965287013623</v>
      </c>
      <c r="DK30">
        <v>6</v>
      </c>
      <c r="DL30">
        <v>0.5</v>
      </c>
      <c r="DM30" t="s">
        <v>403</v>
      </c>
      <c r="DN30">
        <v>2</v>
      </c>
      <c r="DO30" t="b">
        <v>0</v>
      </c>
      <c r="DP30">
        <v>1785253047.349999</v>
      </c>
      <c r="DQ30">
        <v>414.14953333333341</v>
      </c>
      <c r="DR30">
        <v>419.99946666666682</v>
      </c>
      <c r="DS30">
        <v>21.022633333333339</v>
      </c>
      <c r="DT30">
        <v>19.91385</v>
      </c>
      <c r="DU30">
        <v>427.34796666666671</v>
      </c>
      <c r="DV30">
        <v>22.427656666666671</v>
      </c>
      <c r="DW30">
        <v>500.02989999999988</v>
      </c>
      <c r="DX30">
        <v>97.339239999999975</v>
      </c>
      <c r="DY30">
        <v>4.9800616666666672E-2</v>
      </c>
      <c r="DZ30">
        <v>24.913029999999999</v>
      </c>
      <c r="EA30">
        <v>24.99667333333333</v>
      </c>
      <c r="EB30">
        <v>999.9000000000002</v>
      </c>
      <c r="EC30">
        <v>0</v>
      </c>
      <c r="ED30">
        <v>0</v>
      </c>
      <c r="EE30">
        <v>10003.66666666667</v>
      </c>
      <c r="EF30">
        <v>0</v>
      </c>
      <c r="EG30">
        <v>375.97570000000002</v>
      </c>
      <c r="EH30">
        <v>-5.850037333333332</v>
      </c>
      <c r="EI30">
        <v>423.04296666666659</v>
      </c>
      <c r="EJ30">
        <v>428.53336666666672</v>
      </c>
      <c r="EK30">
        <v>1.1087806666666671</v>
      </c>
      <c r="EL30">
        <v>419.99946666666682</v>
      </c>
      <c r="EM30">
        <v>19.91385</v>
      </c>
      <c r="EN30">
        <v>2.0463266666666668</v>
      </c>
      <c r="EO30">
        <v>1.938398666666667</v>
      </c>
      <c r="EP30">
        <v>17.807416666666661</v>
      </c>
      <c r="EQ30">
        <v>16.949929999999998</v>
      </c>
      <c r="ER30">
        <v>100.01536</v>
      </c>
      <c r="ES30">
        <v>0.90001976666666661</v>
      </c>
      <c r="ET30">
        <v>9.9980386666666643E-2</v>
      </c>
      <c r="EU30">
        <v>0</v>
      </c>
      <c r="EV30">
        <v>692.08193333333304</v>
      </c>
      <c r="EW30">
        <v>5.0010700000000003</v>
      </c>
      <c r="EX30">
        <v>2305.953</v>
      </c>
      <c r="EY30">
        <v>836.71340000000009</v>
      </c>
      <c r="EZ30">
        <v>34.311999999999998</v>
      </c>
      <c r="FA30">
        <v>38.095599999999997</v>
      </c>
      <c r="FB30">
        <v>36.375</v>
      </c>
      <c r="FC30">
        <v>37.978999999999999</v>
      </c>
      <c r="FD30">
        <v>36.599799999999988</v>
      </c>
      <c r="FE30">
        <v>85.514333333333354</v>
      </c>
      <c r="FF30">
        <v>9.5</v>
      </c>
      <c r="FG30">
        <v>0</v>
      </c>
      <c r="FH30">
        <v>180.9000000953674</v>
      </c>
      <c r="FI30">
        <v>0</v>
      </c>
      <c r="FJ30">
        <v>692.05076470588233</v>
      </c>
      <c r="FK30">
        <v>-0.13161765746125381</v>
      </c>
      <c r="FL30">
        <v>-595.5367623474732</v>
      </c>
      <c r="FM30">
        <v>2314.02</v>
      </c>
      <c r="FN30">
        <v>10</v>
      </c>
      <c r="FO30">
        <v>1785252935.0999999</v>
      </c>
      <c r="FP30" t="s">
        <v>734</v>
      </c>
      <c r="FQ30">
        <v>1785252932.5999999</v>
      </c>
      <c r="FR30">
        <v>1785252935.0999999</v>
      </c>
      <c r="FS30">
        <v>14</v>
      </c>
      <c r="FT30">
        <v>2.7E-2</v>
      </c>
      <c r="FU30">
        <v>-8.9999999999999993E-3</v>
      </c>
      <c r="FV30">
        <v>-13.221</v>
      </c>
      <c r="FW30">
        <v>-1.4379999999999999</v>
      </c>
      <c r="FX30">
        <v>420</v>
      </c>
      <c r="FY30">
        <v>20</v>
      </c>
      <c r="FZ30">
        <v>1.01</v>
      </c>
      <c r="GA30">
        <v>0.23</v>
      </c>
      <c r="GB30">
        <v>414.14789999999999</v>
      </c>
      <c r="GC30">
        <v>0.29245828698637422</v>
      </c>
      <c r="GD30">
        <v>5.3177908947230387E-2</v>
      </c>
      <c r="GE30">
        <v>-1</v>
      </c>
      <c r="GF30">
        <v>692.10849999999994</v>
      </c>
      <c r="GG30">
        <v>-0.46971734186834158</v>
      </c>
      <c r="GH30">
        <v>0.20711168484661069</v>
      </c>
      <c r="GI30">
        <v>1</v>
      </c>
      <c r="GJ30">
        <v>1.1142814999999999</v>
      </c>
      <c r="GK30">
        <v>-0.1142057786116342</v>
      </c>
      <c r="GL30">
        <v>1.1267460572373879E-2</v>
      </c>
      <c r="GM30">
        <v>1</v>
      </c>
      <c r="GN30">
        <v>2</v>
      </c>
      <c r="GO30">
        <v>2</v>
      </c>
      <c r="GP30" t="s">
        <v>404</v>
      </c>
      <c r="GQ30">
        <v>3.1310500000000001</v>
      </c>
      <c r="GR30">
        <v>2.7242099999999998</v>
      </c>
      <c r="GS30">
        <v>9.2064999999999994E-2</v>
      </c>
      <c r="GT30">
        <v>9.1570799999999994E-2</v>
      </c>
      <c r="GU30">
        <v>0.107002</v>
      </c>
      <c r="GV30">
        <v>9.8734799999999998E-2</v>
      </c>
      <c r="GW30">
        <v>22839.5</v>
      </c>
      <c r="GX30">
        <v>30466.400000000001</v>
      </c>
      <c r="GY30">
        <v>27272.7</v>
      </c>
      <c r="GZ30">
        <v>34464.800000000003</v>
      </c>
      <c r="HA30">
        <v>35643.599999999999</v>
      </c>
      <c r="HB30">
        <v>38694.300000000003</v>
      </c>
      <c r="HC30">
        <v>40257.699999999997</v>
      </c>
      <c r="HD30">
        <v>43018</v>
      </c>
      <c r="HE30">
        <v>1.9985999999999999</v>
      </c>
      <c r="HF30">
        <v>1.8448</v>
      </c>
      <c r="HG30">
        <v>-4.51207E-2</v>
      </c>
      <c r="HH30">
        <v>0</v>
      </c>
      <c r="HI30">
        <v>25.733599999999999</v>
      </c>
      <c r="HJ30">
        <v>999.9</v>
      </c>
      <c r="HK30">
        <v>71.8</v>
      </c>
      <c r="HL30">
        <v>31.5</v>
      </c>
      <c r="HM30">
        <v>34.237099999999998</v>
      </c>
      <c r="HN30">
        <v>60.139299999999999</v>
      </c>
      <c r="HO30">
        <v>5.1602600000000001</v>
      </c>
      <c r="HP30">
        <v>1</v>
      </c>
      <c r="HQ30">
        <v>0.27207300000000001</v>
      </c>
      <c r="HR30">
        <v>2.7755999999999998</v>
      </c>
      <c r="HS30">
        <v>20.230399999999999</v>
      </c>
      <c r="HT30">
        <v>5.1981200000000003</v>
      </c>
      <c r="HU30">
        <v>11.9069</v>
      </c>
      <c r="HV30">
        <v>4.9816000000000003</v>
      </c>
      <c r="HW30">
        <v>3.2669999999999999</v>
      </c>
      <c r="HX30">
        <v>9999</v>
      </c>
      <c r="HY30">
        <v>9999</v>
      </c>
      <c r="HZ30">
        <v>9999</v>
      </c>
      <c r="IA30">
        <v>999.9</v>
      </c>
      <c r="IB30">
        <v>1.8672800000000001</v>
      </c>
      <c r="IC30">
        <v>1.8627899999999999</v>
      </c>
      <c r="ID30">
        <v>1.8623400000000001</v>
      </c>
      <c r="IE30">
        <v>1.86172</v>
      </c>
      <c r="IF30">
        <v>1.86178</v>
      </c>
      <c r="IG30">
        <v>1.86249</v>
      </c>
      <c r="IH30">
        <v>1.8633999999999999</v>
      </c>
      <c r="II30">
        <v>1.8614200000000001</v>
      </c>
      <c r="IJ30">
        <v>0</v>
      </c>
      <c r="IK30">
        <v>0</v>
      </c>
      <c r="IL30">
        <v>0</v>
      </c>
      <c r="IM30">
        <v>4.5</v>
      </c>
      <c r="IN30" t="s">
        <v>405</v>
      </c>
      <c r="IO30" t="s">
        <v>406</v>
      </c>
      <c r="IP30" t="s">
        <v>407</v>
      </c>
      <c r="IQ30" t="s">
        <v>408</v>
      </c>
      <c r="IR30" t="s">
        <v>408</v>
      </c>
      <c r="IS30" t="s">
        <v>407</v>
      </c>
      <c r="IT30">
        <v>0</v>
      </c>
      <c r="IU30">
        <v>100</v>
      </c>
      <c r="IV30">
        <v>100</v>
      </c>
      <c r="IW30">
        <v>-13.198</v>
      </c>
      <c r="IX30">
        <v>-1.4053</v>
      </c>
      <c r="IY30">
        <v>-11.205731871972599</v>
      </c>
      <c r="IZ30">
        <v>-5.6215304933332991E-3</v>
      </c>
      <c r="JA30">
        <v>2.3979931213773931E-6</v>
      </c>
      <c r="JB30">
        <v>-3.6297174575716598E-10</v>
      </c>
      <c r="JC30">
        <v>-1.7544266401404891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2</v>
      </c>
      <c r="JL30">
        <v>2</v>
      </c>
      <c r="JM30">
        <v>1.10229</v>
      </c>
      <c r="JN30">
        <v>2.47681</v>
      </c>
      <c r="JO30">
        <v>1.50024</v>
      </c>
      <c r="JP30">
        <v>2.2802699999999998</v>
      </c>
      <c r="JQ30">
        <v>1.4477500000000001</v>
      </c>
      <c r="JR30">
        <v>2.4450699999999999</v>
      </c>
      <c r="JS30">
        <v>36.128500000000003</v>
      </c>
      <c r="JT30">
        <v>23.973700000000001</v>
      </c>
      <c r="JU30">
        <v>18</v>
      </c>
      <c r="JV30">
        <v>537.36</v>
      </c>
      <c r="JW30">
        <v>453.31299999999999</v>
      </c>
      <c r="JX30">
        <v>22.971</v>
      </c>
      <c r="JY30">
        <v>30.607399999999998</v>
      </c>
      <c r="JZ30">
        <v>30.000499999999999</v>
      </c>
      <c r="KA30">
        <v>30.534099999999999</v>
      </c>
      <c r="KB30">
        <v>30.533100000000001</v>
      </c>
      <c r="KC30">
        <v>22.054400000000001</v>
      </c>
      <c r="KD30">
        <v>43.891500000000001</v>
      </c>
      <c r="KE30">
        <v>0</v>
      </c>
      <c r="KF30">
        <v>22.9709</v>
      </c>
      <c r="KG30">
        <v>420</v>
      </c>
      <c r="KH30">
        <v>20.011500000000002</v>
      </c>
      <c r="KI30">
        <v>100.631</v>
      </c>
      <c r="KJ30">
        <v>97.49</v>
      </c>
    </row>
    <row r="31" spans="1:296" x14ac:dyDescent="0.3">
      <c r="A31">
        <v>15</v>
      </c>
      <c r="B31">
        <v>1785253236.5999999</v>
      </c>
      <c r="C31">
        <v>2564.599999904633</v>
      </c>
      <c r="D31" t="s">
        <v>735</v>
      </c>
      <c r="E31" t="s">
        <v>736</v>
      </c>
      <c r="F31">
        <v>15</v>
      </c>
      <c r="H31">
        <v>1785253228.599999</v>
      </c>
      <c r="I31">
        <f t="shared" si="0"/>
        <v>6.1248284933169549E-4</v>
      </c>
      <c r="J31">
        <f t="shared" si="1"/>
        <v>0.6124828493316955</v>
      </c>
      <c r="K31">
        <f t="shared" si="2"/>
        <v>1.0989360263312318</v>
      </c>
      <c r="L31">
        <f t="shared" si="3"/>
        <v>418.37193548387091</v>
      </c>
      <c r="M31">
        <f t="shared" si="4"/>
        <v>376.69001047399354</v>
      </c>
      <c r="N31">
        <f t="shared" si="5"/>
        <v>36.685754318583747</v>
      </c>
      <c r="O31">
        <f t="shared" si="6"/>
        <v>40.745147501094394</v>
      </c>
      <c r="P31">
        <f t="shared" si="7"/>
        <v>5.1971606226357686E-2</v>
      </c>
      <c r="Q31">
        <f t="shared" si="8"/>
        <v>2.8824608352840815</v>
      </c>
      <c r="R31">
        <f t="shared" si="9"/>
        <v>5.1456584225473008E-2</v>
      </c>
      <c r="S31">
        <f t="shared" si="10"/>
        <v>3.2206212382006341E-2</v>
      </c>
      <c r="T31">
        <f t="shared" si="11"/>
        <v>8.2397260844675024</v>
      </c>
      <c r="U31">
        <f t="shared" si="12"/>
        <v>24.775271608832817</v>
      </c>
      <c r="V31">
        <f t="shared" si="13"/>
        <v>24.999035483870969</v>
      </c>
      <c r="W31">
        <f t="shared" si="14"/>
        <v>3.1794947517437055</v>
      </c>
      <c r="X31">
        <f t="shared" si="15"/>
        <v>64.949276559187368</v>
      </c>
      <c r="Y31">
        <f t="shared" si="16"/>
        <v>2.051404967353105</v>
      </c>
      <c r="Z31">
        <f t="shared" si="17"/>
        <v>3.1584723895787938</v>
      </c>
      <c r="AA31">
        <f t="shared" si="18"/>
        <v>1.1280897843906006</v>
      </c>
      <c r="AB31">
        <f t="shared" si="19"/>
        <v>-27.010493655527771</v>
      </c>
      <c r="AC31">
        <f t="shared" si="20"/>
        <v>-17.283903229803563</v>
      </c>
      <c r="AD31">
        <f t="shared" si="21"/>
        <v>-1.2676257363495957</v>
      </c>
      <c r="AE31">
        <f t="shared" si="22"/>
        <v>-37.322296537213425</v>
      </c>
      <c r="AF31">
        <f t="shared" si="23"/>
        <v>1.0989360263312318</v>
      </c>
      <c r="AG31">
        <f t="shared" si="24"/>
        <v>0.6124828493316955</v>
      </c>
      <c r="AH31">
        <f t="shared" si="25"/>
        <v>0.98461432237604962</v>
      </c>
      <c r="AI31">
        <v>428.66142770927922</v>
      </c>
      <c r="AJ31">
        <v>427.42863636363637</v>
      </c>
      <c r="AK31">
        <v>5.0729854208247252E-3</v>
      </c>
      <c r="AL31">
        <v>67.079776298722408</v>
      </c>
      <c r="AM31">
        <f t="shared" si="26"/>
        <v>0.62266633378292202</v>
      </c>
      <c r="AN31">
        <v>20.347046908726441</v>
      </c>
      <c r="AO31">
        <v>21.076265454545439</v>
      </c>
      <c r="AP31">
        <v>3.6156081576533758E-4</v>
      </c>
      <c r="AQ31">
        <v>78.218090452554051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51835.483613566656</v>
      </c>
      <c r="AW31" t="s">
        <v>680</v>
      </c>
      <c r="AX31">
        <v>13244.2</v>
      </c>
      <c r="AY31">
        <v>599.9176470588236</v>
      </c>
      <c r="AZ31">
        <v>2276.13</v>
      </c>
      <c r="BA31">
        <f t="shared" si="30"/>
        <v>0.73643085102396455</v>
      </c>
      <c r="BB31">
        <v>-2.9242049494140931</v>
      </c>
      <c r="BC31" t="s">
        <v>737</v>
      </c>
      <c r="BD31">
        <v>13282.7</v>
      </c>
      <c r="BE31">
        <v>668.73082352941185</v>
      </c>
      <c r="BF31">
        <v>2058.8200000000002</v>
      </c>
      <c r="BG31">
        <f t="shared" si="31"/>
        <v>0.67518732889256383</v>
      </c>
      <c r="BH31">
        <v>0.5</v>
      </c>
      <c r="BI31">
        <f t="shared" si="32"/>
        <v>42.13068152663368</v>
      </c>
      <c r="BJ31">
        <f t="shared" si="33"/>
        <v>1.0989360263312318</v>
      </c>
      <c r="BK31">
        <f t="shared" si="34"/>
        <v>14.223051162195539</v>
      </c>
      <c r="BL31">
        <f t="shared" si="35"/>
        <v>9.5491950995428898E-2</v>
      </c>
      <c r="BM31">
        <f t="shared" si="36"/>
        <v>0.10555075237271831</v>
      </c>
      <c r="BN31">
        <f t="shared" si="37"/>
        <v>583.67972271357473</v>
      </c>
      <c r="BO31" t="s">
        <v>402</v>
      </c>
      <c r="BP31">
        <v>0</v>
      </c>
      <c r="BQ31">
        <f t="shared" si="38"/>
        <v>583.67972271357473</v>
      </c>
      <c r="BR31">
        <f t="shared" si="39"/>
        <v>0.71649793439272269</v>
      </c>
      <c r="BS31">
        <f t="shared" si="40"/>
        <v>0.94234372003434719</v>
      </c>
      <c r="BT31">
        <f t="shared" si="41"/>
        <v>0.12839963626489634</v>
      </c>
      <c r="BU31">
        <f t="shared" si="42"/>
        <v>0.95283222600069195</v>
      </c>
      <c r="BV31">
        <f t="shared" si="43"/>
        <v>0.1296434784164999</v>
      </c>
      <c r="BW31">
        <f t="shared" si="44"/>
        <v>0.82249374764513927</v>
      </c>
      <c r="BX31">
        <f t="shared" si="45"/>
        <v>0.17750625235486073</v>
      </c>
      <c r="DG31">
        <f t="shared" si="46"/>
        <v>49.994861290322589</v>
      </c>
      <c r="DH31">
        <f t="shared" si="47"/>
        <v>42.13068152663368</v>
      </c>
      <c r="DI31">
        <f t="shared" si="48"/>
        <v>0.84270023837007491</v>
      </c>
      <c r="DJ31">
        <f t="shared" si="49"/>
        <v>0.16481146005424463</v>
      </c>
      <c r="DK31">
        <v>6</v>
      </c>
      <c r="DL31">
        <v>0.5</v>
      </c>
      <c r="DM31" t="s">
        <v>403</v>
      </c>
      <c r="DN31">
        <v>2</v>
      </c>
      <c r="DO31" t="b">
        <v>0</v>
      </c>
      <c r="DP31">
        <v>1785253228.599999</v>
      </c>
      <c r="DQ31">
        <v>418.37193548387091</v>
      </c>
      <c r="DR31">
        <v>419.99812903225802</v>
      </c>
      <c r="DS31">
        <v>21.06386451612903</v>
      </c>
      <c r="DT31">
        <v>20.344377419354839</v>
      </c>
      <c r="DU31">
        <v>431.6390967741936</v>
      </c>
      <c r="DV31">
        <v>22.480319354838709</v>
      </c>
      <c r="DW31">
        <v>500.00751612903218</v>
      </c>
      <c r="DX31">
        <v>97.339793548387092</v>
      </c>
      <c r="DY31">
        <v>4.9978674193548393E-2</v>
      </c>
      <c r="DZ31">
        <v>24.8878129032258</v>
      </c>
      <c r="EA31">
        <v>24.999035483870969</v>
      </c>
      <c r="EB31">
        <v>999.90000000000032</v>
      </c>
      <c r="EC31">
        <v>0</v>
      </c>
      <c r="ED31">
        <v>0</v>
      </c>
      <c r="EE31">
        <v>10000</v>
      </c>
      <c r="EF31">
        <v>0</v>
      </c>
      <c r="EG31">
        <v>362.99093548387083</v>
      </c>
      <c r="EH31">
        <v>-1.6261819354838709</v>
      </c>
      <c r="EI31">
        <v>427.37400000000002</v>
      </c>
      <c r="EJ31">
        <v>428.72009677419362</v>
      </c>
      <c r="EK31">
        <v>0.71947812903225794</v>
      </c>
      <c r="EL31">
        <v>419.99812903225802</v>
      </c>
      <c r="EM31">
        <v>20.344377419354839</v>
      </c>
      <c r="EN31">
        <v>2.050351612903226</v>
      </c>
      <c r="EO31">
        <v>1.980317419354839</v>
      </c>
      <c r="EP31">
        <v>17.838612903225801</v>
      </c>
      <c r="EQ31">
        <v>17.287832258064519</v>
      </c>
      <c r="ER31">
        <v>49.994861290322589</v>
      </c>
      <c r="ES31">
        <v>0.90000461290322542</v>
      </c>
      <c r="ET31">
        <v>9.999583870967739E-2</v>
      </c>
      <c r="EU31">
        <v>0</v>
      </c>
      <c r="EV31">
        <v>668.7631612903225</v>
      </c>
      <c r="EW31">
        <v>5.0010700000000003</v>
      </c>
      <c r="EX31">
        <v>1944.4525806451611</v>
      </c>
      <c r="EY31">
        <v>396.22122580645168</v>
      </c>
      <c r="EZ31">
        <v>34.233741935483877</v>
      </c>
      <c r="FA31">
        <v>38.11280645161289</v>
      </c>
      <c r="FB31">
        <v>36.375</v>
      </c>
      <c r="FC31">
        <v>38.036000000000001</v>
      </c>
      <c r="FD31">
        <v>36.561999999999991</v>
      </c>
      <c r="FE31">
        <v>40.494516129032263</v>
      </c>
      <c r="FF31">
        <v>4.5</v>
      </c>
      <c r="FG31">
        <v>0</v>
      </c>
      <c r="FH31">
        <v>180.70000004768369</v>
      </c>
      <c r="FI31">
        <v>0</v>
      </c>
      <c r="FJ31">
        <v>668.73082352941185</v>
      </c>
      <c r="FK31">
        <v>-1.46936275866555</v>
      </c>
      <c r="FL31">
        <v>-5.3676469127558937</v>
      </c>
      <c r="FM31">
        <v>1943.882352941177</v>
      </c>
      <c r="FN31">
        <v>10</v>
      </c>
      <c r="FO31">
        <v>1785253110.0999999</v>
      </c>
      <c r="FP31" t="s">
        <v>738</v>
      </c>
      <c r="FQ31">
        <v>1785253103.5999999</v>
      </c>
      <c r="FR31">
        <v>1785253110.0999999</v>
      </c>
      <c r="FS31">
        <v>15</v>
      </c>
      <c r="FT31">
        <v>-5.2999999999999999E-2</v>
      </c>
      <c r="FU31">
        <v>-1.2999999999999999E-2</v>
      </c>
      <c r="FV31">
        <v>-13.273</v>
      </c>
      <c r="FW31">
        <v>-1.4410000000000001</v>
      </c>
      <c r="FX31">
        <v>420</v>
      </c>
      <c r="FY31">
        <v>20</v>
      </c>
      <c r="FZ31">
        <v>1.44</v>
      </c>
      <c r="GA31">
        <v>0.18</v>
      </c>
      <c r="GB31">
        <v>418.37048387096769</v>
      </c>
      <c r="GC31">
        <v>0.20109677419199201</v>
      </c>
      <c r="GD31">
        <v>4.8056331842715308E-2</v>
      </c>
      <c r="GE31">
        <v>-1</v>
      </c>
      <c r="GF31">
        <v>668.75458823529414</v>
      </c>
      <c r="GG31">
        <v>-0.2330328516507609</v>
      </c>
      <c r="GH31">
        <v>0.1717722701799462</v>
      </c>
      <c r="GI31">
        <v>1</v>
      </c>
      <c r="GJ31">
        <v>0.71550326829268296</v>
      </c>
      <c r="GK31">
        <v>9.6547902439025918E-2</v>
      </c>
      <c r="GL31">
        <v>1.047096214514656E-2</v>
      </c>
      <c r="GM31">
        <v>1</v>
      </c>
      <c r="GN31">
        <v>2</v>
      </c>
      <c r="GO31">
        <v>2</v>
      </c>
      <c r="GP31" t="s">
        <v>404</v>
      </c>
      <c r="GQ31">
        <v>3.1314700000000002</v>
      </c>
      <c r="GR31">
        <v>2.7259199999999999</v>
      </c>
      <c r="GS31">
        <v>9.2714299999999999E-2</v>
      </c>
      <c r="GT31">
        <v>9.1547400000000001E-2</v>
      </c>
      <c r="GU31">
        <v>0.107213</v>
      </c>
      <c r="GV31">
        <v>0.100226</v>
      </c>
      <c r="GW31">
        <v>22815.8</v>
      </c>
      <c r="GX31">
        <v>30457.200000000001</v>
      </c>
      <c r="GY31">
        <v>27264.9</v>
      </c>
      <c r="GZ31">
        <v>34454.9</v>
      </c>
      <c r="HA31">
        <v>35626</v>
      </c>
      <c r="HB31">
        <v>38621.199999999997</v>
      </c>
      <c r="HC31">
        <v>40246.400000000001</v>
      </c>
      <c r="HD31">
        <v>43007.9</v>
      </c>
      <c r="HE31">
        <v>1.9972000000000001</v>
      </c>
      <c r="HF31">
        <v>1.841</v>
      </c>
      <c r="HG31">
        <v>-4.5597600000000002E-2</v>
      </c>
      <c r="HH31">
        <v>0</v>
      </c>
      <c r="HI31">
        <v>25.746600000000001</v>
      </c>
      <c r="HJ31">
        <v>999.9</v>
      </c>
      <c r="HK31">
        <v>71.5</v>
      </c>
      <c r="HL31">
        <v>31.7</v>
      </c>
      <c r="HM31">
        <v>34.483600000000003</v>
      </c>
      <c r="HN31">
        <v>60.039299999999997</v>
      </c>
      <c r="HO31">
        <v>4.9679500000000001</v>
      </c>
      <c r="HP31">
        <v>1</v>
      </c>
      <c r="HQ31">
        <v>0.28845500000000002</v>
      </c>
      <c r="HR31">
        <v>2.89039</v>
      </c>
      <c r="HS31">
        <v>20.2302</v>
      </c>
      <c r="HT31">
        <v>5.2125000000000004</v>
      </c>
      <c r="HU31">
        <v>11.908099999999999</v>
      </c>
      <c r="HV31">
        <v>4.9855999999999998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1.8674599999999999</v>
      </c>
      <c r="IC31">
        <v>1.8630100000000001</v>
      </c>
      <c r="ID31">
        <v>1.86249</v>
      </c>
      <c r="IE31">
        <v>1.8620300000000001</v>
      </c>
      <c r="IF31">
        <v>1.8620300000000001</v>
      </c>
      <c r="IG31">
        <v>1.8627</v>
      </c>
      <c r="IH31">
        <v>1.8635600000000001</v>
      </c>
      <c r="II31">
        <v>1.8615699999999999</v>
      </c>
      <c r="IJ31">
        <v>0</v>
      </c>
      <c r="IK31">
        <v>0</v>
      </c>
      <c r="IL31">
        <v>0</v>
      </c>
      <c r="IM31">
        <v>4.5</v>
      </c>
      <c r="IN31" t="s">
        <v>405</v>
      </c>
      <c r="IO31" t="s">
        <v>406</v>
      </c>
      <c r="IP31" t="s">
        <v>407</v>
      </c>
      <c r="IQ31" t="s">
        <v>408</v>
      </c>
      <c r="IR31" t="s">
        <v>408</v>
      </c>
      <c r="IS31" t="s">
        <v>407</v>
      </c>
      <c r="IT31">
        <v>0</v>
      </c>
      <c r="IU31">
        <v>100</v>
      </c>
      <c r="IV31">
        <v>100</v>
      </c>
      <c r="IW31">
        <v>-13.266999999999999</v>
      </c>
      <c r="IX31">
        <v>-1.4159999999999999</v>
      </c>
      <c r="IY31">
        <v>-11.25835146302742</v>
      </c>
      <c r="IZ31">
        <v>-5.6215304933332991E-3</v>
      </c>
      <c r="JA31">
        <v>2.3979931213773931E-6</v>
      </c>
      <c r="JB31">
        <v>-3.6297174575716598E-10</v>
      </c>
      <c r="JC31">
        <v>-1.767263769400605</v>
      </c>
      <c r="JD31">
        <v>2.7492919904454862E-4</v>
      </c>
      <c r="JE31">
        <v>8.6739513355948885E-4</v>
      </c>
      <c r="JF31">
        <v>-8.2500691715147318E-6</v>
      </c>
      <c r="JG31">
        <v>17</v>
      </c>
      <c r="JH31">
        <v>1914</v>
      </c>
      <c r="JI31">
        <v>2</v>
      </c>
      <c r="JJ31">
        <v>37</v>
      </c>
      <c r="JK31">
        <v>2.2000000000000002</v>
      </c>
      <c r="JL31">
        <v>2.1</v>
      </c>
      <c r="JM31">
        <v>1.1035200000000001</v>
      </c>
      <c r="JN31">
        <v>2.47803</v>
      </c>
      <c r="JO31">
        <v>1.50024</v>
      </c>
      <c r="JP31">
        <v>2.2802699999999998</v>
      </c>
      <c r="JQ31">
        <v>1.4477500000000001</v>
      </c>
      <c r="JR31">
        <v>2.4670399999999999</v>
      </c>
      <c r="JS31">
        <v>37.0747</v>
      </c>
      <c r="JT31">
        <v>23.956199999999999</v>
      </c>
      <c r="JU31">
        <v>18</v>
      </c>
      <c r="JV31">
        <v>538.05200000000002</v>
      </c>
      <c r="JW31">
        <v>452.28699999999998</v>
      </c>
      <c r="JX31">
        <v>22.8825</v>
      </c>
      <c r="JY31">
        <v>30.805499999999999</v>
      </c>
      <c r="JZ31">
        <v>30.000399999999999</v>
      </c>
      <c r="KA31">
        <v>30.7196</v>
      </c>
      <c r="KB31">
        <v>30.7151</v>
      </c>
      <c r="KC31">
        <v>22.058199999999999</v>
      </c>
      <c r="KD31">
        <v>43.247300000000003</v>
      </c>
      <c r="KE31">
        <v>0</v>
      </c>
      <c r="KF31">
        <v>22.874400000000001</v>
      </c>
      <c r="KG31">
        <v>420</v>
      </c>
      <c r="KH31">
        <v>20.383199999999999</v>
      </c>
      <c r="KI31">
        <v>100.602</v>
      </c>
      <c r="KJ31">
        <v>97.464699999999993</v>
      </c>
    </row>
    <row r="32" spans="1:296" x14ac:dyDescent="0.3">
      <c r="A32">
        <v>16</v>
      </c>
      <c r="B32">
        <v>1785253418.0999999</v>
      </c>
      <c r="C32">
        <v>2746.099999904633</v>
      </c>
      <c r="D32" t="s">
        <v>739</v>
      </c>
      <c r="E32" t="s">
        <v>740</v>
      </c>
      <c r="F32">
        <v>15</v>
      </c>
      <c r="H32">
        <v>1785253410.349999</v>
      </c>
      <c r="I32">
        <f t="shared" si="0"/>
        <v>4.1679764061003269E-4</v>
      </c>
      <c r="J32">
        <f t="shared" si="1"/>
        <v>0.41679764061003266</v>
      </c>
      <c r="K32">
        <f t="shared" si="2"/>
        <v>-2.8506644766585496</v>
      </c>
      <c r="L32">
        <f t="shared" si="3"/>
        <v>423.22836666666672</v>
      </c>
      <c r="M32">
        <f t="shared" si="4"/>
        <v>544.08511317094508</v>
      </c>
      <c r="N32">
        <f t="shared" si="5"/>
        <v>52.989618171229097</v>
      </c>
      <c r="O32">
        <f t="shared" si="6"/>
        <v>41.219119961206161</v>
      </c>
      <c r="P32">
        <f t="shared" si="7"/>
        <v>3.527474836009592E-2</v>
      </c>
      <c r="Q32">
        <f t="shared" si="8"/>
        <v>2.8819268062835155</v>
      </c>
      <c r="R32">
        <f t="shared" si="9"/>
        <v>3.5036628434179574E-2</v>
      </c>
      <c r="S32">
        <f t="shared" si="10"/>
        <v>2.1919152759101213E-2</v>
      </c>
      <c r="T32">
        <f t="shared" si="11"/>
        <v>1.5966703903835998E-4</v>
      </c>
      <c r="U32">
        <f t="shared" si="12"/>
        <v>24.747679921534303</v>
      </c>
      <c r="V32">
        <f t="shared" si="13"/>
        <v>25.000053333333341</v>
      </c>
      <c r="W32">
        <f t="shared" si="14"/>
        <v>3.1796877003650388</v>
      </c>
      <c r="X32">
        <f t="shared" si="15"/>
        <v>65.091315109531607</v>
      </c>
      <c r="Y32">
        <f t="shared" si="16"/>
        <v>2.0522249542621518</v>
      </c>
      <c r="Z32">
        <f t="shared" si="17"/>
        <v>3.1528399000831309</v>
      </c>
      <c r="AA32">
        <f t="shared" si="18"/>
        <v>1.127462746102887</v>
      </c>
      <c r="AB32">
        <f t="shared" si="19"/>
        <v>-18.380775950902443</v>
      </c>
      <c r="AC32">
        <f t="shared" si="20"/>
        <v>-22.085907758907869</v>
      </c>
      <c r="AD32">
        <f t="shared" si="21"/>
        <v>-1.6198760406310944</v>
      </c>
      <c r="AE32">
        <f t="shared" si="22"/>
        <v>-42.086400083402367</v>
      </c>
      <c r="AF32">
        <f t="shared" si="23"/>
        <v>-2.8506644766585496</v>
      </c>
      <c r="AG32">
        <f t="shared" si="24"/>
        <v>0.41679764061003266</v>
      </c>
      <c r="AH32">
        <f t="shared" si="25"/>
        <v>-2.5952366336895598</v>
      </c>
      <c r="AI32">
        <v>428.9247539135178</v>
      </c>
      <c r="AJ32">
        <v>432.27211515151492</v>
      </c>
      <c r="AK32">
        <v>-3.1838506499500097E-2</v>
      </c>
      <c r="AL32">
        <v>67.08171627239517</v>
      </c>
      <c r="AM32">
        <f t="shared" si="26"/>
        <v>0.41492057780828573</v>
      </c>
      <c r="AN32">
        <v>20.584164800365059</v>
      </c>
      <c r="AO32">
        <v>21.071686060606051</v>
      </c>
      <c r="AP32">
        <v>-2.2144520082291069E-5</v>
      </c>
      <c r="AQ32">
        <v>78.223287599829504</v>
      </c>
      <c r="AR32">
        <v>0</v>
      </c>
      <c r="AS32">
        <v>0</v>
      </c>
      <c r="AT32">
        <f t="shared" si="27"/>
        <v>1</v>
      </c>
      <c r="AU32">
        <f t="shared" si="28"/>
        <v>0</v>
      </c>
      <c r="AV32">
        <f t="shared" si="29"/>
        <v>51825.471473169222</v>
      </c>
      <c r="AW32" t="s">
        <v>627</v>
      </c>
      <c r="AX32">
        <v>13256.9</v>
      </c>
      <c r="AY32">
        <v>592.51470588235293</v>
      </c>
      <c r="AZ32">
        <v>2263.5100000000002</v>
      </c>
      <c r="BA32">
        <f t="shared" si="30"/>
        <v>0.73823190271642147</v>
      </c>
      <c r="BB32">
        <v>-2.8506644766585501</v>
      </c>
      <c r="BC32" t="s">
        <v>402</v>
      </c>
      <c r="BD32" t="s">
        <v>402</v>
      </c>
      <c r="BE32">
        <v>0</v>
      </c>
      <c r="BF32">
        <v>0</v>
      </c>
      <c r="BG32" t="e">
        <f t="shared" si="31"/>
        <v>#DIV/0!</v>
      </c>
      <c r="BH32">
        <v>0.5</v>
      </c>
      <c r="BI32">
        <f t="shared" si="32"/>
        <v>8.4035283704399992E-4</v>
      </c>
      <c r="BJ32">
        <f t="shared" si="33"/>
        <v>-2.8506644766585496</v>
      </c>
      <c r="BK32" t="e">
        <f t="shared" si="34"/>
        <v>#DIV/0!</v>
      </c>
      <c r="BL32">
        <f t="shared" si="35"/>
        <v>5.2845565609343049E-13</v>
      </c>
      <c r="BM32" t="e">
        <f t="shared" si="36"/>
        <v>#DIV/0!</v>
      </c>
      <c r="BN32" t="e">
        <f t="shared" si="37"/>
        <v>#DIV/0!</v>
      </c>
      <c r="BO32" t="s">
        <v>402</v>
      </c>
      <c r="BP32">
        <v>0</v>
      </c>
      <c r="BQ32" t="e">
        <f t="shared" si="38"/>
        <v>#DIV/0!</v>
      </c>
      <c r="BR32" t="e">
        <f t="shared" si="39"/>
        <v>#DIV/0!</v>
      </c>
      <c r="BS32" t="e">
        <f t="shared" si="40"/>
        <v>#DIV/0!</v>
      </c>
      <c r="BT32" t="e">
        <f t="shared" si="41"/>
        <v>#DIV/0!</v>
      </c>
      <c r="BU32">
        <f t="shared" si="42"/>
        <v>0</v>
      </c>
      <c r="BV32">
        <f t="shared" si="43"/>
        <v>1.354587896188675</v>
      </c>
      <c r="BW32" t="e">
        <f t="shared" si="44"/>
        <v>#DIV/0!</v>
      </c>
      <c r="BX32" t="e">
        <f t="shared" si="45"/>
        <v>#DIV/0!</v>
      </c>
      <c r="DG32">
        <f t="shared" si="46"/>
        <v>1.00021E-2</v>
      </c>
      <c r="DH32">
        <f t="shared" si="47"/>
        <v>8.4035283704399992E-4</v>
      </c>
      <c r="DI32">
        <f t="shared" si="48"/>
        <v>8.4017639999999991E-2</v>
      </c>
      <c r="DJ32">
        <f t="shared" si="49"/>
        <v>1.5963351599999998E-2</v>
      </c>
      <c r="DK32">
        <v>6</v>
      </c>
      <c r="DL32">
        <v>0.5</v>
      </c>
      <c r="DM32" t="s">
        <v>403</v>
      </c>
      <c r="DN32">
        <v>2</v>
      </c>
      <c r="DO32" t="b">
        <v>0</v>
      </c>
      <c r="DP32">
        <v>1785253410.349999</v>
      </c>
      <c r="DQ32">
        <v>423.22836666666672</v>
      </c>
      <c r="DR32">
        <v>420.01943333333332</v>
      </c>
      <c r="DS32">
        <v>21.071770000000001</v>
      </c>
      <c r="DT32">
        <v>20.582180000000001</v>
      </c>
      <c r="DU32">
        <v>436.54970000000009</v>
      </c>
      <c r="DV32">
        <v>22.49902333333333</v>
      </c>
      <c r="DW32">
        <v>500.02856666666668</v>
      </c>
      <c r="DX32">
        <v>97.342343333333346</v>
      </c>
      <c r="DY32">
        <v>4.980522666666666E-2</v>
      </c>
      <c r="DZ32">
        <v>24.85790333333334</v>
      </c>
      <c r="EA32">
        <v>25.000053333333341</v>
      </c>
      <c r="EB32">
        <v>999.9000000000002</v>
      </c>
      <c r="EC32">
        <v>0</v>
      </c>
      <c r="ED32">
        <v>0</v>
      </c>
      <c r="EE32">
        <v>9996.6666666666661</v>
      </c>
      <c r="EF32">
        <v>0</v>
      </c>
      <c r="EG32">
        <v>357.73773333333332</v>
      </c>
      <c r="EH32">
        <v>3.208911333333333</v>
      </c>
      <c r="EI32">
        <v>432.33853333333337</v>
      </c>
      <c r="EJ32">
        <v>428.84603333333342</v>
      </c>
      <c r="EK32">
        <v>0.48958910000000011</v>
      </c>
      <c r="EL32">
        <v>420.01943333333332</v>
      </c>
      <c r="EM32">
        <v>20.582180000000001</v>
      </c>
      <c r="EN32">
        <v>2.0511766666666671</v>
      </c>
      <c r="EO32">
        <v>2.0035176666666672</v>
      </c>
      <c r="EP32">
        <v>17.845009999999998</v>
      </c>
      <c r="EQ32">
        <v>17.47216666666667</v>
      </c>
      <c r="ER32">
        <v>1.00021E-2</v>
      </c>
      <c r="ES32">
        <v>0</v>
      </c>
      <c r="ET32">
        <v>0</v>
      </c>
      <c r="EU32">
        <v>0</v>
      </c>
      <c r="EV32">
        <v>591.39499999999998</v>
      </c>
      <c r="EW32">
        <v>1.00021E-2</v>
      </c>
      <c r="EX32">
        <v>1651.988333333333</v>
      </c>
      <c r="EY32">
        <v>1.7383333333333331</v>
      </c>
      <c r="EZ32">
        <v>34.218499999999992</v>
      </c>
      <c r="FA32">
        <v>39.114299999999993</v>
      </c>
      <c r="FB32">
        <v>36.699799999999989</v>
      </c>
      <c r="FC32">
        <v>38.960166666666659</v>
      </c>
      <c r="FD32">
        <v>36.866333333333323</v>
      </c>
      <c r="FE32">
        <v>0</v>
      </c>
      <c r="FF32">
        <v>0</v>
      </c>
      <c r="FG32">
        <v>0</v>
      </c>
      <c r="FH32">
        <v>181</v>
      </c>
      <c r="FI32">
        <v>0</v>
      </c>
      <c r="FJ32">
        <v>592.51470588235293</v>
      </c>
      <c r="FK32">
        <v>-26.299020892567231</v>
      </c>
      <c r="FL32">
        <v>77.23039258723891</v>
      </c>
      <c r="FM32">
        <v>1653.65</v>
      </c>
      <c r="FN32">
        <v>10</v>
      </c>
      <c r="FO32">
        <v>1785253284.0999999</v>
      </c>
      <c r="FP32" t="s">
        <v>741</v>
      </c>
      <c r="FQ32">
        <v>1785253281.5999999</v>
      </c>
      <c r="FR32">
        <v>1785253284.0999999</v>
      </c>
      <c r="FS32">
        <v>16</v>
      </c>
      <c r="FT32">
        <v>-3.5999999999999997E-2</v>
      </c>
      <c r="FU32">
        <v>-1.0999999999999999E-2</v>
      </c>
      <c r="FV32">
        <v>-13.308999999999999</v>
      </c>
      <c r="FW32">
        <v>-1.4450000000000001</v>
      </c>
      <c r="FX32">
        <v>420</v>
      </c>
      <c r="FY32">
        <v>20</v>
      </c>
      <c r="FZ32">
        <v>2.09</v>
      </c>
      <c r="GA32">
        <v>0.51</v>
      </c>
      <c r="GB32">
        <v>423.23093333333333</v>
      </c>
      <c r="GC32">
        <v>1.804671857602699E-2</v>
      </c>
      <c r="GD32">
        <v>6.1230130564040933E-2</v>
      </c>
      <c r="GE32">
        <v>-1</v>
      </c>
      <c r="GF32">
        <v>593.00294117647059</v>
      </c>
      <c r="GG32">
        <v>-5.3689840480328188</v>
      </c>
      <c r="GH32">
        <v>4.9679552720183704</v>
      </c>
      <c r="GI32">
        <v>1</v>
      </c>
      <c r="GJ32">
        <v>0.48852042499999998</v>
      </c>
      <c r="GK32">
        <v>1.482852157598284E-2</v>
      </c>
      <c r="GL32">
        <v>4.5080537978572279E-3</v>
      </c>
      <c r="GM32">
        <v>1</v>
      </c>
      <c r="GN32">
        <v>2</v>
      </c>
      <c r="GO32">
        <v>2</v>
      </c>
      <c r="GP32" t="s">
        <v>404</v>
      </c>
      <c r="GQ32">
        <v>3.1303800000000002</v>
      </c>
      <c r="GR32">
        <v>2.7265299999999999</v>
      </c>
      <c r="GS32">
        <v>9.3484600000000001E-2</v>
      </c>
      <c r="GT32">
        <v>9.1502E-2</v>
      </c>
      <c r="GU32">
        <v>0.10720200000000001</v>
      </c>
      <c r="GV32">
        <v>0.10102800000000001</v>
      </c>
      <c r="GW32">
        <v>22793.4</v>
      </c>
      <c r="GX32">
        <v>30455.3</v>
      </c>
      <c r="GY32">
        <v>27261.7</v>
      </c>
      <c r="GZ32">
        <v>34451.599999999999</v>
      </c>
      <c r="HA32">
        <v>35624</v>
      </c>
      <c r="HB32">
        <v>38584.199999999997</v>
      </c>
      <c r="HC32">
        <v>40243.199999999997</v>
      </c>
      <c r="HD32">
        <v>43005</v>
      </c>
      <c r="HE32">
        <v>1.9947999999999999</v>
      </c>
      <c r="HF32">
        <v>1.8391999999999999</v>
      </c>
      <c r="HG32">
        <v>-4.5448500000000003E-2</v>
      </c>
      <c r="HH32">
        <v>0</v>
      </c>
      <c r="HI32">
        <v>25.7379</v>
      </c>
      <c r="HJ32">
        <v>999.9</v>
      </c>
      <c r="HK32">
        <v>71</v>
      </c>
      <c r="HL32">
        <v>32</v>
      </c>
      <c r="HM32">
        <v>34.828899999999997</v>
      </c>
      <c r="HN32">
        <v>59.719299999999997</v>
      </c>
      <c r="HO32">
        <v>4.9719499999999996</v>
      </c>
      <c r="HP32">
        <v>1</v>
      </c>
      <c r="HQ32">
        <v>0.29613800000000001</v>
      </c>
      <c r="HR32">
        <v>2.9146000000000001</v>
      </c>
      <c r="HS32">
        <v>20.231999999999999</v>
      </c>
      <c r="HT32">
        <v>5.2112999999999996</v>
      </c>
      <c r="HU32">
        <v>11.908099999999999</v>
      </c>
      <c r="HV32">
        <v>4.9859999999999998</v>
      </c>
      <c r="HW32">
        <v>3.2707999999999999</v>
      </c>
      <c r="HX32">
        <v>9999</v>
      </c>
      <c r="HY32">
        <v>9999</v>
      </c>
      <c r="HZ32">
        <v>9999</v>
      </c>
      <c r="IA32">
        <v>999.9</v>
      </c>
      <c r="IB32">
        <v>1.8675200000000001</v>
      </c>
      <c r="IC32">
        <v>1.8631</v>
      </c>
      <c r="ID32">
        <v>1.86249</v>
      </c>
      <c r="IE32">
        <v>1.8620300000000001</v>
      </c>
      <c r="IF32">
        <v>1.8620300000000001</v>
      </c>
      <c r="IG32">
        <v>1.8627899999999999</v>
      </c>
      <c r="IH32">
        <v>1.8635600000000001</v>
      </c>
      <c r="II32">
        <v>1.8615999999999999</v>
      </c>
      <c r="IJ32">
        <v>0</v>
      </c>
      <c r="IK32">
        <v>0</v>
      </c>
      <c r="IL32">
        <v>0</v>
      </c>
      <c r="IM32">
        <v>4.5</v>
      </c>
      <c r="IN32" t="s">
        <v>405</v>
      </c>
      <c r="IO32" t="s">
        <v>406</v>
      </c>
      <c r="IP32" t="s">
        <v>407</v>
      </c>
      <c r="IQ32" t="s">
        <v>408</v>
      </c>
      <c r="IR32" t="s">
        <v>408</v>
      </c>
      <c r="IS32" t="s">
        <v>407</v>
      </c>
      <c r="IT32">
        <v>0</v>
      </c>
      <c r="IU32">
        <v>100</v>
      </c>
      <c r="IV32">
        <v>100</v>
      </c>
      <c r="IW32">
        <v>-13.321</v>
      </c>
      <c r="IX32">
        <v>-1.4272</v>
      </c>
      <c r="IY32">
        <v>-11.293982420424941</v>
      </c>
      <c r="IZ32">
        <v>-5.6215304933332991E-3</v>
      </c>
      <c r="JA32">
        <v>2.3979931213773931E-6</v>
      </c>
      <c r="JB32">
        <v>-3.6297174575716598E-10</v>
      </c>
      <c r="JC32">
        <v>-1.7785602133411991</v>
      </c>
      <c r="JD32">
        <v>2.7492919904454862E-4</v>
      </c>
      <c r="JE32">
        <v>8.6739513355948885E-4</v>
      </c>
      <c r="JF32">
        <v>-8.2500691715147318E-6</v>
      </c>
      <c r="JG32">
        <v>17</v>
      </c>
      <c r="JH32">
        <v>1914</v>
      </c>
      <c r="JI32">
        <v>2</v>
      </c>
      <c r="JJ32">
        <v>37</v>
      </c>
      <c r="JK32">
        <v>2.2999999999999998</v>
      </c>
      <c r="JL32">
        <v>2.2000000000000002</v>
      </c>
      <c r="JM32">
        <v>1.10229</v>
      </c>
      <c r="JN32">
        <v>2.4719199999999999</v>
      </c>
      <c r="JO32">
        <v>1.50024</v>
      </c>
      <c r="JP32">
        <v>2.2802699999999998</v>
      </c>
      <c r="JQ32">
        <v>1.4477500000000001</v>
      </c>
      <c r="JR32">
        <v>2.49146</v>
      </c>
      <c r="JS32">
        <v>37.747</v>
      </c>
      <c r="JT32">
        <v>23.947399999999998</v>
      </c>
      <c r="JU32">
        <v>18</v>
      </c>
      <c r="JV32">
        <v>537.46400000000006</v>
      </c>
      <c r="JW32">
        <v>451.98899999999998</v>
      </c>
      <c r="JX32">
        <v>22.8644</v>
      </c>
      <c r="JY32">
        <v>30.9023</v>
      </c>
      <c r="JZ32">
        <v>30.000399999999999</v>
      </c>
      <c r="KA32">
        <v>30.8338</v>
      </c>
      <c r="KB32">
        <v>30.826599999999999</v>
      </c>
      <c r="KC32">
        <v>22.054200000000002</v>
      </c>
      <c r="KD32">
        <v>43.153100000000002</v>
      </c>
      <c r="KE32">
        <v>0</v>
      </c>
      <c r="KF32">
        <v>22.8614</v>
      </c>
      <c r="KG32">
        <v>420</v>
      </c>
      <c r="KH32">
        <v>20.532299999999999</v>
      </c>
      <c r="KI32">
        <v>100.593</v>
      </c>
      <c r="KJ32">
        <v>97.456900000000005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7-25-Plt7-P11</vt:lpstr>
      <vt:lpstr>7-25-Plt16-P08</vt:lpstr>
      <vt:lpstr>7-25_plt19_H3</vt:lpstr>
      <vt:lpstr>7-27-Plt1-P10</vt:lpstr>
      <vt:lpstr>7-28_Plt23_7</vt:lpstr>
      <vt:lpstr>7-28_Plt27_P2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2026-07-29T15:32:26Z</dcterms:modified>
</cp:coreProperties>
</file>