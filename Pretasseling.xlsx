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Li_6800\"/>
    </mc:Choice>
  </mc:AlternateContent>
  <xr:revisionPtr revIDLastSave="0" documentId="13_ncr:1_{485502EB-086F-4916-B0DD-9EFDC358769E}" xr6:coauthVersionLast="47" xr6:coauthVersionMax="47" xr10:uidLastSave="{00000000-0000-0000-0000-000000000000}"/>
  <bookViews>
    <workbookView xWindow="-108" yWindow="-108" windowWidth="23256" windowHeight="13896" firstSheet="6" activeTab="6" xr2:uid="{00000000-000D-0000-FFFF-FFFF00000000}"/>
  </bookViews>
  <sheets>
    <sheet name="7_3_Plt23_R3_M3_H2_P3_BT" sheetId="1" r:id="rId1"/>
    <sheet name="7_3_Plt_17_R2_M1_H1_P4_BT" sheetId="2" r:id="rId2"/>
    <sheet name="7_3_Plt7_R1_M2_H1_P8_BT" sheetId="3" r:id="rId3"/>
    <sheet name="7_2_Plt1_R1_M2_H3_P12_BT" sheetId="5" r:id="rId4"/>
    <sheet name="7_2_Plt10_R2_M3_H3_P11_BT" sheetId="6" r:id="rId5"/>
    <sheet name="7_2_Plt19_R3_M1_H1_P2_BT" sheetId="7" r:id="rId6"/>
    <sheet name="7_1_Plt__R3_M3_H2_P7_BT" sheetId="9" r:id="rId7"/>
    <sheet name="7_1_Plt16_R2_M1_H2_P8_BT" sheetId="10" r:id="rId8"/>
    <sheet name="7_1_Plt8_R1_M2_H3_P2_BT" sheetId="11" r:id="rId9"/>
    <sheet name="6_30_Plt_15_R2_M2_H1_5" sheetId="12" r:id="rId10"/>
    <sheet name="6_30_Plt_16_M1_P8_H2_P8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31" i="13" l="1"/>
  <c r="DI31" i="13"/>
  <c r="DG31" i="13"/>
  <c r="DH31" i="13" s="1"/>
  <c r="BV31" i="13"/>
  <c r="BU31" i="13"/>
  <c r="BN31" i="13"/>
  <c r="BQ31" i="13" s="1"/>
  <c r="BM31" i="13"/>
  <c r="BJ31" i="13"/>
  <c r="BL31" i="13" s="1"/>
  <c r="BI31" i="13"/>
  <c r="BG31" i="13"/>
  <c r="BK31" i="13" s="1"/>
  <c r="BA31" i="13"/>
  <c r="AV31" i="13"/>
  <c r="AT31" i="13"/>
  <c r="AU31" i="13" s="1"/>
  <c r="AM31" i="13"/>
  <c r="AH31" i="13"/>
  <c r="AG31" i="13"/>
  <c r="AF31" i="13"/>
  <c r="AB31" i="13"/>
  <c r="Z31" i="13"/>
  <c r="Y31" i="13"/>
  <c r="X31" i="13"/>
  <c r="T31" i="13"/>
  <c r="Q31" i="13"/>
  <c r="O31" i="13"/>
  <c r="L31" i="13"/>
  <c r="K31" i="13"/>
  <c r="J31" i="13"/>
  <c r="I31" i="13"/>
  <c r="DJ30" i="13"/>
  <c r="DI30" i="13"/>
  <c r="DG30" i="13"/>
  <c r="DH30" i="13" s="1"/>
  <c r="BI30" i="13" s="1"/>
  <c r="BV30" i="13"/>
  <c r="BU30" i="13"/>
  <c r="BT30" i="13"/>
  <c r="BM30" i="13"/>
  <c r="BG30" i="13"/>
  <c r="BA30" i="13"/>
  <c r="BN30" i="13" s="1"/>
  <c r="BQ30" i="13" s="1"/>
  <c r="BR30" i="13" s="1"/>
  <c r="AV30" i="13"/>
  <c r="AT30" i="13"/>
  <c r="AG30" i="13" s="1"/>
  <c r="AM30" i="13"/>
  <c r="AH30" i="13"/>
  <c r="Z30" i="13"/>
  <c r="Y30" i="13"/>
  <c r="X30" i="13"/>
  <c r="T30" i="13"/>
  <c r="Q30" i="13"/>
  <c r="J30" i="13"/>
  <c r="I30" i="13"/>
  <c r="AB30" i="13" s="1"/>
  <c r="DJ29" i="13"/>
  <c r="DI29" i="13"/>
  <c r="DG29" i="13"/>
  <c r="DH29" i="13" s="1"/>
  <c r="BV29" i="13"/>
  <c r="BU29" i="13"/>
  <c r="BR29" i="13"/>
  <c r="BQ29" i="13"/>
  <c r="BN29" i="13"/>
  <c r="BM29" i="13"/>
  <c r="BJ29" i="13"/>
  <c r="BL29" i="13" s="1"/>
  <c r="BI29" i="13"/>
  <c r="BG29" i="13"/>
  <c r="BK29" i="13" s="1"/>
  <c r="BA29" i="13"/>
  <c r="AV29" i="13"/>
  <c r="AT29" i="13"/>
  <c r="AU29" i="13" s="1"/>
  <c r="AM29" i="13"/>
  <c r="AH29" i="13"/>
  <c r="AG29" i="13"/>
  <c r="AF29" i="13"/>
  <c r="Z29" i="13"/>
  <c r="Y29" i="13"/>
  <c r="X29" i="13"/>
  <c r="T29" i="13"/>
  <c r="Q29" i="13"/>
  <c r="O29" i="13"/>
  <c r="L29" i="13"/>
  <c r="K29" i="13"/>
  <c r="J29" i="13"/>
  <c r="I29" i="13" s="1"/>
  <c r="DJ28" i="13"/>
  <c r="DI28" i="13"/>
  <c r="DG28" i="13"/>
  <c r="DH28" i="13" s="1"/>
  <c r="BI28" i="13" s="1"/>
  <c r="BV28" i="13"/>
  <c r="BU28" i="13"/>
  <c r="BT28" i="13"/>
  <c r="BS28" i="13"/>
  <c r="BW28" i="13" s="1"/>
  <c r="BX28" i="13" s="1"/>
  <c r="BM28" i="13"/>
  <c r="BG28" i="13"/>
  <c r="BA28" i="13"/>
  <c r="BN28" i="13" s="1"/>
  <c r="BQ28" i="13" s="1"/>
  <c r="BR28" i="13" s="1"/>
  <c r="AV28" i="13"/>
  <c r="AT28" i="13"/>
  <c r="AF28" i="13" s="1"/>
  <c r="K28" i="13" s="1"/>
  <c r="BJ28" i="13" s="1"/>
  <c r="BL28" i="13" s="1"/>
  <c r="AM28" i="13"/>
  <c r="AH28" i="13"/>
  <c r="AG28" i="13"/>
  <c r="J28" i="13" s="1"/>
  <c r="I28" i="13" s="1"/>
  <c r="Z28" i="13"/>
  <c r="Y28" i="13"/>
  <c r="X28" i="13"/>
  <c r="T28" i="13"/>
  <c r="Q28" i="13"/>
  <c r="DJ27" i="13"/>
  <c r="DI27" i="13"/>
  <c r="DG27" i="13"/>
  <c r="DH27" i="13" s="1"/>
  <c r="BV27" i="13"/>
  <c r="BU27" i="13"/>
  <c r="BN27" i="13"/>
  <c r="BQ27" i="13" s="1"/>
  <c r="BM27" i="13"/>
  <c r="BL27" i="13"/>
  <c r="BJ27" i="13"/>
  <c r="BI27" i="13"/>
  <c r="BG27" i="13"/>
  <c r="BK27" i="13" s="1"/>
  <c r="BA27" i="13"/>
  <c r="AV27" i="13"/>
  <c r="AT27" i="13"/>
  <c r="AU27" i="13" s="1"/>
  <c r="AM27" i="13"/>
  <c r="AH27" i="13"/>
  <c r="AG27" i="13"/>
  <c r="AF27" i="13"/>
  <c r="Z27" i="13"/>
  <c r="Y27" i="13"/>
  <c r="X27" i="13"/>
  <c r="T27" i="13"/>
  <c r="Q27" i="13"/>
  <c r="O27" i="13"/>
  <c r="L27" i="13"/>
  <c r="K27" i="13"/>
  <c r="J27" i="13"/>
  <c r="I27" i="13"/>
  <c r="DJ26" i="13"/>
  <c r="DI26" i="13"/>
  <c r="DG26" i="13"/>
  <c r="DH26" i="13" s="1"/>
  <c r="BI26" i="13" s="1"/>
  <c r="BV26" i="13"/>
  <c r="BU26" i="13"/>
  <c r="BT26" i="13"/>
  <c r="BS26" i="13"/>
  <c r="BW26" i="13" s="1"/>
  <c r="BX26" i="13" s="1"/>
  <c r="BM26" i="13"/>
  <c r="BG26" i="13"/>
  <c r="BA26" i="13"/>
  <c r="BN26" i="13" s="1"/>
  <c r="BQ26" i="13" s="1"/>
  <c r="BR26" i="13" s="1"/>
  <c r="AV26" i="13"/>
  <c r="AT26" i="13"/>
  <c r="O26" i="13" s="1"/>
  <c r="AM26" i="13"/>
  <c r="AH26" i="13"/>
  <c r="AG26" i="13"/>
  <c r="J26" i="13" s="1"/>
  <c r="I26" i="13" s="1"/>
  <c r="AB26" i="13" s="1"/>
  <c r="AF26" i="13"/>
  <c r="K26" i="13" s="1"/>
  <c r="BJ26" i="13" s="1"/>
  <c r="Z26" i="13"/>
  <c r="Y26" i="13"/>
  <c r="X26" i="13"/>
  <c r="T26" i="13"/>
  <c r="Q26" i="13"/>
  <c r="DJ25" i="13"/>
  <c r="DI25" i="13"/>
  <c r="DG25" i="13"/>
  <c r="DH25" i="13" s="1"/>
  <c r="BV25" i="13"/>
  <c r="BU25" i="13"/>
  <c r="BN25" i="13"/>
  <c r="BQ25" i="13" s="1"/>
  <c r="BM25" i="13"/>
  <c r="BL25" i="13"/>
  <c r="BK25" i="13"/>
  <c r="BJ25" i="13"/>
  <c r="BI25" i="13"/>
  <c r="BG25" i="13"/>
  <c r="BA25" i="13"/>
  <c r="AV25" i="13"/>
  <c r="AT25" i="13"/>
  <c r="AU25" i="13" s="1"/>
  <c r="AM25" i="13"/>
  <c r="AH25" i="13"/>
  <c r="AG25" i="13"/>
  <c r="AF25" i="13"/>
  <c r="Z25" i="13"/>
  <c r="Y25" i="13"/>
  <c r="X25" i="13"/>
  <c r="U25" i="13"/>
  <c r="V25" i="13" s="1"/>
  <c r="T25" i="13"/>
  <c r="Q25" i="13"/>
  <c r="O25" i="13"/>
  <c r="L25" i="13"/>
  <c r="K25" i="13"/>
  <c r="J25" i="13"/>
  <c r="I25" i="13"/>
  <c r="DJ24" i="13"/>
  <c r="T24" i="13" s="1"/>
  <c r="DI24" i="13"/>
  <c r="DG24" i="13"/>
  <c r="DH24" i="13" s="1"/>
  <c r="BI24" i="13" s="1"/>
  <c r="BV24" i="13"/>
  <c r="BU24" i="13"/>
  <c r="BT24" i="13"/>
  <c r="BS24" i="13"/>
  <c r="BW24" i="13" s="1"/>
  <c r="BX24" i="13" s="1"/>
  <c r="BM24" i="13"/>
  <c r="BG24" i="13"/>
  <c r="BA24" i="13"/>
  <c r="BN24" i="13" s="1"/>
  <c r="BQ24" i="13" s="1"/>
  <c r="BR24" i="13" s="1"/>
  <c r="AV24" i="13"/>
  <c r="AT24" i="13"/>
  <c r="AU24" i="13" s="1"/>
  <c r="AM24" i="13"/>
  <c r="AH24" i="13"/>
  <c r="AG24" i="13"/>
  <c r="J24" i="13" s="1"/>
  <c r="I24" i="13" s="1"/>
  <c r="AB24" i="13" s="1"/>
  <c r="AF24" i="13"/>
  <c r="K24" i="13" s="1"/>
  <c r="BJ24" i="13" s="1"/>
  <c r="BL24" i="13" s="1"/>
  <c r="Z24" i="13"/>
  <c r="Y24" i="13"/>
  <c r="X24" i="13"/>
  <c r="Q24" i="13"/>
  <c r="O24" i="13"/>
  <c r="DJ23" i="13"/>
  <c r="DI23" i="13"/>
  <c r="DG23" i="13"/>
  <c r="DH23" i="13" s="1"/>
  <c r="BI23" i="13" s="1"/>
  <c r="BK23" i="13" s="1"/>
  <c r="BV23" i="13"/>
  <c r="BU23" i="13"/>
  <c r="BN23" i="13"/>
  <c r="BQ23" i="13" s="1"/>
  <c r="BM23" i="13"/>
  <c r="BJ23" i="13"/>
  <c r="BL23" i="13" s="1"/>
  <c r="BG23" i="13"/>
  <c r="BA23" i="13"/>
  <c r="AV23" i="13"/>
  <c r="AT23" i="13"/>
  <c r="AU23" i="13" s="1"/>
  <c r="AM23" i="13"/>
  <c r="AH23" i="13"/>
  <c r="AG23" i="13"/>
  <c r="AF23" i="13"/>
  <c r="Z23" i="13"/>
  <c r="Y23" i="13"/>
  <c r="X23" i="13"/>
  <c r="V23" i="13"/>
  <c r="U23" i="13"/>
  <c r="T23" i="13"/>
  <c r="Q23" i="13"/>
  <c r="O23" i="13"/>
  <c r="L23" i="13"/>
  <c r="K23" i="13"/>
  <c r="J23" i="13"/>
  <c r="I23" i="13"/>
  <c r="DJ22" i="13"/>
  <c r="T22" i="13" s="1"/>
  <c r="DI22" i="13"/>
  <c r="DG22" i="13"/>
  <c r="DH22" i="13" s="1"/>
  <c r="BI22" i="13" s="1"/>
  <c r="BV22" i="13"/>
  <c r="BU22" i="13"/>
  <c r="BM22" i="13"/>
  <c r="BG22" i="13"/>
  <c r="BA22" i="13"/>
  <c r="BN22" i="13" s="1"/>
  <c r="BQ22" i="13" s="1"/>
  <c r="AV22" i="13"/>
  <c r="AT22" i="13"/>
  <c r="AU22" i="13" s="1"/>
  <c r="AM22" i="13"/>
  <c r="AH22" i="13"/>
  <c r="AG22" i="13"/>
  <c r="J22" i="13" s="1"/>
  <c r="I22" i="13" s="1"/>
  <c r="AF22" i="13"/>
  <c r="K22" i="13" s="1"/>
  <c r="BJ22" i="13" s="1"/>
  <c r="Z22" i="13"/>
  <c r="Y22" i="13"/>
  <c r="X22" i="13"/>
  <c r="Q22" i="13"/>
  <c r="O22" i="13"/>
  <c r="DJ21" i="13"/>
  <c r="DI21" i="13"/>
  <c r="DG21" i="13"/>
  <c r="DH21" i="13" s="1"/>
  <c r="BI21" i="13" s="1"/>
  <c r="BV21" i="13"/>
  <c r="BU21" i="13"/>
  <c r="BN21" i="13"/>
  <c r="BQ21" i="13" s="1"/>
  <c r="BM21" i="13"/>
  <c r="BJ21" i="13"/>
  <c r="BG21" i="13"/>
  <c r="BA21" i="13"/>
  <c r="AV21" i="13"/>
  <c r="AT21" i="13"/>
  <c r="AU21" i="13" s="1"/>
  <c r="AM21" i="13"/>
  <c r="AH21" i="13"/>
  <c r="AG21" i="13"/>
  <c r="AF21" i="13"/>
  <c r="Z21" i="13"/>
  <c r="Y21" i="13"/>
  <c r="X21" i="13"/>
  <c r="T21" i="13"/>
  <c r="Q21" i="13"/>
  <c r="O21" i="13"/>
  <c r="L21" i="13"/>
  <c r="K21" i="13"/>
  <c r="J21" i="13"/>
  <c r="I21" i="13"/>
  <c r="DJ20" i="13"/>
  <c r="T20" i="13" s="1"/>
  <c r="DI20" i="13"/>
  <c r="DG20" i="13"/>
  <c r="DH20" i="13" s="1"/>
  <c r="BI20" i="13" s="1"/>
  <c r="BV20" i="13"/>
  <c r="BU20" i="13"/>
  <c r="BT20" i="13"/>
  <c r="BS20" i="13"/>
  <c r="BW20" i="13" s="1"/>
  <c r="BX20" i="13" s="1"/>
  <c r="BM20" i="13"/>
  <c r="BG20" i="13"/>
  <c r="BA20" i="13"/>
  <c r="BN20" i="13" s="1"/>
  <c r="BQ20" i="13" s="1"/>
  <c r="BR20" i="13" s="1"/>
  <c r="AV20" i="13"/>
  <c r="AT20" i="13"/>
  <c r="O20" i="13" s="1"/>
  <c r="AM20" i="13"/>
  <c r="AH20" i="13"/>
  <c r="AG20" i="13"/>
  <c r="J20" i="13" s="1"/>
  <c r="I20" i="13" s="1"/>
  <c r="AF20" i="13"/>
  <c r="K20" i="13" s="1"/>
  <c r="BJ20" i="13" s="1"/>
  <c r="Z20" i="13"/>
  <c r="Y20" i="13"/>
  <c r="X20" i="13"/>
  <c r="Q20" i="13"/>
  <c r="L20" i="13"/>
  <c r="DJ19" i="13"/>
  <c r="DI19" i="13"/>
  <c r="DG19" i="13"/>
  <c r="DH19" i="13" s="1"/>
  <c r="BV19" i="13"/>
  <c r="BU19" i="13"/>
  <c r="BN19" i="13"/>
  <c r="BQ19" i="13" s="1"/>
  <c r="BM19" i="13"/>
  <c r="BK19" i="13"/>
  <c r="BI19" i="13"/>
  <c r="BG19" i="13"/>
  <c r="BA19" i="13"/>
  <c r="AV19" i="13"/>
  <c r="AT19" i="13"/>
  <c r="AU19" i="13" s="1"/>
  <c r="AM19" i="13"/>
  <c r="AH19" i="13"/>
  <c r="AG19" i="13"/>
  <c r="AF19" i="13"/>
  <c r="Z19" i="13"/>
  <c r="Y19" i="13"/>
  <c r="X19" i="13"/>
  <c r="T19" i="13"/>
  <c r="Q19" i="13"/>
  <c r="O19" i="13"/>
  <c r="L19" i="13"/>
  <c r="K19" i="13"/>
  <c r="BJ19" i="13" s="1"/>
  <c r="BL19" i="13" s="1"/>
  <c r="J19" i="13"/>
  <c r="I19" i="13" s="1"/>
  <c r="DJ18" i="13"/>
  <c r="DI18" i="13"/>
  <c r="DG18" i="13"/>
  <c r="DH18" i="13" s="1"/>
  <c r="BI18" i="13" s="1"/>
  <c r="BV18" i="13"/>
  <c r="BU18" i="13"/>
  <c r="BT18" i="13"/>
  <c r="BS18" i="13"/>
  <c r="BW18" i="13" s="1"/>
  <c r="BX18" i="13" s="1"/>
  <c r="BM18" i="13"/>
  <c r="BG18" i="13"/>
  <c r="BA18" i="13"/>
  <c r="BN18" i="13" s="1"/>
  <c r="BQ18" i="13" s="1"/>
  <c r="BR18" i="13" s="1"/>
  <c r="AV18" i="13"/>
  <c r="AT18" i="13"/>
  <c r="AF18" i="13" s="1"/>
  <c r="AM18" i="13"/>
  <c r="AH18" i="13"/>
  <c r="AG18" i="13"/>
  <c r="J18" i="13" s="1"/>
  <c r="I18" i="13" s="1"/>
  <c r="Z18" i="13"/>
  <c r="Y18" i="13"/>
  <c r="X18" i="13"/>
  <c r="T18" i="13"/>
  <c r="Q18" i="13"/>
  <c r="L18" i="13"/>
  <c r="K18" i="13"/>
  <c r="BJ18" i="13" s="1"/>
  <c r="BL18" i="13" s="1"/>
  <c r="DJ17" i="13"/>
  <c r="DI17" i="13"/>
  <c r="DG17" i="13"/>
  <c r="DH17" i="13" s="1"/>
  <c r="BV17" i="13"/>
  <c r="BU17" i="13"/>
  <c r="BN17" i="13"/>
  <c r="BQ17" i="13" s="1"/>
  <c r="BM17" i="13"/>
  <c r="BI17" i="13"/>
  <c r="BG17" i="13"/>
  <c r="BK17" i="13" s="1"/>
  <c r="BA17" i="13"/>
  <c r="AV17" i="13"/>
  <c r="AT17" i="13"/>
  <c r="AU17" i="13" s="1"/>
  <c r="AM17" i="13"/>
  <c r="AH17" i="13"/>
  <c r="AG17" i="13"/>
  <c r="AF17" i="13"/>
  <c r="AB17" i="13"/>
  <c r="Z17" i="13"/>
  <c r="Y17" i="13"/>
  <c r="X17" i="13" s="1"/>
  <c r="T17" i="13"/>
  <c r="Q17" i="13"/>
  <c r="O17" i="13"/>
  <c r="L17" i="13"/>
  <c r="K17" i="13"/>
  <c r="BJ17" i="13" s="1"/>
  <c r="BL17" i="13" s="1"/>
  <c r="J17" i="13"/>
  <c r="I17" i="13"/>
  <c r="DJ31" i="12"/>
  <c r="DI31" i="12"/>
  <c r="DG31" i="12"/>
  <c r="DH31" i="12" s="1"/>
  <c r="BI31" i="12" s="1"/>
  <c r="BV31" i="12"/>
  <c r="BU31" i="12"/>
  <c r="BN31" i="12"/>
  <c r="BQ31" i="12" s="1"/>
  <c r="BM31" i="12"/>
  <c r="BG31" i="12"/>
  <c r="BK31" i="12" s="1"/>
  <c r="BA31" i="12"/>
  <c r="AV31" i="12"/>
  <c r="AT31" i="12" s="1"/>
  <c r="AM31" i="12"/>
  <c r="AH31" i="12"/>
  <c r="AF31" i="12"/>
  <c r="K31" i="12" s="1"/>
  <c r="BJ31" i="12" s="1"/>
  <c r="BL31" i="12" s="1"/>
  <c r="Z31" i="12"/>
  <c r="Y31" i="12"/>
  <c r="X31" i="12"/>
  <c r="T31" i="12"/>
  <c r="Q31" i="12"/>
  <c r="DJ30" i="12"/>
  <c r="DI30" i="12"/>
  <c r="DG30" i="12"/>
  <c r="T30" i="12" s="1"/>
  <c r="BV30" i="12"/>
  <c r="BU30" i="12"/>
  <c r="BM30" i="12"/>
  <c r="BG30" i="12"/>
  <c r="BA30" i="12"/>
  <c r="BN30" i="12" s="1"/>
  <c r="BQ30" i="12" s="1"/>
  <c r="BR30" i="12" s="1"/>
  <c r="AV30" i="12"/>
  <c r="AT30" i="12"/>
  <c r="AU30" i="12" s="1"/>
  <c r="AM30" i="12"/>
  <c r="AH30" i="12"/>
  <c r="AG30" i="12"/>
  <c r="J30" i="12" s="1"/>
  <c r="I30" i="12" s="1"/>
  <c r="AF30" i="12"/>
  <c r="K30" i="12" s="1"/>
  <c r="BJ30" i="12" s="1"/>
  <c r="Z30" i="12"/>
  <c r="Y30" i="12"/>
  <c r="X30" i="12"/>
  <c r="Q30" i="12"/>
  <c r="O30" i="12"/>
  <c r="L30" i="12"/>
  <c r="DJ29" i="12"/>
  <c r="DI29" i="12"/>
  <c r="DG29" i="12"/>
  <c r="DH29" i="12" s="1"/>
  <c r="BV29" i="12"/>
  <c r="BU29" i="12"/>
  <c r="BN29" i="12"/>
  <c r="BQ29" i="12" s="1"/>
  <c r="BM29" i="12"/>
  <c r="BI29" i="12"/>
  <c r="BG29" i="12"/>
  <c r="BK29" i="12" s="1"/>
  <c r="BA29" i="12"/>
  <c r="AV29" i="12"/>
  <c r="AT29" i="12" s="1"/>
  <c r="AF29" i="12" s="1"/>
  <c r="K29" i="12" s="1"/>
  <c r="BJ29" i="12" s="1"/>
  <c r="BL29" i="12" s="1"/>
  <c r="AM29" i="12"/>
  <c r="AH29" i="12"/>
  <c r="Z29" i="12"/>
  <c r="Y29" i="12"/>
  <c r="X29" i="12"/>
  <c r="T29" i="12"/>
  <c r="Q29" i="12"/>
  <c r="DJ28" i="12"/>
  <c r="DI28" i="12"/>
  <c r="DG28" i="12"/>
  <c r="T28" i="12" s="1"/>
  <c r="BV28" i="12"/>
  <c r="BU28" i="12"/>
  <c r="BM28" i="12"/>
  <c r="BG28" i="12"/>
  <c r="BA28" i="12"/>
  <c r="BN28" i="12" s="1"/>
  <c r="BQ28" i="12" s="1"/>
  <c r="BR28" i="12" s="1"/>
  <c r="AV28" i="12"/>
  <c r="AT28" i="12"/>
  <c r="AG28" i="12" s="1"/>
  <c r="J28" i="12" s="1"/>
  <c r="I28" i="12" s="1"/>
  <c r="AM28" i="12"/>
  <c r="AH28" i="12"/>
  <c r="Z28" i="12"/>
  <c r="Y28" i="12"/>
  <c r="X28" i="12"/>
  <c r="Q28" i="12"/>
  <c r="DJ27" i="12"/>
  <c r="DI27" i="12"/>
  <c r="DG27" i="12"/>
  <c r="DH27" i="12" s="1"/>
  <c r="BI27" i="12" s="1"/>
  <c r="BV27" i="12"/>
  <c r="BU27" i="12"/>
  <c r="BN27" i="12"/>
  <c r="BQ27" i="12" s="1"/>
  <c r="BM27" i="12"/>
  <c r="BG27" i="12"/>
  <c r="BK27" i="12" s="1"/>
  <c r="BA27" i="12"/>
  <c r="AV27" i="12"/>
  <c r="AT27" i="12" s="1"/>
  <c r="AM27" i="12"/>
  <c r="AH27" i="12"/>
  <c r="AG27" i="12"/>
  <c r="J27" i="12" s="1"/>
  <c r="I27" i="12" s="1"/>
  <c r="AF27" i="12"/>
  <c r="K27" i="12" s="1"/>
  <c r="BJ27" i="12" s="1"/>
  <c r="Z27" i="12"/>
  <c r="Y27" i="12"/>
  <c r="X27" i="12"/>
  <c r="U27" i="12"/>
  <c r="V27" i="12" s="1"/>
  <c r="T27" i="12"/>
  <c r="Q27" i="12"/>
  <c r="DJ26" i="12"/>
  <c r="DI26" i="12"/>
  <c r="DG26" i="12"/>
  <c r="T26" i="12" s="1"/>
  <c r="BW26" i="12"/>
  <c r="BX26" i="12" s="1"/>
  <c r="BV26" i="12"/>
  <c r="BU26" i="12"/>
  <c r="BT26" i="12"/>
  <c r="BS26" i="12"/>
  <c r="BM26" i="12"/>
  <c r="BG26" i="12"/>
  <c r="BA26" i="12"/>
  <c r="BN26" i="12" s="1"/>
  <c r="BQ26" i="12" s="1"/>
  <c r="BR26" i="12" s="1"/>
  <c r="AV26" i="12"/>
  <c r="AT26" i="12"/>
  <c r="O26" i="12" s="1"/>
  <c r="AM26" i="12"/>
  <c r="AH26" i="12"/>
  <c r="AG26" i="12"/>
  <c r="J26" i="12" s="1"/>
  <c r="I26" i="12" s="1"/>
  <c r="AF26" i="12"/>
  <c r="K26" i="12" s="1"/>
  <c r="BJ26" i="12" s="1"/>
  <c r="Z26" i="12"/>
  <c r="Y26" i="12"/>
  <c r="X26" i="12"/>
  <c r="Q26" i="12"/>
  <c r="DJ25" i="12"/>
  <c r="DI25" i="12"/>
  <c r="DG25" i="12"/>
  <c r="DH25" i="12" s="1"/>
  <c r="BV25" i="12"/>
  <c r="BU25" i="12"/>
  <c r="BN25" i="12"/>
  <c r="BQ25" i="12" s="1"/>
  <c r="BM25" i="12"/>
  <c r="BI25" i="12"/>
  <c r="BK25" i="12" s="1"/>
  <c r="BG25" i="12"/>
  <c r="BA25" i="12"/>
  <c r="AV25" i="12"/>
  <c r="AT25" i="12" s="1"/>
  <c r="AM25" i="12"/>
  <c r="AH25" i="12"/>
  <c r="AG25" i="12"/>
  <c r="J25" i="12" s="1"/>
  <c r="I25" i="12" s="1"/>
  <c r="AF25" i="12"/>
  <c r="K25" i="12" s="1"/>
  <c r="BJ25" i="12" s="1"/>
  <c r="BL25" i="12" s="1"/>
  <c r="Z25" i="12"/>
  <c r="Y25" i="12"/>
  <c r="X25" i="12"/>
  <c r="T25" i="12"/>
  <c r="U25" i="12" s="1"/>
  <c r="V25" i="12" s="1"/>
  <c r="Q25" i="12"/>
  <c r="L25" i="12"/>
  <c r="DJ24" i="12"/>
  <c r="DI24" i="12"/>
  <c r="DG24" i="12"/>
  <c r="T24" i="12" s="1"/>
  <c r="BV24" i="12"/>
  <c r="BU24" i="12"/>
  <c r="BT24" i="12"/>
  <c r="BS24" i="12"/>
  <c r="BW24" i="12" s="1"/>
  <c r="BX24" i="12" s="1"/>
  <c r="BM24" i="12"/>
  <c r="BG24" i="12"/>
  <c r="BA24" i="12"/>
  <c r="BN24" i="12" s="1"/>
  <c r="BQ24" i="12" s="1"/>
  <c r="BR24" i="12" s="1"/>
  <c r="AV24" i="12"/>
  <c r="AT24" i="12"/>
  <c r="O24" i="12" s="1"/>
  <c r="AM24" i="12"/>
  <c r="AH24" i="12"/>
  <c r="Z24" i="12"/>
  <c r="Y24" i="12"/>
  <c r="X24" i="12"/>
  <c r="Q24" i="12"/>
  <c r="DJ23" i="12"/>
  <c r="DI23" i="12"/>
  <c r="DG23" i="12"/>
  <c r="DH23" i="12" s="1"/>
  <c r="BV23" i="12"/>
  <c r="BU23" i="12"/>
  <c r="BN23" i="12"/>
  <c r="BQ23" i="12" s="1"/>
  <c r="BM23" i="12"/>
  <c r="BI23" i="12"/>
  <c r="BG23" i="12"/>
  <c r="BK23" i="12" s="1"/>
  <c r="BA23" i="12"/>
  <c r="AV23" i="12"/>
  <c r="AT23" i="12" s="1"/>
  <c r="AG23" i="12" s="1"/>
  <c r="J23" i="12" s="1"/>
  <c r="I23" i="12" s="1"/>
  <c r="AM23" i="12"/>
  <c r="AH23" i="12"/>
  <c r="Z23" i="12"/>
  <c r="Y23" i="12"/>
  <c r="X23" i="12"/>
  <c r="T23" i="12"/>
  <c r="Q23" i="12"/>
  <c r="DJ22" i="12"/>
  <c r="DI22" i="12"/>
  <c r="DG22" i="12"/>
  <c r="T22" i="12" s="1"/>
  <c r="U22" i="12" s="1"/>
  <c r="V22" i="12" s="1"/>
  <c r="BV22" i="12"/>
  <c r="BU22" i="12"/>
  <c r="BM22" i="12"/>
  <c r="BG22" i="12"/>
  <c r="BA22" i="12"/>
  <c r="BN22" i="12" s="1"/>
  <c r="BQ22" i="12" s="1"/>
  <c r="BR22" i="12" s="1"/>
  <c r="AV22" i="12"/>
  <c r="AT22" i="12"/>
  <c r="AU22" i="12" s="1"/>
  <c r="AM22" i="12"/>
  <c r="AH22" i="12"/>
  <c r="AG22" i="12"/>
  <c r="J22" i="12" s="1"/>
  <c r="I22" i="12" s="1"/>
  <c r="AF22" i="12"/>
  <c r="K22" i="12" s="1"/>
  <c r="BJ22" i="12" s="1"/>
  <c r="Z22" i="12"/>
  <c r="Y22" i="12"/>
  <c r="X22" i="12"/>
  <c r="Q22" i="12"/>
  <c r="AC22" i="12" s="1"/>
  <c r="O22" i="12"/>
  <c r="DJ21" i="12"/>
  <c r="DI21" i="12"/>
  <c r="DG21" i="12"/>
  <c r="DH21" i="12" s="1"/>
  <c r="BI21" i="12" s="1"/>
  <c r="BV21" i="12"/>
  <c r="BU21" i="12"/>
  <c r="BM21" i="12"/>
  <c r="BG21" i="12"/>
  <c r="BK21" i="12" s="1"/>
  <c r="BA21" i="12"/>
  <c r="BN21" i="12" s="1"/>
  <c r="BQ21" i="12" s="1"/>
  <c r="AV21" i="12"/>
  <c r="AT21" i="12" s="1"/>
  <c r="AM21" i="12"/>
  <c r="AH21" i="12"/>
  <c r="AG21" i="12"/>
  <c r="J21" i="12" s="1"/>
  <c r="I21" i="12" s="1"/>
  <c r="AF21" i="12"/>
  <c r="Z21" i="12"/>
  <c r="X21" i="12" s="1"/>
  <c r="Y21" i="12"/>
  <c r="T21" i="12"/>
  <c r="U21" i="12" s="1"/>
  <c r="V21" i="12" s="1"/>
  <c r="Q21" i="12"/>
  <c r="L21" i="12"/>
  <c r="K21" i="12"/>
  <c r="BJ21" i="12" s="1"/>
  <c r="BL21" i="12" s="1"/>
  <c r="DJ20" i="12"/>
  <c r="DI20" i="12"/>
  <c r="DG20" i="12"/>
  <c r="T20" i="12" s="1"/>
  <c r="BV20" i="12"/>
  <c r="BU20" i="12"/>
  <c r="BT20" i="12"/>
  <c r="BM20" i="12"/>
  <c r="BG20" i="12"/>
  <c r="BA20" i="12"/>
  <c r="BN20" i="12" s="1"/>
  <c r="BQ20" i="12" s="1"/>
  <c r="BR20" i="12" s="1"/>
  <c r="AV20" i="12"/>
  <c r="AT20" i="12"/>
  <c r="AG20" i="12" s="1"/>
  <c r="J20" i="12" s="1"/>
  <c r="I20" i="12" s="1"/>
  <c r="AM20" i="12"/>
  <c r="AH20" i="12"/>
  <c r="Z20" i="12"/>
  <c r="Y20" i="12"/>
  <c r="X20" i="12"/>
  <c r="Q20" i="12"/>
  <c r="DJ19" i="12"/>
  <c r="DI19" i="12"/>
  <c r="DG19" i="12"/>
  <c r="DH19" i="12" s="1"/>
  <c r="BI19" i="12" s="1"/>
  <c r="BV19" i="12"/>
  <c r="BU19" i="12"/>
  <c r="BN19" i="12"/>
  <c r="BQ19" i="12" s="1"/>
  <c r="BM19" i="12"/>
  <c r="BG19" i="12"/>
  <c r="BA19" i="12"/>
  <c r="AV19" i="12"/>
  <c r="AT19" i="12" s="1"/>
  <c r="AM19" i="12"/>
  <c r="AH19" i="12"/>
  <c r="AG19" i="12"/>
  <c r="J19" i="12" s="1"/>
  <c r="I19" i="12" s="1"/>
  <c r="AF19" i="12"/>
  <c r="K19" i="12" s="1"/>
  <c r="BJ19" i="12" s="1"/>
  <c r="BL19" i="12" s="1"/>
  <c r="Z19" i="12"/>
  <c r="Y19" i="12"/>
  <c r="X19" i="12"/>
  <c r="U19" i="12"/>
  <c r="V19" i="12" s="1"/>
  <c r="T19" i="12"/>
  <c r="Q19" i="12"/>
  <c r="DJ18" i="12"/>
  <c r="DI18" i="12"/>
  <c r="DG18" i="12"/>
  <c r="T18" i="12" s="1"/>
  <c r="BW18" i="12"/>
  <c r="BX18" i="12" s="1"/>
  <c r="BV18" i="12"/>
  <c r="BU18" i="12"/>
  <c r="BT18" i="12"/>
  <c r="BS18" i="12"/>
  <c r="BM18" i="12"/>
  <c r="BG18" i="12"/>
  <c r="BA18" i="12"/>
  <c r="BN18" i="12" s="1"/>
  <c r="BQ18" i="12" s="1"/>
  <c r="BR18" i="12" s="1"/>
  <c r="AV18" i="12"/>
  <c r="AT18" i="12"/>
  <c r="O18" i="12" s="1"/>
  <c r="AM18" i="12"/>
  <c r="AH18" i="12"/>
  <c r="AG18" i="12"/>
  <c r="J18" i="12" s="1"/>
  <c r="I18" i="12" s="1"/>
  <c r="AF18" i="12"/>
  <c r="K18" i="12" s="1"/>
  <c r="BJ18" i="12" s="1"/>
  <c r="Z18" i="12"/>
  <c r="Y18" i="12"/>
  <c r="X18" i="12"/>
  <c r="Q18" i="12"/>
  <c r="DJ17" i="12"/>
  <c r="DI17" i="12"/>
  <c r="DG17" i="12"/>
  <c r="DH17" i="12" s="1"/>
  <c r="BV17" i="12"/>
  <c r="BU17" i="12"/>
  <c r="BN17" i="12"/>
  <c r="BQ17" i="12" s="1"/>
  <c r="BM17" i="12"/>
  <c r="BI17" i="12"/>
  <c r="BK17" i="12" s="1"/>
  <c r="BG17" i="12"/>
  <c r="BA17" i="12"/>
  <c r="AV17" i="12"/>
  <c r="AT17" i="12" s="1"/>
  <c r="AM17" i="12"/>
  <c r="AH17" i="12"/>
  <c r="AG17" i="12"/>
  <c r="J17" i="12" s="1"/>
  <c r="I17" i="12" s="1"/>
  <c r="AF17" i="12"/>
  <c r="K17" i="12" s="1"/>
  <c r="BJ17" i="12" s="1"/>
  <c r="BL17" i="12" s="1"/>
  <c r="Z17" i="12"/>
  <c r="Y17" i="12"/>
  <c r="X17" i="12"/>
  <c r="T17" i="12"/>
  <c r="U17" i="12" s="1"/>
  <c r="V17" i="12" s="1"/>
  <c r="Q17" i="12"/>
  <c r="L17" i="12"/>
  <c r="DJ31" i="11"/>
  <c r="DI31" i="11"/>
  <c r="DG31" i="11"/>
  <c r="DH31" i="11" s="1"/>
  <c r="BV31" i="11"/>
  <c r="BU31" i="11"/>
  <c r="BM31" i="11"/>
  <c r="BI31" i="11"/>
  <c r="BG31" i="11"/>
  <c r="BK31" i="11" s="1"/>
  <c r="BA31" i="11"/>
  <c r="BN31" i="11" s="1"/>
  <c r="BQ31" i="11" s="1"/>
  <c r="BR31" i="11" s="1"/>
  <c r="AV31" i="11"/>
  <c r="AT31" i="11" s="1"/>
  <c r="AM31" i="11"/>
  <c r="AH31" i="11"/>
  <c r="Z31" i="11"/>
  <c r="Y31" i="11"/>
  <c r="X31" i="11"/>
  <c r="T31" i="11"/>
  <c r="Q31" i="11"/>
  <c r="DJ30" i="11"/>
  <c r="T30" i="11" s="1"/>
  <c r="DI30" i="11"/>
  <c r="DG30" i="11"/>
  <c r="DH30" i="11" s="1"/>
  <c r="BI30" i="11" s="1"/>
  <c r="BV30" i="11"/>
  <c r="BU30" i="11"/>
  <c r="BT30" i="11"/>
  <c r="BS30" i="11"/>
  <c r="BW30" i="11" s="1"/>
  <c r="BX30" i="11" s="1"/>
  <c r="BM30" i="11"/>
  <c r="BG30" i="11"/>
  <c r="BA30" i="11"/>
  <c r="BN30" i="11" s="1"/>
  <c r="BQ30" i="11" s="1"/>
  <c r="BR30" i="11" s="1"/>
  <c r="AV30" i="11"/>
  <c r="AT30" i="11" s="1"/>
  <c r="AM30" i="11"/>
  <c r="AH30" i="11"/>
  <c r="AF30" i="11"/>
  <c r="K30" i="11" s="1"/>
  <c r="BJ30" i="11" s="1"/>
  <c r="BL30" i="11" s="1"/>
  <c r="Z30" i="11"/>
  <c r="Y30" i="11"/>
  <c r="X30" i="11"/>
  <c r="Q30" i="11"/>
  <c r="DJ29" i="11"/>
  <c r="DI29" i="11"/>
  <c r="DG29" i="11"/>
  <c r="DH29" i="11" s="1"/>
  <c r="BV29" i="11"/>
  <c r="BU29" i="11"/>
  <c r="BR29" i="11"/>
  <c r="BM29" i="11"/>
  <c r="BI29" i="11"/>
  <c r="BK29" i="11" s="1"/>
  <c r="BG29" i="11"/>
  <c r="BA29" i="11"/>
  <c r="BN29" i="11" s="1"/>
  <c r="BQ29" i="11" s="1"/>
  <c r="AV29" i="11"/>
  <c r="AT29" i="11" s="1"/>
  <c r="AM29" i="11"/>
  <c r="AH29" i="11"/>
  <c r="Z29" i="11"/>
  <c r="Y29" i="11"/>
  <c r="X29" i="11"/>
  <c r="T29" i="11"/>
  <c r="Q29" i="11"/>
  <c r="DJ28" i="11"/>
  <c r="T28" i="11" s="1"/>
  <c r="DI28" i="11"/>
  <c r="DG28" i="11"/>
  <c r="DH28" i="11" s="1"/>
  <c r="BI28" i="11" s="1"/>
  <c r="BV28" i="11"/>
  <c r="BU28" i="11"/>
  <c r="BM28" i="11"/>
  <c r="BG28" i="11"/>
  <c r="BA28" i="11"/>
  <c r="BN28" i="11" s="1"/>
  <c r="BQ28" i="11" s="1"/>
  <c r="BR28" i="11" s="1"/>
  <c r="AV28" i="11"/>
  <c r="AT28" i="11" s="1"/>
  <c r="AM28" i="11"/>
  <c r="AH28" i="11"/>
  <c r="AG28" i="11"/>
  <c r="J28" i="11" s="1"/>
  <c r="I28" i="11" s="1"/>
  <c r="AF28" i="11"/>
  <c r="K28" i="11" s="1"/>
  <c r="BJ28" i="11" s="1"/>
  <c r="BL28" i="11" s="1"/>
  <c r="Z28" i="11"/>
  <c r="Y28" i="11"/>
  <c r="X28" i="11"/>
  <c r="Q28" i="11"/>
  <c r="DJ27" i="11"/>
  <c r="DI27" i="11"/>
  <c r="DG27" i="11"/>
  <c r="DH27" i="11" s="1"/>
  <c r="BV27" i="11"/>
  <c r="BU27" i="11"/>
  <c r="BR27" i="11"/>
  <c r="BM27" i="11"/>
  <c r="BI27" i="11"/>
  <c r="BG27" i="11"/>
  <c r="BK27" i="11" s="1"/>
  <c r="BA27" i="11"/>
  <c r="BN27" i="11" s="1"/>
  <c r="BQ27" i="11" s="1"/>
  <c r="AV27" i="11"/>
  <c r="AT27" i="11" s="1"/>
  <c r="AM27" i="11"/>
  <c r="AH27" i="11"/>
  <c r="Z27" i="11"/>
  <c r="Y27" i="11"/>
  <c r="X27" i="11"/>
  <c r="T27" i="11"/>
  <c r="Q27" i="11"/>
  <c r="DJ26" i="11"/>
  <c r="T26" i="11" s="1"/>
  <c r="DI26" i="11"/>
  <c r="DG26" i="11"/>
  <c r="DH26" i="11" s="1"/>
  <c r="BI26" i="11" s="1"/>
  <c r="BV26" i="11"/>
  <c r="BU26" i="11"/>
  <c r="BM26" i="11"/>
  <c r="BG26" i="11"/>
  <c r="BK26" i="11" s="1"/>
  <c r="BA26" i="11"/>
  <c r="BN26" i="11" s="1"/>
  <c r="BQ26" i="11" s="1"/>
  <c r="BR26" i="11" s="1"/>
  <c r="AV26" i="11"/>
  <c r="AT26" i="11" s="1"/>
  <c r="AM26" i="11"/>
  <c r="AH26" i="11"/>
  <c r="AG26" i="11"/>
  <c r="AF26" i="11"/>
  <c r="Z26" i="11"/>
  <c r="Y26" i="11"/>
  <c r="X26" i="11"/>
  <c r="Q26" i="11"/>
  <c r="L26" i="11"/>
  <c r="K26" i="11"/>
  <c r="BJ26" i="11" s="1"/>
  <c r="BL26" i="11" s="1"/>
  <c r="J26" i="11"/>
  <c r="I26" i="11"/>
  <c r="AB26" i="11" s="1"/>
  <c r="DJ25" i="11"/>
  <c r="DI25" i="11"/>
  <c r="DG25" i="11"/>
  <c r="DH25" i="11" s="1"/>
  <c r="BV25" i="11"/>
  <c r="BU25" i="11"/>
  <c r="BM25" i="11"/>
  <c r="BI25" i="11"/>
  <c r="BG25" i="11"/>
  <c r="BK25" i="11" s="1"/>
  <c r="BA25" i="11"/>
  <c r="BN25" i="11" s="1"/>
  <c r="BQ25" i="11" s="1"/>
  <c r="BR25" i="11" s="1"/>
  <c r="AV25" i="11"/>
  <c r="AT25" i="11" s="1"/>
  <c r="AM25" i="11"/>
  <c r="AH25" i="11"/>
  <c r="Z25" i="11"/>
  <c r="Y25" i="11"/>
  <c r="X25" i="11"/>
  <c r="T25" i="11"/>
  <c r="Q25" i="11"/>
  <c r="DJ24" i="11"/>
  <c r="T24" i="11" s="1"/>
  <c r="DI24" i="11"/>
  <c r="DG24" i="11"/>
  <c r="DH24" i="11" s="1"/>
  <c r="BI24" i="11" s="1"/>
  <c r="BV24" i="11"/>
  <c r="BU24" i="11"/>
  <c r="BT24" i="11"/>
  <c r="BM24" i="11"/>
  <c r="BG24" i="11"/>
  <c r="BK24" i="11" s="1"/>
  <c r="BA24" i="11"/>
  <c r="BN24" i="11" s="1"/>
  <c r="BQ24" i="11" s="1"/>
  <c r="BR24" i="11" s="1"/>
  <c r="AV24" i="11"/>
  <c r="AT24" i="11" s="1"/>
  <c r="AM24" i="11"/>
  <c r="AH24" i="11"/>
  <c r="AG24" i="11"/>
  <c r="J24" i="11" s="1"/>
  <c r="I24" i="11" s="1"/>
  <c r="AF24" i="11"/>
  <c r="K24" i="11" s="1"/>
  <c r="BJ24" i="11" s="1"/>
  <c r="BL24" i="11" s="1"/>
  <c r="Z24" i="11"/>
  <c r="Y24" i="11"/>
  <c r="X24" i="11"/>
  <c r="Q24" i="11"/>
  <c r="L24" i="11"/>
  <c r="DJ23" i="11"/>
  <c r="DI23" i="11"/>
  <c r="DG23" i="11"/>
  <c r="DH23" i="11" s="1"/>
  <c r="BI23" i="11" s="1"/>
  <c r="BV23" i="11"/>
  <c r="BU23" i="11"/>
  <c r="BR23" i="11"/>
  <c r="BM23" i="11"/>
  <c r="BG23" i="11"/>
  <c r="BA23" i="11"/>
  <c r="BN23" i="11" s="1"/>
  <c r="BQ23" i="11" s="1"/>
  <c r="AV23" i="11"/>
  <c r="AT23" i="11" s="1"/>
  <c r="AM23" i="11"/>
  <c r="AH23" i="11"/>
  <c r="Z23" i="11"/>
  <c r="Y23" i="11"/>
  <c r="X23" i="11"/>
  <c r="T23" i="11"/>
  <c r="Q23" i="11"/>
  <c r="DJ22" i="11"/>
  <c r="T22" i="11" s="1"/>
  <c r="DI22" i="11"/>
  <c r="DG22" i="11"/>
  <c r="DH22" i="11" s="1"/>
  <c r="BI22" i="11" s="1"/>
  <c r="BV22" i="11"/>
  <c r="BU22" i="11"/>
  <c r="BM22" i="11"/>
  <c r="BG22" i="11"/>
  <c r="BK22" i="11" s="1"/>
  <c r="BA22" i="11"/>
  <c r="BN22" i="11" s="1"/>
  <c r="BQ22" i="11" s="1"/>
  <c r="BR22" i="11" s="1"/>
  <c r="AV22" i="11"/>
  <c r="AT22" i="11" s="1"/>
  <c r="L22" i="11" s="1"/>
  <c r="AM22" i="11"/>
  <c r="AH22" i="11"/>
  <c r="Z22" i="11"/>
  <c r="Y22" i="11"/>
  <c r="X22" i="11"/>
  <c r="Q22" i="11"/>
  <c r="DJ21" i="11"/>
  <c r="DI21" i="11"/>
  <c r="DG21" i="11"/>
  <c r="DH21" i="11" s="1"/>
  <c r="BV21" i="11"/>
  <c r="BU21" i="11"/>
  <c r="BM21" i="11"/>
  <c r="BI21" i="11"/>
  <c r="BG21" i="11"/>
  <c r="BK21" i="11" s="1"/>
  <c r="BA21" i="11"/>
  <c r="BN21" i="11" s="1"/>
  <c r="BQ21" i="11" s="1"/>
  <c r="BR21" i="11" s="1"/>
  <c r="AV21" i="11"/>
  <c r="AT21" i="11" s="1"/>
  <c r="AM21" i="11"/>
  <c r="AH21" i="11"/>
  <c r="Z21" i="11"/>
  <c r="Y21" i="11"/>
  <c r="X21" i="11"/>
  <c r="T21" i="11"/>
  <c r="Q21" i="11"/>
  <c r="DJ20" i="11"/>
  <c r="T20" i="11" s="1"/>
  <c r="DI20" i="11"/>
  <c r="DG20" i="11"/>
  <c r="DH20" i="11" s="1"/>
  <c r="BI20" i="11" s="1"/>
  <c r="BV20" i="11"/>
  <c r="BU20" i="11"/>
  <c r="BT20" i="11"/>
  <c r="BS20" i="11"/>
  <c r="BW20" i="11" s="1"/>
  <c r="BX20" i="11" s="1"/>
  <c r="BM20" i="11"/>
  <c r="BG20" i="11"/>
  <c r="BA20" i="11"/>
  <c r="BN20" i="11" s="1"/>
  <c r="BQ20" i="11" s="1"/>
  <c r="BR20" i="11" s="1"/>
  <c r="AV20" i="11"/>
  <c r="AT20" i="11" s="1"/>
  <c r="AM20" i="11"/>
  <c r="AH20" i="11"/>
  <c r="AG20" i="11"/>
  <c r="AF20" i="11"/>
  <c r="Z20" i="11"/>
  <c r="Y20" i="11"/>
  <c r="X20" i="11"/>
  <c r="Q20" i="11"/>
  <c r="L20" i="11"/>
  <c r="K20" i="11"/>
  <c r="BJ20" i="11" s="1"/>
  <c r="BL20" i="11" s="1"/>
  <c r="J20" i="11"/>
  <c r="I20" i="11" s="1"/>
  <c r="DJ19" i="11"/>
  <c r="DI19" i="11"/>
  <c r="DG19" i="11"/>
  <c r="DH19" i="11" s="1"/>
  <c r="BV19" i="11"/>
  <c r="BU19" i="11"/>
  <c r="BR19" i="11"/>
  <c r="BM19" i="11"/>
  <c r="BI19" i="11"/>
  <c r="BK19" i="11" s="1"/>
  <c r="BG19" i="11"/>
  <c r="BA19" i="11"/>
  <c r="BN19" i="11" s="1"/>
  <c r="BQ19" i="11" s="1"/>
  <c r="AV19" i="11"/>
  <c r="AT19" i="11" s="1"/>
  <c r="AM19" i="11"/>
  <c r="AH19" i="11"/>
  <c r="Z19" i="11"/>
  <c r="Y19" i="11"/>
  <c r="X19" i="11"/>
  <c r="T19" i="11"/>
  <c r="Q19" i="11"/>
  <c r="DJ18" i="11"/>
  <c r="T18" i="11" s="1"/>
  <c r="DI18" i="11"/>
  <c r="DG18" i="11"/>
  <c r="DH18" i="11" s="1"/>
  <c r="BI18" i="11" s="1"/>
  <c r="BV18" i="11"/>
  <c r="BU18" i="11"/>
  <c r="BM18" i="11"/>
  <c r="BG18" i="11"/>
  <c r="BK18" i="11" s="1"/>
  <c r="BA18" i="11"/>
  <c r="BN18" i="11" s="1"/>
  <c r="BQ18" i="11" s="1"/>
  <c r="BR18" i="11" s="1"/>
  <c r="AV18" i="11"/>
  <c r="AT18" i="11" s="1"/>
  <c r="AM18" i="11"/>
  <c r="AH18" i="11"/>
  <c r="Z18" i="11"/>
  <c r="Y18" i="11"/>
  <c r="X18" i="11"/>
  <c r="Q18" i="11"/>
  <c r="DJ17" i="11"/>
  <c r="DI17" i="11"/>
  <c r="DG17" i="11"/>
  <c r="DH17" i="11" s="1"/>
  <c r="BI17" i="11" s="1"/>
  <c r="BV17" i="11"/>
  <c r="BU17" i="11"/>
  <c r="BM17" i="11"/>
  <c r="BG17" i="11"/>
  <c r="BK17" i="11" s="1"/>
  <c r="BA17" i="11"/>
  <c r="BN17" i="11" s="1"/>
  <c r="BQ17" i="11" s="1"/>
  <c r="AV17" i="11"/>
  <c r="AT17" i="11" s="1"/>
  <c r="AM17" i="11"/>
  <c r="AH17" i="11"/>
  <c r="Z17" i="11"/>
  <c r="Y17" i="11"/>
  <c r="X17" i="11"/>
  <c r="T17" i="11"/>
  <c r="Q17" i="11"/>
  <c r="DJ31" i="10"/>
  <c r="DI31" i="10"/>
  <c r="DG31" i="10"/>
  <c r="DH31" i="10" s="1"/>
  <c r="BV31" i="10"/>
  <c r="BU31" i="10"/>
  <c r="BM31" i="10"/>
  <c r="BJ31" i="10"/>
  <c r="BL31" i="10" s="1"/>
  <c r="BI31" i="10"/>
  <c r="BG31" i="10"/>
  <c r="BK31" i="10" s="1"/>
  <c r="BA31" i="10"/>
  <c r="BN31" i="10" s="1"/>
  <c r="BQ31" i="10" s="1"/>
  <c r="AV31" i="10"/>
  <c r="AT31" i="10"/>
  <c r="AU31" i="10" s="1"/>
  <c r="AM31" i="10"/>
  <c r="AH31" i="10"/>
  <c r="AG31" i="10"/>
  <c r="AF31" i="10"/>
  <c r="Z31" i="10"/>
  <c r="Y31" i="10"/>
  <c r="X31" i="10"/>
  <c r="T31" i="10"/>
  <c r="Q31" i="10"/>
  <c r="O31" i="10"/>
  <c r="L31" i="10"/>
  <c r="K31" i="10"/>
  <c r="J31" i="10"/>
  <c r="I31" i="10"/>
  <c r="DJ30" i="10"/>
  <c r="DI30" i="10"/>
  <c r="DG30" i="10"/>
  <c r="BV30" i="10"/>
  <c r="BU30" i="10"/>
  <c r="BM30" i="10"/>
  <c r="BG30" i="10"/>
  <c r="BA30" i="10"/>
  <c r="BN30" i="10" s="1"/>
  <c r="BQ30" i="10" s="1"/>
  <c r="BR30" i="10" s="1"/>
  <c r="AV30" i="10"/>
  <c r="AT30" i="10"/>
  <c r="AU30" i="10" s="1"/>
  <c r="AM30" i="10"/>
  <c r="AH30" i="10"/>
  <c r="AG30" i="10"/>
  <c r="J30" i="10" s="1"/>
  <c r="I30" i="10" s="1"/>
  <c r="AF30" i="10"/>
  <c r="K30" i="10" s="1"/>
  <c r="BJ30" i="10" s="1"/>
  <c r="Z30" i="10"/>
  <c r="Y30" i="10"/>
  <c r="X30" i="10"/>
  <c r="Q30" i="10"/>
  <c r="O30" i="10"/>
  <c r="DJ29" i="10"/>
  <c r="DI29" i="10"/>
  <c r="DG29" i="10"/>
  <c r="DH29" i="10" s="1"/>
  <c r="BV29" i="10"/>
  <c r="BU29" i="10"/>
  <c r="BM29" i="10"/>
  <c r="BJ29" i="10"/>
  <c r="BI29" i="10"/>
  <c r="BG29" i="10"/>
  <c r="BK29" i="10" s="1"/>
  <c r="BA29" i="10"/>
  <c r="BN29" i="10" s="1"/>
  <c r="BQ29" i="10" s="1"/>
  <c r="AV29" i="10"/>
  <c r="AT29" i="10"/>
  <c r="AU29" i="10" s="1"/>
  <c r="AM29" i="10"/>
  <c r="AH29" i="10"/>
  <c r="AG29" i="10"/>
  <c r="AF29" i="10"/>
  <c r="Z29" i="10"/>
  <c r="Y29" i="10"/>
  <c r="X29" i="10"/>
  <c r="T29" i="10"/>
  <c r="Q29" i="10"/>
  <c r="O29" i="10"/>
  <c r="L29" i="10"/>
  <c r="K29" i="10"/>
  <c r="J29" i="10"/>
  <c r="I29" i="10"/>
  <c r="DJ28" i="10"/>
  <c r="DI28" i="10"/>
  <c r="DG28" i="10"/>
  <c r="T28" i="10" s="1"/>
  <c r="BV28" i="10"/>
  <c r="BU28" i="10"/>
  <c r="BM28" i="10"/>
  <c r="BG28" i="10"/>
  <c r="BA28" i="10"/>
  <c r="BN28" i="10" s="1"/>
  <c r="BQ28" i="10" s="1"/>
  <c r="AV28" i="10"/>
  <c r="AT28" i="10"/>
  <c r="L28" i="10" s="1"/>
  <c r="AM28" i="10"/>
  <c r="AH28" i="10"/>
  <c r="AG28" i="10"/>
  <c r="J28" i="10" s="1"/>
  <c r="I28" i="10" s="1"/>
  <c r="AF28" i="10"/>
  <c r="K28" i="10" s="1"/>
  <c r="BJ28" i="10" s="1"/>
  <c r="Z28" i="10"/>
  <c r="Y28" i="10"/>
  <c r="X28" i="10"/>
  <c r="Q28" i="10"/>
  <c r="O28" i="10"/>
  <c r="DJ27" i="10"/>
  <c r="DI27" i="10"/>
  <c r="DG27" i="10"/>
  <c r="DH27" i="10" s="1"/>
  <c r="BV27" i="10"/>
  <c r="BU27" i="10"/>
  <c r="BM27" i="10"/>
  <c r="BJ27" i="10"/>
  <c r="BI27" i="10"/>
  <c r="BG27" i="10"/>
  <c r="BK27" i="10" s="1"/>
  <c r="BA27" i="10"/>
  <c r="BN27" i="10" s="1"/>
  <c r="BQ27" i="10" s="1"/>
  <c r="AV27" i="10"/>
  <c r="AT27" i="10"/>
  <c r="AU27" i="10" s="1"/>
  <c r="AM27" i="10"/>
  <c r="AH27" i="10"/>
  <c r="AG27" i="10"/>
  <c r="AF27" i="10"/>
  <c r="Z27" i="10"/>
  <c r="Y27" i="10"/>
  <c r="X27" i="10"/>
  <c r="T27" i="10"/>
  <c r="Q27" i="10"/>
  <c r="O27" i="10"/>
  <c r="L27" i="10"/>
  <c r="K27" i="10"/>
  <c r="J27" i="10"/>
  <c r="I27" i="10"/>
  <c r="AB27" i="10" s="1"/>
  <c r="DJ26" i="10"/>
  <c r="DI26" i="10"/>
  <c r="DH26" i="10"/>
  <c r="BI26" i="10" s="1"/>
  <c r="DG26" i="10"/>
  <c r="BV26" i="10"/>
  <c r="BU26" i="10"/>
  <c r="BM26" i="10"/>
  <c r="BG26" i="10"/>
  <c r="BA26" i="10"/>
  <c r="BN26" i="10" s="1"/>
  <c r="BQ26" i="10" s="1"/>
  <c r="AV26" i="10"/>
  <c r="AT26" i="10"/>
  <c r="O26" i="10" s="1"/>
  <c r="AM26" i="10"/>
  <c r="AH26" i="10"/>
  <c r="AG26" i="10"/>
  <c r="J26" i="10" s="1"/>
  <c r="I26" i="10" s="1"/>
  <c r="AF26" i="10"/>
  <c r="K26" i="10" s="1"/>
  <c r="BJ26" i="10" s="1"/>
  <c r="BL26" i="10" s="1"/>
  <c r="Z26" i="10"/>
  <c r="Y26" i="10"/>
  <c r="X26" i="10"/>
  <c r="Q26" i="10"/>
  <c r="DJ25" i="10"/>
  <c r="DI25" i="10"/>
  <c r="DG25" i="10"/>
  <c r="DH25" i="10" s="1"/>
  <c r="BV25" i="10"/>
  <c r="BU25" i="10"/>
  <c r="BM25" i="10"/>
  <c r="BJ25" i="10"/>
  <c r="BI25" i="10"/>
  <c r="BG25" i="10"/>
  <c r="BK25" i="10" s="1"/>
  <c r="BA25" i="10"/>
  <c r="BN25" i="10" s="1"/>
  <c r="BQ25" i="10" s="1"/>
  <c r="BR25" i="10" s="1"/>
  <c r="AV25" i="10"/>
  <c r="AT25" i="10"/>
  <c r="AU25" i="10" s="1"/>
  <c r="AM25" i="10"/>
  <c r="AH25" i="10"/>
  <c r="AG25" i="10"/>
  <c r="AF25" i="10"/>
  <c r="Z25" i="10"/>
  <c r="Y25" i="10"/>
  <c r="X25" i="10"/>
  <c r="T25" i="10"/>
  <c r="Q25" i="10"/>
  <c r="O25" i="10"/>
  <c r="L25" i="10"/>
  <c r="K25" i="10"/>
  <c r="J25" i="10"/>
  <c r="I25" i="10"/>
  <c r="AB25" i="10" s="1"/>
  <c r="DJ24" i="10"/>
  <c r="DI24" i="10"/>
  <c r="DG24" i="10"/>
  <c r="T24" i="10" s="1"/>
  <c r="BV24" i="10"/>
  <c r="BU24" i="10"/>
  <c r="BM24" i="10"/>
  <c r="BG24" i="10"/>
  <c r="BA24" i="10"/>
  <c r="BN24" i="10" s="1"/>
  <c r="BQ24" i="10" s="1"/>
  <c r="BR24" i="10" s="1"/>
  <c r="AV24" i="10"/>
  <c r="AT24" i="10"/>
  <c r="O24" i="10" s="1"/>
  <c r="AM24" i="10"/>
  <c r="AH24" i="10"/>
  <c r="AG24" i="10"/>
  <c r="J24" i="10" s="1"/>
  <c r="I24" i="10" s="1"/>
  <c r="AF24" i="10"/>
  <c r="K24" i="10" s="1"/>
  <c r="BJ24" i="10" s="1"/>
  <c r="Z24" i="10"/>
  <c r="Y24" i="10"/>
  <c r="X24" i="10"/>
  <c r="Q24" i="10"/>
  <c r="DJ23" i="10"/>
  <c r="DI23" i="10"/>
  <c r="DG23" i="10"/>
  <c r="DH23" i="10" s="1"/>
  <c r="BI23" i="10" s="1"/>
  <c r="BV23" i="10"/>
  <c r="BU23" i="10"/>
  <c r="BT23" i="10"/>
  <c r="BS23" i="10"/>
  <c r="BW23" i="10" s="1"/>
  <c r="BX23" i="10" s="1"/>
  <c r="BR23" i="10"/>
  <c r="BM23" i="10"/>
  <c r="BJ23" i="10"/>
  <c r="BL23" i="10" s="1"/>
  <c r="BG23" i="10"/>
  <c r="BA23" i="10"/>
  <c r="BN23" i="10" s="1"/>
  <c r="BQ23" i="10" s="1"/>
  <c r="AV23" i="10"/>
  <c r="AT23" i="10"/>
  <c r="AU23" i="10" s="1"/>
  <c r="AM23" i="10"/>
  <c r="AH23" i="10"/>
  <c r="AG23" i="10"/>
  <c r="AF23" i="10"/>
  <c r="Z23" i="10"/>
  <c r="X23" i="10" s="1"/>
  <c r="Y23" i="10"/>
  <c r="T23" i="10"/>
  <c r="Q23" i="10"/>
  <c r="O23" i="10"/>
  <c r="L23" i="10"/>
  <c r="K23" i="10"/>
  <c r="J23" i="10"/>
  <c r="I23" i="10" s="1"/>
  <c r="DJ22" i="10"/>
  <c r="DI22" i="10"/>
  <c r="DG22" i="10"/>
  <c r="DH22" i="10" s="1"/>
  <c r="BI22" i="10" s="1"/>
  <c r="BV22" i="10"/>
  <c r="BU22" i="10"/>
  <c r="BM22" i="10"/>
  <c r="BG22" i="10"/>
  <c r="BA22" i="10"/>
  <c r="BN22" i="10" s="1"/>
  <c r="BQ22" i="10" s="1"/>
  <c r="BR22" i="10" s="1"/>
  <c r="AV22" i="10"/>
  <c r="AT22" i="10"/>
  <c r="O22" i="10" s="1"/>
  <c r="AM22" i="10"/>
  <c r="AH22" i="10"/>
  <c r="AG22" i="10"/>
  <c r="J22" i="10" s="1"/>
  <c r="I22" i="10" s="1"/>
  <c r="AF22" i="10"/>
  <c r="K22" i="10" s="1"/>
  <c r="BJ22" i="10" s="1"/>
  <c r="BL22" i="10" s="1"/>
  <c r="Z22" i="10"/>
  <c r="Y22" i="10"/>
  <c r="X22" i="10"/>
  <c r="T22" i="10"/>
  <c r="Q22" i="10"/>
  <c r="DJ21" i="10"/>
  <c r="DI21" i="10"/>
  <c r="DG21" i="10"/>
  <c r="DH21" i="10" s="1"/>
  <c r="BI21" i="10" s="1"/>
  <c r="BV21" i="10"/>
  <c r="BU21" i="10"/>
  <c r="BQ21" i="10"/>
  <c r="BR21" i="10" s="1"/>
  <c r="BM21" i="10"/>
  <c r="BJ21" i="10"/>
  <c r="BG21" i="10"/>
  <c r="BA21" i="10"/>
  <c r="BN21" i="10" s="1"/>
  <c r="AV21" i="10"/>
  <c r="AT21" i="10"/>
  <c r="AU21" i="10" s="1"/>
  <c r="AM21" i="10"/>
  <c r="AH21" i="10"/>
  <c r="AG21" i="10"/>
  <c r="AF21" i="10"/>
  <c r="AB21" i="10"/>
  <c r="Z21" i="10"/>
  <c r="Y21" i="10"/>
  <c r="X21" i="10" s="1"/>
  <c r="T21" i="10"/>
  <c r="U21" i="10" s="1"/>
  <c r="V21" i="10" s="1"/>
  <c r="W21" i="10" s="1"/>
  <c r="AA21" i="10" s="1"/>
  <c r="Q21" i="10"/>
  <c r="O21" i="10"/>
  <c r="L21" i="10"/>
  <c r="K21" i="10"/>
  <c r="J21" i="10"/>
  <c r="I21" i="10"/>
  <c r="DJ20" i="10"/>
  <c r="DI20" i="10"/>
  <c r="DG20" i="10"/>
  <c r="DH20" i="10" s="1"/>
  <c r="BI20" i="10" s="1"/>
  <c r="BV20" i="10"/>
  <c r="BU20" i="10"/>
  <c r="BM20" i="10"/>
  <c r="BG20" i="10"/>
  <c r="BA20" i="10"/>
  <c r="BN20" i="10" s="1"/>
  <c r="BQ20" i="10" s="1"/>
  <c r="BR20" i="10" s="1"/>
  <c r="AV20" i="10"/>
  <c r="AT20" i="10"/>
  <c r="AM20" i="10"/>
  <c r="AH20" i="10"/>
  <c r="AG20" i="10"/>
  <c r="J20" i="10" s="1"/>
  <c r="I20" i="10" s="1"/>
  <c r="AF20" i="10"/>
  <c r="K20" i="10" s="1"/>
  <c r="BJ20" i="10" s="1"/>
  <c r="Z20" i="10"/>
  <c r="Y20" i="10"/>
  <c r="X20" i="10"/>
  <c r="Q20" i="10"/>
  <c r="DJ19" i="10"/>
  <c r="DI19" i="10"/>
  <c r="DG19" i="10"/>
  <c r="DH19" i="10" s="1"/>
  <c r="BI19" i="10" s="1"/>
  <c r="BV19" i="10"/>
  <c r="BU19" i="10"/>
  <c r="BN19" i="10"/>
  <c r="BQ19" i="10" s="1"/>
  <c r="BM19" i="10"/>
  <c r="BJ19" i="10"/>
  <c r="BG19" i="10"/>
  <c r="BA19" i="10"/>
  <c r="AV19" i="10"/>
  <c r="AT19" i="10"/>
  <c r="AU19" i="10" s="1"/>
  <c r="AM19" i="10"/>
  <c r="AH19" i="10"/>
  <c r="AG19" i="10"/>
  <c r="AF19" i="10"/>
  <c r="AB19" i="10"/>
  <c r="Z19" i="10"/>
  <c r="Y19" i="10"/>
  <c r="X19" i="10"/>
  <c r="T19" i="10"/>
  <c r="Q19" i="10"/>
  <c r="O19" i="10"/>
  <c r="L19" i="10"/>
  <c r="K19" i="10"/>
  <c r="J19" i="10"/>
  <c r="I19" i="10"/>
  <c r="DJ18" i="10"/>
  <c r="DI18" i="10"/>
  <c r="DG18" i="10"/>
  <c r="DH18" i="10" s="1"/>
  <c r="BI18" i="10" s="1"/>
  <c r="BV18" i="10"/>
  <c r="BU18" i="10"/>
  <c r="BT18" i="10"/>
  <c r="BM18" i="10"/>
  <c r="BG18" i="10"/>
  <c r="BA18" i="10"/>
  <c r="BN18" i="10" s="1"/>
  <c r="BQ18" i="10" s="1"/>
  <c r="BR18" i="10" s="1"/>
  <c r="AV18" i="10"/>
  <c r="AT18" i="10"/>
  <c r="L18" i="10" s="1"/>
  <c r="AM18" i="10"/>
  <c r="AH18" i="10"/>
  <c r="AG18" i="10"/>
  <c r="AF18" i="10"/>
  <c r="K18" i="10" s="1"/>
  <c r="BJ18" i="10" s="1"/>
  <c r="Z18" i="10"/>
  <c r="Y18" i="10"/>
  <c r="X18" i="10"/>
  <c r="T18" i="10"/>
  <c r="Q18" i="10"/>
  <c r="J18" i="10"/>
  <c r="I18" i="10"/>
  <c r="AB18" i="10" s="1"/>
  <c r="DJ17" i="10"/>
  <c r="DI17" i="10"/>
  <c r="DG17" i="10"/>
  <c r="DH17" i="10" s="1"/>
  <c r="BI17" i="10" s="1"/>
  <c r="BV17" i="10"/>
  <c r="BU17" i="10"/>
  <c r="BN17" i="10"/>
  <c r="BQ17" i="10" s="1"/>
  <c r="BM17" i="10"/>
  <c r="BJ17" i="10"/>
  <c r="BG17" i="10"/>
  <c r="BA17" i="10"/>
  <c r="AV17" i="10"/>
  <c r="AT17" i="10"/>
  <c r="AU17" i="10" s="1"/>
  <c r="AM17" i="10"/>
  <c r="AH17" i="10"/>
  <c r="AG17" i="10"/>
  <c r="AF17" i="10"/>
  <c r="AB17" i="10"/>
  <c r="Z17" i="10"/>
  <c r="Y17" i="10"/>
  <c r="X17" i="10"/>
  <c r="T17" i="10"/>
  <c r="Q17" i="10"/>
  <c r="O17" i="10"/>
  <c r="L17" i="10"/>
  <c r="K17" i="10"/>
  <c r="J17" i="10"/>
  <c r="I17" i="10"/>
  <c r="DJ31" i="9"/>
  <c r="DI31" i="9"/>
  <c r="DG31" i="9"/>
  <c r="DH31" i="9" s="1"/>
  <c r="BV31" i="9"/>
  <c r="BU31" i="9"/>
  <c r="BM31" i="9"/>
  <c r="BI31" i="9"/>
  <c r="BG31" i="9"/>
  <c r="BK31" i="9" s="1"/>
  <c r="BA31" i="9"/>
  <c r="BN31" i="9" s="1"/>
  <c r="BQ31" i="9" s="1"/>
  <c r="AV31" i="9"/>
  <c r="AT31" i="9"/>
  <c r="AU31" i="9" s="1"/>
  <c r="AM31" i="9"/>
  <c r="AH31" i="9"/>
  <c r="AG31" i="9"/>
  <c r="AF31" i="9"/>
  <c r="K31" i="9" s="1"/>
  <c r="BJ31" i="9" s="1"/>
  <c r="BL31" i="9" s="1"/>
  <c r="Z31" i="9"/>
  <c r="Y31" i="9"/>
  <c r="X31" i="9"/>
  <c r="T31" i="9"/>
  <c r="Q31" i="9"/>
  <c r="O31" i="9"/>
  <c r="L31" i="9"/>
  <c r="J31" i="9"/>
  <c r="I31" i="9"/>
  <c r="DJ30" i="9"/>
  <c r="T30" i="9" s="1"/>
  <c r="DI30" i="9"/>
  <c r="DG30" i="9"/>
  <c r="DH30" i="9" s="1"/>
  <c r="BV30" i="9"/>
  <c r="BU30" i="9"/>
  <c r="BM30" i="9"/>
  <c r="BI30" i="9"/>
  <c r="BG30" i="9"/>
  <c r="BK30" i="9" s="1"/>
  <c r="BA30" i="9"/>
  <c r="BN30" i="9" s="1"/>
  <c r="BQ30" i="9" s="1"/>
  <c r="BR30" i="9" s="1"/>
  <c r="AV30" i="9"/>
  <c r="AT30" i="9" s="1"/>
  <c r="AM30" i="9"/>
  <c r="AH30" i="9"/>
  <c r="AF30" i="9"/>
  <c r="K30" i="9" s="1"/>
  <c r="BJ30" i="9" s="1"/>
  <c r="BL30" i="9" s="1"/>
  <c r="Z30" i="9"/>
  <c r="Y30" i="9"/>
  <c r="X30" i="9"/>
  <c r="Q30" i="9"/>
  <c r="DJ29" i="9"/>
  <c r="DI29" i="9"/>
  <c r="DG29" i="9"/>
  <c r="DH29" i="9" s="1"/>
  <c r="BI29" i="9" s="1"/>
  <c r="BW29" i="9"/>
  <c r="BX29" i="9" s="1"/>
  <c r="BV29" i="9"/>
  <c r="BU29" i="9"/>
  <c r="BT29" i="9"/>
  <c r="BM29" i="9"/>
  <c r="BG29" i="9"/>
  <c r="BA29" i="9"/>
  <c r="BN29" i="9" s="1"/>
  <c r="BQ29" i="9" s="1"/>
  <c r="BS29" i="9" s="1"/>
  <c r="AV29" i="9"/>
  <c r="AT29" i="9"/>
  <c r="AU29" i="9" s="1"/>
  <c r="AM29" i="9"/>
  <c r="AH29" i="9"/>
  <c r="AG29" i="9"/>
  <c r="J29" i="9" s="1"/>
  <c r="AF29" i="9"/>
  <c r="K29" i="9" s="1"/>
  <c r="BJ29" i="9" s="1"/>
  <c r="AB29" i="9"/>
  <c r="Z29" i="9"/>
  <c r="Y29" i="9"/>
  <c r="X29" i="9"/>
  <c r="T29" i="9"/>
  <c r="U29" i="9" s="1"/>
  <c r="V29" i="9" s="1"/>
  <c r="W29" i="9" s="1"/>
  <c r="AA29" i="9" s="1"/>
  <c r="Q29" i="9"/>
  <c r="O29" i="9"/>
  <c r="L29" i="9"/>
  <c r="I29" i="9"/>
  <c r="DJ28" i="9"/>
  <c r="T28" i="9" s="1"/>
  <c r="DI28" i="9"/>
  <c r="DG28" i="9"/>
  <c r="DH28" i="9" s="1"/>
  <c r="BI28" i="9" s="1"/>
  <c r="BV28" i="9"/>
  <c r="BU28" i="9"/>
  <c r="BT28" i="9"/>
  <c r="BM28" i="9"/>
  <c r="BG28" i="9"/>
  <c r="BA28" i="9"/>
  <c r="BN28" i="9" s="1"/>
  <c r="BQ28" i="9" s="1"/>
  <c r="BR28" i="9" s="1"/>
  <c r="AV28" i="9"/>
  <c r="AT28" i="9" s="1"/>
  <c r="AM28" i="9"/>
  <c r="AH28" i="9"/>
  <c r="AG28" i="9"/>
  <c r="J28" i="9" s="1"/>
  <c r="I28" i="9" s="1"/>
  <c r="AF28" i="9"/>
  <c r="K28" i="9" s="1"/>
  <c r="BJ28" i="9" s="1"/>
  <c r="BL28" i="9" s="1"/>
  <c r="Z28" i="9"/>
  <c r="Y28" i="9"/>
  <c r="X28" i="9"/>
  <c r="Q28" i="9"/>
  <c r="DJ27" i="9"/>
  <c r="DI27" i="9"/>
  <c r="DG27" i="9"/>
  <c r="DH27" i="9" s="1"/>
  <c r="BI27" i="9" s="1"/>
  <c r="BV27" i="9"/>
  <c r="BU27" i="9"/>
  <c r="BT27" i="9"/>
  <c r="BS27" i="9"/>
  <c r="BW27" i="9" s="1"/>
  <c r="BX27" i="9" s="1"/>
  <c r="BR27" i="9"/>
  <c r="BM27" i="9"/>
  <c r="BG27" i="9"/>
  <c r="BK27" i="9" s="1"/>
  <c r="BA27" i="9"/>
  <c r="BN27" i="9" s="1"/>
  <c r="BQ27" i="9" s="1"/>
  <c r="AV27" i="9"/>
  <c r="AT27" i="9"/>
  <c r="AU27" i="9" s="1"/>
  <c r="AM27" i="9"/>
  <c r="AH27" i="9"/>
  <c r="AG27" i="9"/>
  <c r="J27" i="9" s="1"/>
  <c r="I27" i="9" s="1"/>
  <c r="AF27" i="9"/>
  <c r="K27" i="9" s="1"/>
  <c r="BJ27" i="9" s="1"/>
  <c r="BL27" i="9" s="1"/>
  <c r="AB27" i="9"/>
  <c r="Z27" i="9"/>
  <c r="Y27" i="9"/>
  <c r="X27" i="9"/>
  <c r="T27" i="9"/>
  <c r="Q27" i="9"/>
  <c r="O27" i="9"/>
  <c r="L27" i="9"/>
  <c r="DJ26" i="9"/>
  <c r="DI26" i="9"/>
  <c r="DG26" i="9"/>
  <c r="DH26" i="9" s="1"/>
  <c r="BI26" i="9" s="1"/>
  <c r="BV26" i="9"/>
  <c r="BU26" i="9"/>
  <c r="BT26" i="9"/>
  <c r="BS26" i="9"/>
  <c r="BW26" i="9" s="1"/>
  <c r="BX26" i="9" s="1"/>
  <c r="BM26" i="9"/>
  <c r="BK26" i="9"/>
  <c r="BG26" i="9"/>
  <c r="BA26" i="9"/>
  <c r="BN26" i="9" s="1"/>
  <c r="BQ26" i="9" s="1"/>
  <c r="BR26" i="9" s="1"/>
  <c r="AV26" i="9"/>
  <c r="AT26" i="9" s="1"/>
  <c r="AM26" i="9"/>
  <c r="AH26" i="9"/>
  <c r="AG26" i="9"/>
  <c r="J26" i="9" s="1"/>
  <c r="I26" i="9" s="1"/>
  <c r="AF26" i="9"/>
  <c r="K26" i="9" s="1"/>
  <c r="BJ26" i="9" s="1"/>
  <c r="BL26" i="9" s="1"/>
  <c r="Z26" i="9"/>
  <c r="Y26" i="9"/>
  <c r="X26" i="9"/>
  <c r="T26" i="9"/>
  <c r="Q26" i="9"/>
  <c r="DJ25" i="9"/>
  <c r="DI25" i="9"/>
  <c r="DG25" i="9"/>
  <c r="DH25" i="9" s="1"/>
  <c r="BV25" i="9"/>
  <c r="BU25" i="9"/>
  <c r="BT25" i="9"/>
  <c r="BS25" i="9"/>
  <c r="BW25" i="9" s="1"/>
  <c r="BX25" i="9" s="1"/>
  <c r="BR25" i="9"/>
  <c r="BM25" i="9"/>
  <c r="BJ25" i="9"/>
  <c r="BI25" i="9"/>
  <c r="BK25" i="9" s="1"/>
  <c r="BG25" i="9"/>
  <c r="BA25" i="9"/>
  <c r="BN25" i="9" s="1"/>
  <c r="BQ25" i="9" s="1"/>
  <c r="AV25" i="9"/>
  <c r="AT25" i="9"/>
  <c r="AU25" i="9" s="1"/>
  <c r="AM25" i="9"/>
  <c r="AH25" i="9"/>
  <c r="AG25" i="9"/>
  <c r="J25" i="9" s="1"/>
  <c r="I25" i="9" s="1"/>
  <c r="AF25" i="9"/>
  <c r="K25" i="9" s="1"/>
  <c r="Z25" i="9"/>
  <c r="Y25" i="9"/>
  <c r="X25" i="9"/>
  <c r="T25" i="9"/>
  <c r="Q25" i="9"/>
  <c r="O25" i="9"/>
  <c r="L25" i="9"/>
  <c r="DJ24" i="9"/>
  <c r="DI24" i="9"/>
  <c r="DG24" i="9"/>
  <c r="DH24" i="9" s="1"/>
  <c r="BV24" i="9"/>
  <c r="BU24" i="9"/>
  <c r="BT24" i="9"/>
  <c r="BS24" i="9"/>
  <c r="BW24" i="9" s="1"/>
  <c r="BX24" i="9" s="1"/>
  <c r="BM24" i="9"/>
  <c r="BJ24" i="9"/>
  <c r="BI24" i="9"/>
  <c r="BG24" i="9"/>
  <c r="BK24" i="9" s="1"/>
  <c r="BA24" i="9"/>
  <c r="BN24" i="9" s="1"/>
  <c r="BQ24" i="9" s="1"/>
  <c r="BR24" i="9" s="1"/>
  <c r="AV24" i="9"/>
  <c r="AT24" i="9" s="1"/>
  <c r="AM24" i="9"/>
  <c r="AH24" i="9"/>
  <c r="AG24" i="9"/>
  <c r="J24" i="9" s="1"/>
  <c r="I24" i="9" s="1"/>
  <c r="AB24" i="9" s="1"/>
  <c r="AF24" i="9"/>
  <c r="K24" i="9" s="1"/>
  <c r="Z24" i="9"/>
  <c r="Y24" i="9"/>
  <c r="X24" i="9"/>
  <c r="T24" i="9"/>
  <c r="Q24" i="9"/>
  <c r="DJ23" i="9"/>
  <c r="DI23" i="9"/>
  <c r="DG23" i="9"/>
  <c r="DH23" i="9" s="1"/>
  <c r="BV23" i="9"/>
  <c r="BU23" i="9"/>
  <c r="BM23" i="9"/>
  <c r="BJ23" i="9"/>
  <c r="BI23" i="9"/>
  <c r="BG23" i="9"/>
  <c r="BK23" i="9" s="1"/>
  <c r="BA23" i="9"/>
  <c r="BN23" i="9" s="1"/>
  <c r="BQ23" i="9" s="1"/>
  <c r="AV23" i="9"/>
  <c r="AT23" i="9"/>
  <c r="AU23" i="9" s="1"/>
  <c r="AM23" i="9"/>
  <c r="AH23" i="9"/>
  <c r="AG23" i="9"/>
  <c r="J23" i="9" s="1"/>
  <c r="I23" i="9" s="1"/>
  <c r="AF23" i="9"/>
  <c r="K23" i="9" s="1"/>
  <c r="Z23" i="9"/>
  <c r="Y23" i="9"/>
  <c r="X23" i="9"/>
  <c r="T23" i="9"/>
  <c r="Q23" i="9"/>
  <c r="O23" i="9"/>
  <c r="L23" i="9"/>
  <c r="DJ22" i="9"/>
  <c r="DI22" i="9"/>
  <c r="DG22" i="9"/>
  <c r="DH22" i="9" s="1"/>
  <c r="BV22" i="9"/>
  <c r="BU22" i="9"/>
  <c r="BM22" i="9"/>
  <c r="BI22" i="9"/>
  <c r="BG22" i="9"/>
  <c r="BK22" i="9" s="1"/>
  <c r="BA22" i="9"/>
  <c r="BN22" i="9" s="1"/>
  <c r="BQ22" i="9" s="1"/>
  <c r="AV22" i="9"/>
  <c r="AT22" i="9" s="1"/>
  <c r="AM22" i="9"/>
  <c r="AH22" i="9"/>
  <c r="Z22" i="9"/>
  <c r="Y22" i="9"/>
  <c r="X22" i="9"/>
  <c r="T22" i="9"/>
  <c r="Q22" i="9"/>
  <c r="L22" i="9"/>
  <c r="DJ21" i="9"/>
  <c r="DI21" i="9"/>
  <c r="DG21" i="9"/>
  <c r="DH21" i="9" s="1"/>
  <c r="BV21" i="9"/>
  <c r="BU21" i="9"/>
  <c r="BM21" i="9"/>
  <c r="BJ21" i="9"/>
  <c r="BI21" i="9"/>
  <c r="BG21" i="9"/>
  <c r="BK21" i="9" s="1"/>
  <c r="BA21" i="9"/>
  <c r="BN21" i="9" s="1"/>
  <c r="BQ21" i="9" s="1"/>
  <c r="AV21" i="9"/>
  <c r="AT21" i="9"/>
  <c r="AU21" i="9" s="1"/>
  <c r="AM21" i="9"/>
  <c r="AH21" i="9"/>
  <c r="AG21" i="9"/>
  <c r="AF21" i="9"/>
  <c r="Z21" i="9"/>
  <c r="Y21" i="9"/>
  <c r="X21" i="9"/>
  <c r="T21" i="9"/>
  <c r="Q21" i="9"/>
  <c r="O21" i="9"/>
  <c r="L21" i="9"/>
  <c r="K21" i="9"/>
  <c r="J21" i="9"/>
  <c r="I21" i="9" s="1"/>
  <c r="DJ20" i="9"/>
  <c r="DI20" i="9"/>
  <c r="DG20" i="9"/>
  <c r="DH20" i="9" s="1"/>
  <c r="BV20" i="9"/>
  <c r="BU20" i="9"/>
  <c r="BM20" i="9"/>
  <c r="BI20" i="9"/>
  <c r="BG20" i="9"/>
  <c r="BK20" i="9" s="1"/>
  <c r="BA20" i="9"/>
  <c r="BN20" i="9" s="1"/>
  <c r="BQ20" i="9" s="1"/>
  <c r="AV20" i="9"/>
  <c r="AT20" i="9" s="1"/>
  <c r="AM20" i="9"/>
  <c r="AH20" i="9"/>
  <c r="AG20" i="9"/>
  <c r="AF20" i="9"/>
  <c r="K20" i="9" s="1"/>
  <c r="BJ20" i="9" s="1"/>
  <c r="BL20" i="9" s="1"/>
  <c r="Z20" i="9"/>
  <c r="Y20" i="9"/>
  <c r="X20" i="9"/>
  <c r="T20" i="9"/>
  <c r="Q20" i="9"/>
  <c r="L20" i="9"/>
  <c r="J20" i="9"/>
  <c r="I20" i="9" s="1"/>
  <c r="DJ19" i="9"/>
  <c r="DI19" i="9"/>
  <c r="DG19" i="9"/>
  <c r="DH19" i="9" s="1"/>
  <c r="BV19" i="9"/>
  <c r="BU19" i="9"/>
  <c r="BM19" i="9"/>
  <c r="BI19" i="9"/>
  <c r="BG19" i="9"/>
  <c r="BK19" i="9" s="1"/>
  <c r="BA19" i="9"/>
  <c r="BN19" i="9" s="1"/>
  <c r="BQ19" i="9" s="1"/>
  <c r="AV19" i="9"/>
  <c r="AT19" i="9"/>
  <c r="AU19" i="9" s="1"/>
  <c r="AM19" i="9"/>
  <c r="AH19" i="9"/>
  <c r="AG19" i="9"/>
  <c r="AF19" i="9"/>
  <c r="K19" i="9" s="1"/>
  <c r="BJ19" i="9" s="1"/>
  <c r="BL19" i="9" s="1"/>
  <c r="Z19" i="9"/>
  <c r="Y19" i="9"/>
  <c r="X19" i="9"/>
  <c r="T19" i="9"/>
  <c r="Q19" i="9"/>
  <c r="O19" i="9"/>
  <c r="L19" i="9"/>
  <c r="J19" i="9"/>
  <c r="I19" i="9"/>
  <c r="DJ18" i="9"/>
  <c r="T18" i="9" s="1"/>
  <c r="DI18" i="9"/>
  <c r="DG18" i="9"/>
  <c r="DH18" i="9" s="1"/>
  <c r="BV18" i="9"/>
  <c r="BU18" i="9"/>
  <c r="BM18" i="9"/>
  <c r="BI18" i="9"/>
  <c r="BG18" i="9"/>
  <c r="BK18" i="9" s="1"/>
  <c r="BA18" i="9"/>
  <c r="BN18" i="9" s="1"/>
  <c r="BQ18" i="9" s="1"/>
  <c r="AV18" i="9"/>
  <c r="AT18" i="9" s="1"/>
  <c r="AM18" i="9"/>
  <c r="AH18" i="9"/>
  <c r="Z18" i="9"/>
  <c r="Y18" i="9"/>
  <c r="X18" i="9"/>
  <c r="Q18" i="9"/>
  <c r="DJ17" i="9"/>
  <c r="DI17" i="9"/>
  <c r="DG17" i="9"/>
  <c r="DH17" i="9" s="1"/>
  <c r="BI17" i="9" s="1"/>
  <c r="BV17" i="9"/>
  <c r="BU17" i="9"/>
  <c r="BM17" i="9"/>
  <c r="BG17" i="9"/>
  <c r="BK17" i="9" s="1"/>
  <c r="BA17" i="9"/>
  <c r="BN17" i="9" s="1"/>
  <c r="BQ17" i="9" s="1"/>
  <c r="BT17" i="9" s="1"/>
  <c r="AV17" i="9"/>
  <c r="AT17" i="9"/>
  <c r="AU17" i="9" s="1"/>
  <c r="AM17" i="9"/>
  <c r="AH17" i="9"/>
  <c r="AG17" i="9"/>
  <c r="AF17" i="9"/>
  <c r="Z17" i="9"/>
  <c r="Y17" i="9"/>
  <c r="X17" i="9"/>
  <c r="T17" i="9"/>
  <c r="Q17" i="9"/>
  <c r="O17" i="9"/>
  <c r="L17" i="9"/>
  <c r="K17" i="9"/>
  <c r="BJ17" i="9" s="1"/>
  <c r="BL17" i="9" s="1"/>
  <c r="J17" i="9"/>
  <c r="I17" i="9" s="1"/>
  <c r="DJ31" i="7"/>
  <c r="DI31" i="7"/>
  <c r="DG31" i="7"/>
  <c r="DH31" i="7" s="1"/>
  <c r="BV31" i="7"/>
  <c r="BU31" i="7"/>
  <c r="BM31" i="7"/>
  <c r="BJ31" i="7"/>
  <c r="BI31" i="7"/>
  <c r="BG31" i="7"/>
  <c r="BK31" i="7" s="1"/>
  <c r="BA31" i="7"/>
  <c r="BN31" i="7" s="1"/>
  <c r="BQ31" i="7" s="1"/>
  <c r="AV31" i="7"/>
  <c r="AT31" i="7"/>
  <c r="AU31" i="7" s="1"/>
  <c r="AM31" i="7"/>
  <c r="AH31" i="7"/>
  <c r="AG31" i="7"/>
  <c r="AF31" i="7"/>
  <c r="Z31" i="7"/>
  <c r="Y31" i="7"/>
  <c r="X31" i="7"/>
  <c r="T31" i="7"/>
  <c r="Q31" i="7"/>
  <c r="O31" i="7"/>
  <c r="L31" i="7"/>
  <c r="K31" i="7"/>
  <c r="J31" i="7"/>
  <c r="I31" i="7" s="1"/>
  <c r="DJ30" i="7"/>
  <c r="DI30" i="7"/>
  <c r="DG30" i="7"/>
  <c r="DH30" i="7" s="1"/>
  <c r="BI30" i="7" s="1"/>
  <c r="BV30" i="7"/>
  <c r="BU30" i="7"/>
  <c r="BM30" i="7"/>
  <c r="BG30" i="7"/>
  <c r="BK30" i="7" s="1"/>
  <c r="BA30" i="7"/>
  <c r="BN30" i="7" s="1"/>
  <c r="BQ30" i="7" s="1"/>
  <c r="AV30" i="7"/>
  <c r="AT30" i="7"/>
  <c r="AF30" i="7" s="1"/>
  <c r="K30" i="7" s="1"/>
  <c r="BJ30" i="7" s="1"/>
  <c r="BL30" i="7" s="1"/>
  <c r="AM30" i="7"/>
  <c r="AH30" i="7"/>
  <c r="Z30" i="7"/>
  <c r="Y30" i="7"/>
  <c r="X30" i="7"/>
  <c r="T30" i="7"/>
  <c r="Q30" i="7"/>
  <c r="DJ29" i="7"/>
  <c r="DI29" i="7"/>
  <c r="DG29" i="7"/>
  <c r="DH29" i="7" s="1"/>
  <c r="BV29" i="7"/>
  <c r="BU29" i="7"/>
  <c r="BM29" i="7"/>
  <c r="BJ29" i="7"/>
  <c r="BI29" i="7"/>
  <c r="BG29" i="7"/>
  <c r="BK29" i="7" s="1"/>
  <c r="BA29" i="7"/>
  <c r="BN29" i="7" s="1"/>
  <c r="BQ29" i="7" s="1"/>
  <c r="AV29" i="7"/>
  <c r="AT29" i="7"/>
  <c r="AU29" i="7" s="1"/>
  <c r="AM29" i="7"/>
  <c r="AH29" i="7"/>
  <c r="AG29" i="7"/>
  <c r="AF29" i="7"/>
  <c r="Z29" i="7"/>
  <c r="Y29" i="7"/>
  <c r="X29" i="7"/>
  <c r="T29" i="7"/>
  <c r="Q29" i="7"/>
  <c r="O29" i="7"/>
  <c r="L29" i="7"/>
  <c r="K29" i="7"/>
  <c r="J29" i="7"/>
  <c r="I29" i="7"/>
  <c r="DJ28" i="7"/>
  <c r="DI28" i="7"/>
  <c r="DG28" i="7"/>
  <c r="DH28" i="7" s="1"/>
  <c r="BI28" i="7" s="1"/>
  <c r="BV28" i="7"/>
  <c r="BU28" i="7"/>
  <c r="BM28" i="7"/>
  <c r="BG28" i="7"/>
  <c r="BK28" i="7" s="1"/>
  <c r="BA28" i="7"/>
  <c r="BN28" i="7" s="1"/>
  <c r="BQ28" i="7" s="1"/>
  <c r="AV28" i="7"/>
  <c r="AT28" i="7"/>
  <c r="O28" i="7" s="1"/>
  <c r="AM28" i="7"/>
  <c r="AH28" i="7"/>
  <c r="AG28" i="7"/>
  <c r="J28" i="7" s="1"/>
  <c r="I28" i="7" s="1"/>
  <c r="AF28" i="7"/>
  <c r="K28" i="7" s="1"/>
  <c r="BJ28" i="7" s="1"/>
  <c r="BL28" i="7" s="1"/>
  <c r="Z28" i="7"/>
  <c r="Y28" i="7"/>
  <c r="X28" i="7"/>
  <c r="T28" i="7"/>
  <c r="Q28" i="7"/>
  <c r="DJ27" i="7"/>
  <c r="DI27" i="7"/>
  <c r="DG27" i="7"/>
  <c r="DH27" i="7" s="1"/>
  <c r="BV27" i="7"/>
  <c r="BU27" i="7"/>
  <c r="BM27" i="7"/>
  <c r="BJ27" i="7"/>
  <c r="BI27" i="7"/>
  <c r="BG27" i="7"/>
  <c r="BK27" i="7" s="1"/>
  <c r="BA27" i="7"/>
  <c r="BN27" i="7" s="1"/>
  <c r="BQ27" i="7" s="1"/>
  <c r="AV27" i="7"/>
  <c r="AT27" i="7"/>
  <c r="AU27" i="7" s="1"/>
  <c r="AM27" i="7"/>
  <c r="AH27" i="7"/>
  <c r="AG27" i="7"/>
  <c r="AF27" i="7"/>
  <c r="Z27" i="7"/>
  <c r="Y27" i="7"/>
  <c r="X27" i="7"/>
  <c r="T27" i="7"/>
  <c r="Q27" i="7"/>
  <c r="O27" i="7"/>
  <c r="L27" i="7"/>
  <c r="K27" i="7"/>
  <c r="J27" i="7"/>
  <c r="I27" i="7"/>
  <c r="DJ26" i="7"/>
  <c r="T26" i="7" s="1"/>
  <c r="DI26" i="7"/>
  <c r="DG26" i="7"/>
  <c r="DH26" i="7" s="1"/>
  <c r="BI26" i="7" s="1"/>
  <c r="BV26" i="7"/>
  <c r="BU26" i="7"/>
  <c r="BM26" i="7"/>
  <c r="BG26" i="7"/>
  <c r="BA26" i="7"/>
  <c r="BN26" i="7" s="1"/>
  <c r="BQ26" i="7" s="1"/>
  <c r="AV26" i="7"/>
  <c r="AT26" i="7"/>
  <c r="O26" i="7" s="1"/>
  <c r="AM26" i="7"/>
  <c r="AH26" i="7"/>
  <c r="AG26" i="7"/>
  <c r="J26" i="7" s="1"/>
  <c r="I26" i="7" s="1"/>
  <c r="AF26" i="7"/>
  <c r="K26" i="7" s="1"/>
  <c r="BJ26" i="7" s="1"/>
  <c r="BL26" i="7" s="1"/>
  <c r="Z26" i="7"/>
  <c r="Y26" i="7"/>
  <c r="X26" i="7"/>
  <c r="Q26" i="7"/>
  <c r="L26" i="7"/>
  <c r="DJ25" i="7"/>
  <c r="DI25" i="7"/>
  <c r="DG25" i="7"/>
  <c r="DH25" i="7" s="1"/>
  <c r="BV25" i="7"/>
  <c r="BU25" i="7"/>
  <c r="BM25" i="7"/>
  <c r="BJ25" i="7"/>
  <c r="BI25" i="7"/>
  <c r="BG25" i="7"/>
  <c r="BK25" i="7" s="1"/>
  <c r="BA25" i="7"/>
  <c r="BN25" i="7" s="1"/>
  <c r="BQ25" i="7" s="1"/>
  <c r="AV25" i="7"/>
  <c r="AT25" i="7"/>
  <c r="AU25" i="7" s="1"/>
  <c r="AM25" i="7"/>
  <c r="AH25" i="7"/>
  <c r="AG25" i="7"/>
  <c r="AF25" i="7"/>
  <c r="Z25" i="7"/>
  <c r="Y25" i="7"/>
  <c r="X25" i="7"/>
  <c r="T25" i="7"/>
  <c r="Q25" i="7"/>
  <c r="O25" i="7"/>
  <c r="L25" i="7"/>
  <c r="K25" i="7"/>
  <c r="J25" i="7"/>
  <c r="I25" i="7"/>
  <c r="DJ24" i="7"/>
  <c r="T24" i="7" s="1"/>
  <c r="DI24" i="7"/>
  <c r="DG24" i="7"/>
  <c r="DH24" i="7" s="1"/>
  <c r="BI24" i="7" s="1"/>
  <c r="BV24" i="7"/>
  <c r="BU24" i="7"/>
  <c r="BM24" i="7"/>
  <c r="BG24" i="7"/>
  <c r="BA24" i="7"/>
  <c r="BN24" i="7" s="1"/>
  <c r="BQ24" i="7" s="1"/>
  <c r="BR24" i="7" s="1"/>
  <c r="AV24" i="7"/>
  <c r="AT24" i="7" s="1"/>
  <c r="AM24" i="7"/>
  <c r="AH24" i="7"/>
  <c r="Z24" i="7"/>
  <c r="Y24" i="7"/>
  <c r="X24" i="7"/>
  <c r="Q24" i="7"/>
  <c r="DJ23" i="7"/>
  <c r="DI23" i="7"/>
  <c r="DG23" i="7"/>
  <c r="DH23" i="7" s="1"/>
  <c r="BI23" i="7" s="1"/>
  <c r="BV23" i="7"/>
  <c r="BU23" i="7"/>
  <c r="BM23" i="7"/>
  <c r="BJ23" i="7"/>
  <c r="BG23" i="7"/>
  <c r="BA23" i="7"/>
  <c r="BN23" i="7" s="1"/>
  <c r="BQ23" i="7" s="1"/>
  <c r="AV23" i="7"/>
  <c r="AT23" i="7"/>
  <c r="AU23" i="7" s="1"/>
  <c r="AM23" i="7"/>
  <c r="AH23" i="7"/>
  <c r="AG23" i="7"/>
  <c r="AF23" i="7"/>
  <c r="Z23" i="7"/>
  <c r="Y23" i="7"/>
  <c r="X23" i="7"/>
  <c r="T23" i="7"/>
  <c r="U23" i="7" s="1"/>
  <c r="V23" i="7" s="1"/>
  <c r="Q23" i="7"/>
  <c r="O23" i="7"/>
  <c r="L23" i="7"/>
  <c r="K23" i="7"/>
  <c r="J23" i="7"/>
  <c r="I23" i="7"/>
  <c r="DJ22" i="7"/>
  <c r="T22" i="7" s="1"/>
  <c r="DI22" i="7"/>
  <c r="DH22" i="7"/>
  <c r="BI22" i="7" s="1"/>
  <c r="DG22" i="7"/>
  <c r="BV22" i="7"/>
  <c r="BU22" i="7"/>
  <c r="BM22" i="7"/>
  <c r="BG22" i="7"/>
  <c r="BA22" i="7"/>
  <c r="BN22" i="7" s="1"/>
  <c r="BQ22" i="7" s="1"/>
  <c r="BR22" i="7" s="1"/>
  <c r="AV22" i="7"/>
  <c r="AT22" i="7"/>
  <c r="O22" i="7" s="1"/>
  <c r="AM22" i="7"/>
  <c r="AH22" i="7"/>
  <c r="AG22" i="7"/>
  <c r="J22" i="7" s="1"/>
  <c r="I22" i="7" s="1"/>
  <c r="AF22" i="7"/>
  <c r="K22" i="7" s="1"/>
  <c r="BJ22" i="7" s="1"/>
  <c r="BL22" i="7" s="1"/>
  <c r="Z22" i="7"/>
  <c r="Y22" i="7"/>
  <c r="X22" i="7"/>
  <c r="Q22" i="7"/>
  <c r="DJ21" i="7"/>
  <c r="DI21" i="7"/>
  <c r="DG21" i="7"/>
  <c r="DH21" i="7" s="1"/>
  <c r="BI21" i="7" s="1"/>
  <c r="BV21" i="7"/>
  <c r="BU21" i="7"/>
  <c r="BM21" i="7"/>
  <c r="BJ21" i="7"/>
  <c r="BL21" i="7" s="1"/>
  <c r="BG21" i="7"/>
  <c r="BK21" i="7" s="1"/>
  <c r="BA21" i="7"/>
  <c r="BN21" i="7" s="1"/>
  <c r="BQ21" i="7" s="1"/>
  <c r="AV21" i="7"/>
  <c r="AT21" i="7"/>
  <c r="AU21" i="7" s="1"/>
  <c r="AM21" i="7"/>
  <c r="AH21" i="7"/>
  <c r="AG21" i="7"/>
  <c r="AF21" i="7"/>
  <c r="Z21" i="7"/>
  <c r="Y21" i="7"/>
  <c r="X21" i="7"/>
  <c r="T21" i="7"/>
  <c r="Q21" i="7"/>
  <c r="O21" i="7"/>
  <c r="L21" i="7"/>
  <c r="K21" i="7"/>
  <c r="J21" i="7"/>
  <c r="I21" i="7"/>
  <c r="DJ20" i="7"/>
  <c r="DI20" i="7"/>
  <c r="DG20" i="7"/>
  <c r="T20" i="7" s="1"/>
  <c r="BV20" i="7"/>
  <c r="BU20" i="7"/>
  <c r="BM20" i="7"/>
  <c r="BG20" i="7"/>
  <c r="BA20" i="7"/>
  <c r="BN20" i="7" s="1"/>
  <c r="BQ20" i="7" s="1"/>
  <c r="BR20" i="7" s="1"/>
  <c r="AV20" i="7"/>
  <c r="AT20" i="7"/>
  <c r="AM20" i="7"/>
  <c r="AH20" i="7"/>
  <c r="AG20" i="7"/>
  <c r="AF20" i="7"/>
  <c r="Z20" i="7"/>
  <c r="Y20" i="7"/>
  <c r="X20" i="7"/>
  <c r="Q20" i="7"/>
  <c r="K20" i="7"/>
  <c r="BJ20" i="7" s="1"/>
  <c r="J20" i="7"/>
  <c r="I20" i="7" s="1"/>
  <c r="DJ19" i="7"/>
  <c r="DI19" i="7"/>
  <c r="DG19" i="7"/>
  <c r="DH19" i="7" s="1"/>
  <c r="BI19" i="7" s="1"/>
  <c r="BV19" i="7"/>
  <c r="BU19" i="7"/>
  <c r="BM19" i="7"/>
  <c r="BJ19" i="7"/>
  <c r="BL19" i="7" s="1"/>
  <c r="BG19" i="7"/>
  <c r="BK19" i="7" s="1"/>
  <c r="BA19" i="7"/>
  <c r="BN19" i="7" s="1"/>
  <c r="BQ19" i="7" s="1"/>
  <c r="AV19" i="7"/>
  <c r="AT19" i="7"/>
  <c r="AU19" i="7" s="1"/>
  <c r="AM19" i="7"/>
  <c r="AH19" i="7"/>
  <c r="AG19" i="7"/>
  <c r="AF19" i="7"/>
  <c r="AB19" i="7"/>
  <c r="Z19" i="7"/>
  <c r="Y19" i="7"/>
  <c r="X19" i="7"/>
  <c r="T19" i="7"/>
  <c r="Q19" i="7"/>
  <c r="O19" i="7"/>
  <c r="L19" i="7"/>
  <c r="K19" i="7"/>
  <c r="J19" i="7"/>
  <c r="I19" i="7"/>
  <c r="DJ18" i="7"/>
  <c r="DI18" i="7"/>
  <c r="DG18" i="7"/>
  <c r="T18" i="7" s="1"/>
  <c r="BV18" i="7"/>
  <c r="BU18" i="7"/>
  <c r="BM18" i="7"/>
  <c r="BG18" i="7"/>
  <c r="BA18" i="7"/>
  <c r="BN18" i="7" s="1"/>
  <c r="BQ18" i="7" s="1"/>
  <c r="BR18" i="7" s="1"/>
  <c r="AV18" i="7"/>
  <c r="AT18" i="7"/>
  <c r="AM18" i="7"/>
  <c r="AH18" i="7"/>
  <c r="AG18" i="7"/>
  <c r="AF18" i="7"/>
  <c r="Z18" i="7"/>
  <c r="Y18" i="7"/>
  <c r="X18" i="7"/>
  <c r="Q18" i="7"/>
  <c r="L18" i="7"/>
  <c r="K18" i="7"/>
  <c r="BJ18" i="7" s="1"/>
  <c r="J18" i="7"/>
  <c r="I18" i="7"/>
  <c r="DJ17" i="7"/>
  <c r="DI17" i="7"/>
  <c r="DG17" i="7"/>
  <c r="DH17" i="7" s="1"/>
  <c r="BI17" i="7" s="1"/>
  <c r="BV17" i="7"/>
  <c r="BU17" i="7"/>
  <c r="BM17" i="7"/>
  <c r="BG17" i="7"/>
  <c r="BA17" i="7"/>
  <c r="BN17" i="7" s="1"/>
  <c r="BQ17" i="7" s="1"/>
  <c r="AV17" i="7"/>
  <c r="AT17" i="7"/>
  <c r="AU17" i="7" s="1"/>
  <c r="AM17" i="7"/>
  <c r="AH17" i="7"/>
  <c r="AG17" i="7"/>
  <c r="AF17" i="7"/>
  <c r="Z17" i="7"/>
  <c r="Y17" i="7"/>
  <c r="X17" i="7"/>
  <c r="T17" i="7"/>
  <c r="U17" i="7" s="1"/>
  <c r="V17" i="7" s="1"/>
  <c r="Q17" i="7"/>
  <c r="O17" i="7"/>
  <c r="L17" i="7"/>
  <c r="K17" i="7"/>
  <c r="BJ17" i="7" s="1"/>
  <c r="J17" i="7"/>
  <c r="I17" i="7"/>
  <c r="DJ31" i="6"/>
  <c r="DI31" i="6"/>
  <c r="DG31" i="6"/>
  <c r="T31" i="6" s="1"/>
  <c r="BV31" i="6"/>
  <c r="BU31" i="6"/>
  <c r="BM31" i="6"/>
  <c r="BG31" i="6"/>
  <c r="BA31" i="6"/>
  <c r="BN31" i="6" s="1"/>
  <c r="BQ31" i="6" s="1"/>
  <c r="AV31" i="6"/>
  <c r="AT31" i="6"/>
  <c r="AM31" i="6"/>
  <c r="AH31" i="6"/>
  <c r="Z31" i="6"/>
  <c r="Y31" i="6"/>
  <c r="X31" i="6"/>
  <c r="Q31" i="6"/>
  <c r="DJ30" i="6"/>
  <c r="DI30" i="6"/>
  <c r="DG30" i="6"/>
  <c r="DH30" i="6" s="1"/>
  <c r="BV30" i="6"/>
  <c r="BU30" i="6"/>
  <c r="BM30" i="6"/>
  <c r="BI30" i="6"/>
  <c r="BG30" i="6"/>
  <c r="BK30" i="6" s="1"/>
  <c r="BA30" i="6"/>
  <c r="BN30" i="6" s="1"/>
  <c r="BQ30" i="6" s="1"/>
  <c r="AV30" i="6"/>
  <c r="AT30" i="6" s="1"/>
  <c r="AG30" i="6" s="1"/>
  <c r="J30" i="6" s="1"/>
  <c r="I30" i="6" s="1"/>
  <c r="AM30" i="6"/>
  <c r="AH30" i="6"/>
  <c r="Z30" i="6"/>
  <c r="Y30" i="6"/>
  <c r="X30" i="6"/>
  <c r="T30" i="6"/>
  <c r="Q30" i="6"/>
  <c r="DJ29" i="6"/>
  <c r="DI29" i="6"/>
  <c r="DG29" i="6"/>
  <c r="T29" i="6" s="1"/>
  <c r="BV29" i="6"/>
  <c r="BU29" i="6"/>
  <c r="BM29" i="6"/>
  <c r="BG29" i="6"/>
  <c r="BA29" i="6"/>
  <c r="BN29" i="6" s="1"/>
  <c r="BQ29" i="6" s="1"/>
  <c r="BT29" i="6" s="1"/>
  <c r="AV29" i="6"/>
  <c r="AT29" i="6"/>
  <c r="AM29" i="6"/>
  <c r="AH29" i="6"/>
  <c r="AG29" i="6"/>
  <c r="AF29" i="6"/>
  <c r="Z29" i="6"/>
  <c r="Y29" i="6"/>
  <c r="X29" i="6"/>
  <c r="Q29" i="6"/>
  <c r="L29" i="6"/>
  <c r="K29" i="6"/>
  <c r="BJ29" i="6" s="1"/>
  <c r="J29" i="6"/>
  <c r="I29" i="6"/>
  <c r="DJ28" i="6"/>
  <c r="T28" i="6" s="1"/>
  <c r="DI28" i="6"/>
  <c r="DG28" i="6"/>
  <c r="DH28" i="6" s="1"/>
  <c r="BI28" i="6" s="1"/>
  <c r="BV28" i="6"/>
  <c r="BU28" i="6"/>
  <c r="BM28" i="6"/>
  <c r="BG28" i="6"/>
  <c r="BK28" i="6" s="1"/>
  <c r="BA28" i="6"/>
  <c r="BN28" i="6" s="1"/>
  <c r="BQ28" i="6" s="1"/>
  <c r="AV28" i="6"/>
  <c r="AT28" i="6" s="1"/>
  <c r="AM28" i="6"/>
  <c r="AH28" i="6"/>
  <c r="AG28" i="6"/>
  <c r="J28" i="6" s="1"/>
  <c r="I28" i="6" s="1"/>
  <c r="AF28" i="6"/>
  <c r="K28" i="6" s="1"/>
  <c r="BJ28" i="6" s="1"/>
  <c r="BL28" i="6" s="1"/>
  <c r="Z28" i="6"/>
  <c r="Y28" i="6"/>
  <c r="X28" i="6"/>
  <c r="Q28" i="6"/>
  <c r="DJ27" i="6"/>
  <c r="DI27" i="6"/>
  <c r="DG27" i="6"/>
  <c r="BV27" i="6"/>
  <c r="BU27" i="6"/>
  <c r="BT27" i="6"/>
  <c r="BS27" i="6"/>
  <c r="BW27" i="6" s="1"/>
  <c r="BX27" i="6" s="1"/>
  <c r="BR27" i="6"/>
  <c r="BM27" i="6"/>
  <c r="BG27" i="6"/>
  <c r="BA27" i="6"/>
  <c r="BN27" i="6" s="1"/>
  <c r="BQ27" i="6" s="1"/>
  <c r="AV27" i="6"/>
  <c r="AT27" i="6"/>
  <c r="AU27" i="6" s="1"/>
  <c r="AM27" i="6"/>
  <c r="AH27" i="6"/>
  <c r="AG27" i="6"/>
  <c r="J27" i="6" s="1"/>
  <c r="I27" i="6" s="1"/>
  <c r="AF27" i="6"/>
  <c r="K27" i="6" s="1"/>
  <c r="BJ27" i="6" s="1"/>
  <c r="Z27" i="6"/>
  <c r="Y27" i="6"/>
  <c r="X27" i="6"/>
  <c r="Q27" i="6"/>
  <c r="DJ26" i="6"/>
  <c r="DI26" i="6"/>
  <c r="DG26" i="6"/>
  <c r="DH26" i="6" s="1"/>
  <c r="BI26" i="6" s="1"/>
  <c r="BV26" i="6"/>
  <c r="BU26" i="6"/>
  <c r="BN26" i="6"/>
  <c r="BQ26" i="6" s="1"/>
  <c r="BM26" i="6"/>
  <c r="BL26" i="6"/>
  <c r="BK26" i="6"/>
  <c r="BG26" i="6"/>
  <c r="BA26" i="6"/>
  <c r="AV26" i="6"/>
  <c r="AT26" i="6" s="1"/>
  <c r="AM26" i="6"/>
  <c r="AH26" i="6"/>
  <c r="AG26" i="6"/>
  <c r="J26" i="6" s="1"/>
  <c r="I26" i="6" s="1"/>
  <c r="AB26" i="6" s="1"/>
  <c r="AF26" i="6"/>
  <c r="K26" i="6" s="1"/>
  <c r="BJ26" i="6" s="1"/>
  <c r="Z26" i="6"/>
  <c r="Y26" i="6"/>
  <c r="X26" i="6"/>
  <c r="T26" i="6"/>
  <c r="Q26" i="6"/>
  <c r="DJ25" i="6"/>
  <c r="DI25" i="6"/>
  <c r="DG25" i="6"/>
  <c r="T25" i="6" s="1"/>
  <c r="BV25" i="6"/>
  <c r="BU25" i="6"/>
  <c r="BM25" i="6"/>
  <c r="BG25" i="6"/>
  <c r="BA25" i="6"/>
  <c r="BN25" i="6" s="1"/>
  <c r="BQ25" i="6" s="1"/>
  <c r="BR25" i="6" s="1"/>
  <c r="AV25" i="6"/>
  <c r="AT25" i="6"/>
  <c r="AU25" i="6" s="1"/>
  <c r="AM25" i="6"/>
  <c r="AH25" i="6"/>
  <c r="AG25" i="6"/>
  <c r="J25" i="6" s="1"/>
  <c r="I25" i="6" s="1"/>
  <c r="AF25" i="6"/>
  <c r="K25" i="6" s="1"/>
  <c r="BJ25" i="6" s="1"/>
  <c r="Z25" i="6"/>
  <c r="Y25" i="6"/>
  <c r="X25" i="6"/>
  <c r="Q25" i="6"/>
  <c r="O25" i="6"/>
  <c r="L25" i="6"/>
  <c r="DJ24" i="6"/>
  <c r="DI24" i="6"/>
  <c r="DG24" i="6"/>
  <c r="DH24" i="6" s="1"/>
  <c r="BV24" i="6"/>
  <c r="BU24" i="6"/>
  <c r="BN24" i="6"/>
  <c r="BQ24" i="6" s="1"/>
  <c r="BM24" i="6"/>
  <c r="BI24" i="6"/>
  <c r="BG24" i="6"/>
  <c r="BK24" i="6" s="1"/>
  <c r="BA24" i="6"/>
  <c r="AV24" i="6"/>
  <c r="AT24" i="6" s="1"/>
  <c r="AM24" i="6"/>
  <c r="AH24" i="6"/>
  <c r="Z24" i="6"/>
  <c r="Y24" i="6"/>
  <c r="X24" i="6"/>
  <c r="T24" i="6"/>
  <c r="Q24" i="6"/>
  <c r="O24" i="6"/>
  <c r="L24" i="6"/>
  <c r="DJ23" i="6"/>
  <c r="DI23" i="6"/>
  <c r="DH23" i="6"/>
  <c r="BI23" i="6" s="1"/>
  <c r="BK23" i="6" s="1"/>
  <c r="DG23" i="6"/>
  <c r="T23" i="6" s="1"/>
  <c r="BV23" i="6"/>
  <c r="BU23" i="6"/>
  <c r="BM23" i="6"/>
  <c r="BG23" i="6"/>
  <c r="BA23" i="6"/>
  <c r="BN23" i="6" s="1"/>
  <c r="BQ23" i="6" s="1"/>
  <c r="AV23" i="6"/>
  <c r="AT23" i="6"/>
  <c r="AU23" i="6" s="1"/>
  <c r="AM23" i="6"/>
  <c r="AH23" i="6"/>
  <c r="AG23" i="6"/>
  <c r="J23" i="6" s="1"/>
  <c r="I23" i="6" s="1"/>
  <c r="AF23" i="6"/>
  <c r="K23" i="6" s="1"/>
  <c r="BJ23" i="6" s="1"/>
  <c r="BL23" i="6" s="1"/>
  <c r="Z23" i="6"/>
  <c r="Y23" i="6"/>
  <c r="X23" i="6"/>
  <c r="Q23" i="6"/>
  <c r="O23" i="6"/>
  <c r="DJ22" i="6"/>
  <c r="T22" i="6" s="1"/>
  <c r="DI22" i="6"/>
  <c r="DG22" i="6"/>
  <c r="DH22" i="6" s="1"/>
  <c r="BV22" i="6"/>
  <c r="BU22" i="6"/>
  <c r="BM22" i="6"/>
  <c r="BI22" i="6"/>
  <c r="BG22" i="6"/>
  <c r="BK22" i="6" s="1"/>
  <c r="BA22" i="6"/>
  <c r="BN22" i="6" s="1"/>
  <c r="BQ22" i="6" s="1"/>
  <c r="AV22" i="6"/>
  <c r="AT22" i="6" s="1"/>
  <c r="L22" i="6" s="1"/>
  <c r="AM22" i="6"/>
  <c r="AH22" i="6"/>
  <c r="AG22" i="6"/>
  <c r="J22" i="6" s="1"/>
  <c r="I22" i="6" s="1"/>
  <c r="AF22" i="6"/>
  <c r="K22" i="6" s="1"/>
  <c r="BJ22" i="6" s="1"/>
  <c r="BL22" i="6" s="1"/>
  <c r="Z22" i="6"/>
  <c r="Y22" i="6"/>
  <c r="X22" i="6" s="1"/>
  <c r="Q22" i="6"/>
  <c r="DJ21" i="6"/>
  <c r="DI21" i="6"/>
  <c r="DG21" i="6"/>
  <c r="T21" i="6" s="1"/>
  <c r="BV21" i="6"/>
  <c r="BU21" i="6"/>
  <c r="BM21" i="6"/>
  <c r="BG21" i="6"/>
  <c r="BA21" i="6"/>
  <c r="BN21" i="6" s="1"/>
  <c r="BQ21" i="6" s="1"/>
  <c r="BT21" i="6" s="1"/>
  <c r="AV21" i="6"/>
  <c r="AT21" i="6"/>
  <c r="AM21" i="6"/>
  <c r="AH21" i="6"/>
  <c r="AG21" i="6"/>
  <c r="J21" i="6" s="1"/>
  <c r="I21" i="6" s="1"/>
  <c r="AF21" i="6"/>
  <c r="K21" i="6" s="1"/>
  <c r="BJ21" i="6" s="1"/>
  <c r="Z21" i="6"/>
  <c r="Y21" i="6"/>
  <c r="X21" i="6"/>
  <c r="Q21" i="6"/>
  <c r="DJ20" i="6"/>
  <c r="DI20" i="6"/>
  <c r="DG20" i="6"/>
  <c r="DH20" i="6" s="1"/>
  <c r="BI20" i="6" s="1"/>
  <c r="BV20" i="6"/>
  <c r="BU20" i="6"/>
  <c r="BM20" i="6"/>
  <c r="BG20" i="6"/>
  <c r="BK20" i="6" s="1"/>
  <c r="BA20" i="6"/>
  <c r="BN20" i="6" s="1"/>
  <c r="BQ20" i="6" s="1"/>
  <c r="AV20" i="6"/>
  <c r="AT20" i="6" s="1"/>
  <c r="AU20" i="6" s="1"/>
  <c r="AM20" i="6"/>
  <c r="AH20" i="6"/>
  <c r="AG20" i="6"/>
  <c r="J20" i="6" s="1"/>
  <c r="I20" i="6" s="1"/>
  <c r="AF20" i="6"/>
  <c r="K20" i="6" s="1"/>
  <c r="BJ20" i="6" s="1"/>
  <c r="Z20" i="6"/>
  <c r="Y20" i="6"/>
  <c r="X20" i="6"/>
  <c r="Q20" i="6"/>
  <c r="DJ19" i="6"/>
  <c r="DI19" i="6"/>
  <c r="DG19" i="6"/>
  <c r="BW19" i="6"/>
  <c r="BX19" i="6" s="1"/>
  <c r="BV19" i="6"/>
  <c r="BU19" i="6"/>
  <c r="BT19" i="6"/>
  <c r="BS19" i="6"/>
  <c r="BR19" i="6"/>
  <c r="BM19" i="6"/>
  <c r="BG19" i="6"/>
  <c r="BA19" i="6"/>
  <c r="BN19" i="6" s="1"/>
  <c r="BQ19" i="6" s="1"/>
  <c r="AV19" i="6"/>
  <c r="AT19" i="6"/>
  <c r="AU19" i="6" s="1"/>
  <c r="AM19" i="6"/>
  <c r="AH19" i="6"/>
  <c r="AG19" i="6"/>
  <c r="J19" i="6" s="1"/>
  <c r="I19" i="6" s="1"/>
  <c r="AF19" i="6"/>
  <c r="K19" i="6" s="1"/>
  <c r="BJ19" i="6" s="1"/>
  <c r="AB19" i="6"/>
  <c r="Z19" i="6"/>
  <c r="Y19" i="6"/>
  <c r="X19" i="6" s="1"/>
  <c r="Q19" i="6"/>
  <c r="DJ18" i="6"/>
  <c r="DI18" i="6"/>
  <c r="DG18" i="6"/>
  <c r="DH18" i="6" s="1"/>
  <c r="BI18" i="6" s="1"/>
  <c r="BV18" i="6"/>
  <c r="BU18" i="6"/>
  <c r="BN18" i="6"/>
  <c r="BQ18" i="6" s="1"/>
  <c r="BM18" i="6"/>
  <c r="BK18" i="6"/>
  <c r="BJ18" i="6"/>
  <c r="BL18" i="6" s="1"/>
  <c r="BG18" i="6"/>
  <c r="BA18" i="6"/>
  <c r="AV18" i="6"/>
  <c r="AT18" i="6" s="1"/>
  <c r="AU18" i="6" s="1"/>
  <c r="AM18" i="6"/>
  <c r="AH18" i="6"/>
  <c r="AG18" i="6"/>
  <c r="J18" i="6" s="1"/>
  <c r="I18" i="6" s="1"/>
  <c r="AB18" i="6" s="1"/>
  <c r="AF18" i="6"/>
  <c r="K18" i="6" s="1"/>
  <c r="Z18" i="6"/>
  <c r="Y18" i="6"/>
  <c r="X18" i="6"/>
  <c r="T18" i="6"/>
  <c r="U18" i="6" s="1"/>
  <c r="V18" i="6" s="1"/>
  <c r="Q18" i="6"/>
  <c r="O18" i="6"/>
  <c r="DJ17" i="6"/>
  <c r="DI17" i="6"/>
  <c r="DG17" i="6"/>
  <c r="T17" i="6" s="1"/>
  <c r="BV17" i="6"/>
  <c r="BU17" i="6"/>
  <c r="BT17" i="6"/>
  <c r="BS17" i="6"/>
  <c r="BW17" i="6" s="1"/>
  <c r="BX17" i="6" s="1"/>
  <c r="BR17" i="6"/>
  <c r="BM17" i="6"/>
  <c r="BG17" i="6"/>
  <c r="BA17" i="6"/>
  <c r="BN17" i="6" s="1"/>
  <c r="BQ17" i="6" s="1"/>
  <c r="AV17" i="6"/>
  <c r="AT17" i="6"/>
  <c r="AU17" i="6" s="1"/>
  <c r="AM17" i="6"/>
  <c r="AH17" i="6"/>
  <c r="AG17" i="6"/>
  <c r="J17" i="6" s="1"/>
  <c r="I17" i="6" s="1"/>
  <c r="AF17" i="6"/>
  <c r="K17" i="6" s="1"/>
  <c r="BJ17" i="6" s="1"/>
  <c r="AB17" i="6"/>
  <c r="Z17" i="6"/>
  <c r="Y17" i="6"/>
  <c r="X17" i="6"/>
  <c r="Q17" i="6"/>
  <c r="O17" i="6"/>
  <c r="DJ31" i="5"/>
  <c r="DI31" i="5"/>
  <c r="DG31" i="5"/>
  <c r="DH31" i="5" s="1"/>
  <c r="BV31" i="5"/>
  <c r="BU31" i="5"/>
  <c r="BM31" i="5"/>
  <c r="BJ31" i="5"/>
  <c r="BL31" i="5" s="1"/>
  <c r="BI31" i="5"/>
  <c r="BG31" i="5"/>
  <c r="BK31" i="5" s="1"/>
  <c r="BA31" i="5"/>
  <c r="BN31" i="5" s="1"/>
  <c r="BQ31" i="5" s="1"/>
  <c r="AV31" i="5"/>
  <c r="AT31" i="5"/>
  <c r="AU31" i="5" s="1"/>
  <c r="AM31" i="5"/>
  <c r="AH31" i="5"/>
  <c r="AG31" i="5"/>
  <c r="AF31" i="5"/>
  <c r="Z31" i="5"/>
  <c r="Y31" i="5"/>
  <c r="X31" i="5"/>
  <c r="T31" i="5"/>
  <c r="Q31" i="5"/>
  <c r="O31" i="5"/>
  <c r="L31" i="5"/>
  <c r="K31" i="5"/>
  <c r="J31" i="5"/>
  <c r="I31" i="5" s="1"/>
  <c r="DJ30" i="5"/>
  <c r="DI30" i="5"/>
  <c r="DG30" i="5"/>
  <c r="DH30" i="5" s="1"/>
  <c r="BI30" i="5" s="1"/>
  <c r="BV30" i="5"/>
  <c r="BU30" i="5"/>
  <c r="BT30" i="5"/>
  <c r="BS30" i="5"/>
  <c r="BW30" i="5" s="1"/>
  <c r="BX30" i="5" s="1"/>
  <c r="BM30" i="5"/>
  <c r="BG30" i="5"/>
  <c r="BA30" i="5"/>
  <c r="BN30" i="5" s="1"/>
  <c r="BQ30" i="5" s="1"/>
  <c r="BR30" i="5" s="1"/>
  <c r="AV30" i="5"/>
  <c r="AT30" i="5"/>
  <c r="AF30" i="5" s="1"/>
  <c r="AM30" i="5"/>
  <c r="AH30" i="5"/>
  <c r="AG30" i="5"/>
  <c r="J30" i="5" s="1"/>
  <c r="I30" i="5" s="1"/>
  <c r="Z30" i="5"/>
  <c r="Y30" i="5"/>
  <c r="X30" i="5"/>
  <c r="T30" i="5"/>
  <c r="Q30" i="5"/>
  <c r="O30" i="5"/>
  <c r="L30" i="5"/>
  <c r="K30" i="5"/>
  <c r="BJ30" i="5" s="1"/>
  <c r="BL30" i="5" s="1"/>
  <c r="DJ29" i="5"/>
  <c r="DI29" i="5"/>
  <c r="DG29" i="5"/>
  <c r="DH29" i="5" s="1"/>
  <c r="BV29" i="5"/>
  <c r="BU29" i="5"/>
  <c r="BM29" i="5"/>
  <c r="BJ29" i="5"/>
  <c r="BL29" i="5" s="1"/>
  <c r="BI29" i="5"/>
  <c r="BG29" i="5"/>
  <c r="BK29" i="5" s="1"/>
  <c r="BA29" i="5"/>
  <c r="BN29" i="5" s="1"/>
  <c r="BQ29" i="5" s="1"/>
  <c r="AV29" i="5"/>
  <c r="AT29" i="5"/>
  <c r="AU29" i="5" s="1"/>
  <c r="AM29" i="5"/>
  <c r="AH29" i="5"/>
  <c r="AG29" i="5"/>
  <c r="AF29" i="5"/>
  <c r="Z29" i="5"/>
  <c r="Y29" i="5"/>
  <c r="X29" i="5"/>
  <c r="T29" i="5"/>
  <c r="Q29" i="5"/>
  <c r="O29" i="5"/>
  <c r="L29" i="5"/>
  <c r="K29" i="5"/>
  <c r="J29" i="5"/>
  <c r="I29" i="5"/>
  <c r="DJ28" i="5"/>
  <c r="DI28" i="5"/>
  <c r="DG28" i="5"/>
  <c r="DH28" i="5" s="1"/>
  <c r="BI28" i="5" s="1"/>
  <c r="BV28" i="5"/>
  <c r="BU28" i="5"/>
  <c r="BS28" i="5"/>
  <c r="BW28" i="5" s="1"/>
  <c r="BX28" i="5" s="1"/>
  <c r="BM28" i="5"/>
  <c r="BG28" i="5"/>
  <c r="BA28" i="5"/>
  <c r="BN28" i="5" s="1"/>
  <c r="BQ28" i="5" s="1"/>
  <c r="AV28" i="5"/>
  <c r="AT28" i="5"/>
  <c r="AU28" i="5" s="1"/>
  <c r="AM28" i="5"/>
  <c r="AH28" i="5"/>
  <c r="AG28" i="5"/>
  <c r="J28" i="5" s="1"/>
  <c r="I28" i="5" s="1"/>
  <c r="AF28" i="5"/>
  <c r="K28" i="5" s="1"/>
  <c r="BJ28" i="5" s="1"/>
  <c r="BL28" i="5" s="1"/>
  <c r="Z28" i="5"/>
  <c r="Y28" i="5"/>
  <c r="X28" i="5"/>
  <c r="T28" i="5"/>
  <c r="Q28" i="5"/>
  <c r="O28" i="5"/>
  <c r="L28" i="5"/>
  <c r="DJ27" i="5"/>
  <c r="DI27" i="5"/>
  <c r="DG27" i="5"/>
  <c r="DH27" i="5" s="1"/>
  <c r="BV27" i="5"/>
  <c r="BU27" i="5"/>
  <c r="BM27" i="5"/>
  <c r="BJ27" i="5"/>
  <c r="BL27" i="5" s="1"/>
  <c r="BI27" i="5"/>
  <c r="BG27" i="5"/>
  <c r="BK27" i="5" s="1"/>
  <c r="BA27" i="5"/>
  <c r="BN27" i="5" s="1"/>
  <c r="BQ27" i="5" s="1"/>
  <c r="AV27" i="5"/>
  <c r="AT27" i="5"/>
  <c r="AU27" i="5" s="1"/>
  <c r="AM27" i="5"/>
  <c r="AH27" i="5"/>
  <c r="AG27" i="5"/>
  <c r="AF27" i="5"/>
  <c r="Z27" i="5"/>
  <c r="Y27" i="5"/>
  <c r="X27" i="5"/>
  <c r="T27" i="5"/>
  <c r="Q27" i="5"/>
  <c r="O27" i="5"/>
  <c r="L27" i="5"/>
  <c r="K27" i="5"/>
  <c r="J27" i="5"/>
  <c r="I27" i="5"/>
  <c r="DJ26" i="5"/>
  <c r="T26" i="5" s="1"/>
  <c r="DI26" i="5"/>
  <c r="DG26" i="5"/>
  <c r="DH26" i="5" s="1"/>
  <c r="BI26" i="5" s="1"/>
  <c r="BV26" i="5"/>
  <c r="BU26" i="5"/>
  <c r="BM26" i="5"/>
  <c r="BG26" i="5"/>
  <c r="BA26" i="5"/>
  <c r="BN26" i="5" s="1"/>
  <c r="BQ26" i="5" s="1"/>
  <c r="AV26" i="5"/>
  <c r="AT26" i="5"/>
  <c r="AU26" i="5" s="1"/>
  <c r="AM26" i="5"/>
  <c r="AH26" i="5"/>
  <c r="AG26" i="5"/>
  <c r="J26" i="5" s="1"/>
  <c r="I26" i="5" s="1"/>
  <c r="AF26" i="5"/>
  <c r="Z26" i="5"/>
  <c r="Y26" i="5"/>
  <c r="X26" i="5"/>
  <c r="Q26" i="5"/>
  <c r="O26" i="5"/>
  <c r="L26" i="5"/>
  <c r="K26" i="5"/>
  <c r="BJ26" i="5" s="1"/>
  <c r="BL26" i="5" s="1"/>
  <c r="DJ25" i="5"/>
  <c r="DI25" i="5"/>
  <c r="DG25" i="5"/>
  <c r="DH25" i="5" s="1"/>
  <c r="BV25" i="5"/>
  <c r="BU25" i="5"/>
  <c r="BM25" i="5"/>
  <c r="BJ25" i="5"/>
  <c r="BI25" i="5"/>
  <c r="BG25" i="5"/>
  <c r="BK25" i="5" s="1"/>
  <c r="BA25" i="5"/>
  <c r="BN25" i="5" s="1"/>
  <c r="BQ25" i="5" s="1"/>
  <c r="AV25" i="5"/>
  <c r="AT25" i="5"/>
  <c r="AU25" i="5" s="1"/>
  <c r="AM25" i="5"/>
  <c r="AH25" i="5"/>
  <c r="AG25" i="5"/>
  <c r="AF25" i="5"/>
  <c r="Z25" i="5"/>
  <c r="Y25" i="5"/>
  <c r="X25" i="5"/>
  <c r="T25" i="5"/>
  <c r="U25" i="5" s="1"/>
  <c r="V25" i="5" s="1"/>
  <c r="Q25" i="5"/>
  <c r="O25" i="5"/>
  <c r="L25" i="5"/>
  <c r="K25" i="5"/>
  <c r="J25" i="5"/>
  <c r="I25" i="5"/>
  <c r="DJ24" i="5"/>
  <c r="T24" i="5" s="1"/>
  <c r="DI24" i="5"/>
  <c r="DG24" i="5"/>
  <c r="DH24" i="5" s="1"/>
  <c r="BI24" i="5" s="1"/>
  <c r="BV24" i="5"/>
  <c r="BU24" i="5"/>
  <c r="BM24" i="5"/>
  <c r="BG24" i="5"/>
  <c r="BK24" i="5" s="1"/>
  <c r="BA24" i="5"/>
  <c r="BN24" i="5" s="1"/>
  <c r="BQ24" i="5" s="1"/>
  <c r="AV24" i="5"/>
  <c r="AT24" i="5" s="1"/>
  <c r="AM24" i="5"/>
  <c r="AH24" i="5"/>
  <c r="Z24" i="5"/>
  <c r="Y24" i="5"/>
  <c r="X24" i="5"/>
  <c r="Q24" i="5"/>
  <c r="DJ23" i="5"/>
  <c r="DI23" i="5"/>
  <c r="DG23" i="5"/>
  <c r="DH23" i="5" s="1"/>
  <c r="BV23" i="5"/>
  <c r="BU23" i="5"/>
  <c r="BM23" i="5"/>
  <c r="BJ23" i="5"/>
  <c r="BI23" i="5"/>
  <c r="BG23" i="5"/>
  <c r="BK23" i="5" s="1"/>
  <c r="BA23" i="5"/>
  <c r="BN23" i="5" s="1"/>
  <c r="BQ23" i="5" s="1"/>
  <c r="AV23" i="5"/>
  <c r="AT23" i="5"/>
  <c r="AU23" i="5" s="1"/>
  <c r="AM23" i="5"/>
  <c r="AH23" i="5"/>
  <c r="AG23" i="5"/>
  <c r="AF23" i="5"/>
  <c r="Z23" i="5"/>
  <c r="Y23" i="5"/>
  <c r="X23" i="5"/>
  <c r="T23" i="5"/>
  <c r="Q23" i="5"/>
  <c r="O23" i="5"/>
  <c r="L23" i="5"/>
  <c r="K23" i="5"/>
  <c r="J23" i="5"/>
  <c r="I23" i="5"/>
  <c r="DJ22" i="5"/>
  <c r="T22" i="5" s="1"/>
  <c r="DI22" i="5"/>
  <c r="DH22" i="5"/>
  <c r="BI22" i="5" s="1"/>
  <c r="DG22" i="5"/>
  <c r="BV22" i="5"/>
  <c r="BU22" i="5"/>
  <c r="BM22" i="5"/>
  <c r="BG22" i="5"/>
  <c r="BA22" i="5"/>
  <c r="BN22" i="5" s="1"/>
  <c r="BQ22" i="5" s="1"/>
  <c r="AV22" i="5"/>
  <c r="AT22" i="5"/>
  <c r="O22" i="5" s="1"/>
  <c r="AM22" i="5"/>
  <c r="AH22" i="5"/>
  <c r="Z22" i="5"/>
  <c r="Y22" i="5"/>
  <c r="X22" i="5"/>
  <c r="Q22" i="5"/>
  <c r="DJ21" i="5"/>
  <c r="DI21" i="5"/>
  <c r="DG21" i="5"/>
  <c r="DH21" i="5" s="1"/>
  <c r="BI21" i="5" s="1"/>
  <c r="BV21" i="5"/>
  <c r="BU21" i="5"/>
  <c r="BM21" i="5"/>
  <c r="BJ21" i="5"/>
  <c r="BG21" i="5"/>
  <c r="BA21" i="5"/>
  <c r="BN21" i="5" s="1"/>
  <c r="BQ21" i="5" s="1"/>
  <c r="AV21" i="5"/>
  <c r="AT21" i="5"/>
  <c r="AU21" i="5" s="1"/>
  <c r="AM21" i="5"/>
  <c r="AH21" i="5"/>
  <c r="AG21" i="5"/>
  <c r="AF21" i="5"/>
  <c r="Z21" i="5"/>
  <c r="Y21" i="5"/>
  <c r="X21" i="5"/>
  <c r="T21" i="5"/>
  <c r="U21" i="5" s="1"/>
  <c r="V21" i="5" s="1"/>
  <c r="W21" i="5" s="1"/>
  <c r="AA21" i="5" s="1"/>
  <c r="Q21" i="5"/>
  <c r="O21" i="5"/>
  <c r="L21" i="5"/>
  <c r="K21" i="5"/>
  <c r="J21" i="5"/>
  <c r="I21" i="5"/>
  <c r="DJ20" i="5"/>
  <c r="DI20" i="5"/>
  <c r="DG20" i="5"/>
  <c r="T20" i="5" s="1"/>
  <c r="BV20" i="5"/>
  <c r="BU20" i="5"/>
  <c r="BM20" i="5"/>
  <c r="BG20" i="5"/>
  <c r="BA20" i="5"/>
  <c r="BN20" i="5" s="1"/>
  <c r="BQ20" i="5" s="1"/>
  <c r="BR20" i="5" s="1"/>
  <c r="AV20" i="5"/>
  <c r="AT20" i="5"/>
  <c r="O20" i="5" s="1"/>
  <c r="AM20" i="5"/>
  <c r="AH20" i="5"/>
  <c r="AG20" i="5"/>
  <c r="J20" i="5" s="1"/>
  <c r="I20" i="5" s="1"/>
  <c r="Z20" i="5"/>
  <c r="Y20" i="5"/>
  <c r="X20" i="5"/>
  <c r="Q20" i="5"/>
  <c r="DJ19" i="5"/>
  <c r="DI19" i="5"/>
  <c r="DG19" i="5"/>
  <c r="DH19" i="5" s="1"/>
  <c r="BI19" i="5" s="1"/>
  <c r="BV19" i="5"/>
  <c r="BU19" i="5"/>
  <c r="BT19" i="5"/>
  <c r="BM19" i="5"/>
  <c r="BJ19" i="5"/>
  <c r="BG19" i="5"/>
  <c r="BA19" i="5"/>
  <c r="BN19" i="5" s="1"/>
  <c r="BQ19" i="5" s="1"/>
  <c r="AV19" i="5"/>
  <c r="AT19" i="5"/>
  <c r="AU19" i="5" s="1"/>
  <c r="AM19" i="5"/>
  <c r="AH19" i="5"/>
  <c r="AG19" i="5"/>
  <c r="AF19" i="5"/>
  <c r="Z19" i="5"/>
  <c r="Y19" i="5"/>
  <c r="X19" i="5"/>
  <c r="T19" i="5"/>
  <c r="Q19" i="5"/>
  <c r="O19" i="5"/>
  <c r="L19" i="5"/>
  <c r="K19" i="5"/>
  <c r="J19" i="5"/>
  <c r="I19" i="5" s="1"/>
  <c r="DJ18" i="5"/>
  <c r="DI18" i="5"/>
  <c r="DG18" i="5"/>
  <c r="T18" i="5" s="1"/>
  <c r="BV18" i="5"/>
  <c r="BU18" i="5"/>
  <c r="BM18" i="5"/>
  <c r="BG18" i="5"/>
  <c r="BA18" i="5"/>
  <c r="BN18" i="5" s="1"/>
  <c r="BQ18" i="5" s="1"/>
  <c r="BR18" i="5" s="1"/>
  <c r="AV18" i="5"/>
  <c r="AT18" i="5"/>
  <c r="O18" i="5" s="1"/>
  <c r="AM18" i="5"/>
  <c r="AH18" i="5"/>
  <c r="AG18" i="5"/>
  <c r="J18" i="5" s="1"/>
  <c r="I18" i="5" s="1"/>
  <c r="AF18" i="5"/>
  <c r="K18" i="5" s="1"/>
  <c r="BJ18" i="5" s="1"/>
  <c r="Z18" i="5"/>
  <c r="Y18" i="5"/>
  <c r="X18" i="5"/>
  <c r="Q18" i="5"/>
  <c r="DJ17" i="5"/>
  <c r="DI17" i="5"/>
  <c r="DG17" i="5"/>
  <c r="DH17" i="5" s="1"/>
  <c r="BI17" i="5" s="1"/>
  <c r="BV17" i="5"/>
  <c r="BU17" i="5"/>
  <c r="BM17" i="5"/>
  <c r="BG17" i="5"/>
  <c r="BK17" i="5" s="1"/>
  <c r="BA17" i="5"/>
  <c r="BN17" i="5" s="1"/>
  <c r="BQ17" i="5" s="1"/>
  <c r="BR17" i="5" s="1"/>
  <c r="AV17" i="5"/>
  <c r="AT17" i="5"/>
  <c r="AU17" i="5" s="1"/>
  <c r="AM17" i="5"/>
  <c r="AH17" i="5"/>
  <c r="AG17" i="5"/>
  <c r="AF17" i="5"/>
  <c r="Z17" i="5"/>
  <c r="Y17" i="5"/>
  <c r="X17" i="5"/>
  <c r="T17" i="5"/>
  <c r="Q17" i="5"/>
  <c r="O17" i="5"/>
  <c r="L17" i="5"/>
  <c r="K17" i="5"/>
  <c r="BJ17" i="5" s="1"/>
  <c r="BL17" i="5" s="1"/>
  <c r="J17" i="5"/>
  <c r="I17" i="5"/>
  <c r="DJ31" i="3"/>
  <c r="DI31" i="3"/>
  <c r="DG31" i="3"/>
  <c r="DH31" i="3" s="1"/>
  <c r="BV31" i="3"/>
  <c r="BU31" i="3"/>
  <c r="BM31" i="3"/>
  <c r="BJ31" i="3"/>
  <c r="BL31" i="3" s="1"/>
  <c r="BI31" i="3"/>
  <c r="BG31" i="3"/>
  <c r="BK31" i="3" s="1"/>
  <c r="BA31" i="3"/>
  <c r="BN31" i="3" s="1"/>
  <c r="BQ31" i="3" s="1"/>
  <c r="AV31" i="3"/>
  <c r="AT31" i="3"/>
  <c r="AU31" i="3" s="1"/>
  <c r="AM31" i="3"/>
  <c r="AH31" i="3"/>
  <c r="AG31" i="3"/>
  <c r="AF31" i="3"/>
  <c r="AB31" i="3"/>
  <c r="Z31" i="3"/>
  <c r="Y31" i="3"/>
  <c r="X31" i="3"/>
  <c r="T31" i="3"/>
  <c r="Q31" i="3"/>
  <c r="O31" i="3"/>
  <c r="L31" i="3"/>
  <c r="K31" i="3"/>
  <c r="J31" i="3"/>
  <c r="I31" i="3"/>
  <c r="DJ30" i="3"/>
  <c r="DI30" i="3"/>
  <c r="DG30" i="3"/>
  <c r="T30" i="3" s="1"/>
  <c r="BV30" i="3"/>
  <c r="BU30" i="3"/>
  <c r="BM30" i="3"/>
  <c r="BG30" i="3"/>
  <c r="BA30" i="3"/>
  <c r="BN30" i="3" s="1"/>
  <c r="BQ30" i="3" s="1"/>
  <c r="BR30" i="3" s="1"/>
  <c r="AV30" i="3"/>
  <c r="AT30" i="3"/>
  <c r="AU30" i="3" s="1"/>
  <c r="AM30" i="3"/>
  <c r="AH30" i="3"/>
  <c r="AG30" i="3"/>
  <c r="J30" i="3" s="1"/>
  <c r="I30" i="3" s="1"/>
  <c r="AF30" i="3"/>
  <c r="K30" i="3" s="1"/>
  <c r="BJ30" i="3" s="1"/>
  <c r="Z30" i="3"/>
  <c r="Y30" i="3"/>
  <c r="X30" i="3"/>
  <c r="Q30" i="3"/>
  <c r="DJ29" i="3"/>
  <c r="DI29" i="3"/>
  <c r="DG29" i="3"/>
  <c r="DH29" i="3" s="1"/>
  <c r="BV29" i="3"/>
  <c r="BU29" i="3"/>
  <c r="BN29" i="3"/>
  <c r="BQ29" i="3" s="1"/>
  <c r="BM29" i="3"/>
  <c r="BJ29" i="3"/>
  <c r="BL29" i="3" s="1"/>
  <c r="BI29" i="3"/>
  <c r="BK29" i="3" s="1"/>
  <c r="BG29" i="3"/>
  <c r="BA29" i="3"/>
  <c r="AV29" i="3"/>
  <c r="AT29" i="3"/>
  <c r="AU29" i="3" s="1"/>
  <c r="AM29" i="3"/>
  <c r="AH29" i="3"/>
  <c r="AG29" i="3"/>
  <c r="AF29" i="3"/>
  <c r="AB29" i="3"/>
  <c r="Z29" i="3"/>
  <c r="Y29" i="3"/>
  <c r="X29" i="3"/>
  <c r="T29" i="3"/>
  <c r="Q29" i="3"/>
  <c r="O29" i="3"/>
  <c r="L29" i="3"/>
  <c r="K29" i="3"/>
  <c r="J29" i="3"/>
  <c r="I29" i="3"/>
  <c r="DJ28" i="3"/>
  <c r="DI28" i="3"/>
  <c r="DG28" i="3"/>
  <c r="T28" i="3" s="1"/>
  <c r="BV28" i="3"/>
  <c r="BU28" i="3"/>
  <c r="BM28" i="3"/>
  <c r="BG28" i="3"/>
  <c r="BA28" i="3"/>
  <c r="BN28" i="3" s="1"/>
  <c r="BQ28" i="3" s="1"/>
  <c r="BR28" i="3" s="1"/>
  <c r="AV28" i="3"/>
  <c r="AT28" i="3"/>
  <c r="O28" i="3" s="1"/>
  <c r="AM28" i="3"/>
  <c r="AH28" i="3"/>
  <c r="Z28" i="3"/>
  <c r="Y28" i="3"/>
  <c r="X28" i="3"/>
  <c r="Q28" i="3"/>
  <c r="DJ27" i="3"/>
  <c r="DI27" i="3"/>
  <c r="DG27" i="3"/>
  <c r="DH27" i="3" s="1"/>
  <c r="BV27" i="3"/>
  <c r="BU27" i="3"/>
  <c r="BM27" i="3"/>
  <c r="BJ27" i="3"/>
  <c r="BL27" i="3" s="1"/>
  <c r="BI27" i="3"/>
  <c r="BG27" i="3"/>
  <c r="BK27" i="3" s="1"/>
  <c r="BA27" i="3"/>
  <c r="BN27" i="3" s="1"/>
  <c r="BQ27" i="3" s="1"/>
  <c r="AV27" i="3"/>
  <c r="AU27" i="3"/>
  <c r="AT27" i="3"/>
  <c r="AM27" i="3"/>
  <c r="AH27" i="3"/>
  <c r="AG27" i="3"/>
  <c r="AF27" i="3"/>
  <c r="AB27" i="3"/>
  <c r="Z27" i="3"/>
  <c r="Y27" i="3"/>
  <c r="X27" i="3"/>
  <c r="T27" i="3"/>
  <c r="Q27" i="3"/>
  <c r="O27" i="3"/>
  <c r="L27" i="3"/>
  <c r="K27" i="3"/>
  <c r="J27" i="3"/>
  <c r="I27" i="3"/>
  <c r="DJ26" i="3"/>
  <c r="DI26" i="3"/>
  <c r="DG26" i="3"/>
  <c r="T26" i="3" s="1"/>
  <c r="BV26" i="3"/>
  <c r="BU26" i="3"/>
  <c r="BM26" i="3"/>
  <c r="BG26" i="3"/>
  <c r="BA26" i="3"/>
  <c r="BN26" i="3" s="1"/>
  <c r="BQ26" i="3" s="1"/>
  <c r="BR26" i="3" s="1"/>
  <c r="AV26" i="3"/>
  <c r="AT26" i="3"/>
  <c r="O26" i="3" s="1"/>
  <c r="AM26" i="3"/>
  <c r="AH26" i="3"/>
  <c r="AG26" i="3"/>
  <c r="J26" i="3" s="1"/>
  <c r="I26" i="3" s="1"/>
  <c r="AF26" i="3"/>
  <c r="K26" i="3" s="1"/>
  <c r="BJ26" i="3" s="1"/>
  <c r="Z26" i="3"/>
  <c r="Y26" i="3"/>
  <c r="X26" i="3"/>
  <c r="Q26" i="3"/>
  <c r="DJ25" i="3"/>
  <c r="DI25" i="3"/>
  <c r="DG25" i="3"/>
  <c r="DH25" i="3" s="1"/>
  <c r="BI25" i="3" s="1"/>
  <c r="BL25" i="3" s="1"/>
  <c r="BV25" i="3"/>
  <c r="BU25" i="3"/>
  <c r="BN25" i="3"/>
  <c r="BQ25" i="3" s="1"/>
  <c r="BM25" i="3"/>
  <c r="BJ25" i="3"/>
  <c r="BG25" i="3"/>
  <c r="BA25" i="3"/>
  <c r="AV25" i="3"/>
  <c r="AU25" i="3"/>
  <c r="AT25" i="3"/>
  <c r="AM25" i="3"/>
  <c r="AH25" i="3"/>
  <c r="AG25" i="3"/>
  <c r="AF25" i="3"/>
  <c r="AB25" i="3"/>
  <c r="Z25" i="3"/>
  <c r="Y25" i="3"/>
  <c r="X25" i="3"/>
  <c r="U25" i="3"/>
  <c r="V25" i="3" s="1"/>
  <c r="T25" i="3"/>
  <c r="Q25" i="3"/>
  <c r="O25" i="3"/>
  <c r="L25" i="3"/>
  <c r="K25" i="3"/>
  <c r="J25" i="3"/>
  <c r="I25" i="3"/>
  <c r="DJ24" i="3"/>
  <c r="DI24" i="3"/>
  <c r="DG24" i="3"/>
  <c r="T24" i="3" s="1"/>
  <c r="BV24" i="3"/>
  <c r="BU24" i="3"/>
  <c r="BT24" i="3"/>
  <c r="BS24" i="3"/>
  <c r="BW24" i="3" s="1"/>
  <c r="BX24" i="3" s="1"/>
  <c r="BM24" i="3"/>
  <c r="BG24" i="3"/>
  <c r="BA24" i="3"/>
  <c r="BN24" i="3" s="1"/>
  <c r="BQ24" i="3" s="1"/>
  <c r="BR24" i="3" s="1"/>
  <c r="AV24" i="3"/>
  <c r="AT24" i="3"/>
  <c r="AU24" i="3" s="1"/>
  <c r="AM24" i="3"/>
  <c r="AH24" i="3"/>
  <c r="AG24" i="3"/>
  <c r="J24" i="3" s="1"/>
  <c r="I24" i="3" s="1"/>
  <c r="AF24" i="3"/>
  <c r="K24" i="3" s="1"/>
  <c r="BJ24" i="3" s="1"/>
  <c r="Z24" i="3"/>
  <c r="Y24" i="3"/>
  <c r="X24" i="3"/>
  <c r="Q24" i="3"/>
  <c r="O24" i="3"/>
  <c r="L24" i="3"/>
  <c r="DJ23" i="3"/>
  <c r="DI23" i="3"/>
  <c r="DG23" i="3"/>
  <c r="DH23" i="3" s="1"/>
  <c r="BV23" i="3"/>
  <c r="BU23" i="3"/>
  <c r="BM23" i="3"/>
  <c r="BJ23" i="3"/>
  <c r="BL23" i="3" s="1"/>
  <c r="BI23" i="3"/>
  <c r="BG23" i="3"/>
  <c r="BK23" i="3" s="1"/>
  <c r="BA23" i="3"/>
  <c r="BN23" i="3" s="1"/>
  <c r="BQ23" i="3" s="1"/>
  <c r="AV23" i="3"/>
  <c r="AU23" i="3"/>
  <c r="AT23" i="3"/>
  <c r="AM23" i="3"/>
  <c r="AH23" i="3"/>
  <c r="AG23" i="3"/>
  <c r="AF23" i="3"/>
  <c r="AB23" i="3"/>
  <c r="Z23" i="3"/>
  <c r="Y23" i="3"/>
  <c r="X23" i="3"/>
  <c r="T23" i="3"/>
  <c r="U23" i="3" s="1"/>
  <c r="V23" i="3" s="1"/>
  <c r="Q23" i="3"/>
  <c r="O23" i="3"/>
  <c r="L23" i="3"/>
  <c r="K23" i="3"/>
  <c r="J23" i="3"/>
  <c r="I23" i="3"/>
  <c r="DJ22" i="3"/>
  <c r="DI22" i="3"/>
  <c r="DG22" i="3"/>
  <c r="T22" i="3" s="1"/>
  <c r="BV22" i="3"/>
  <c r="BU22" i="3"/>
  <c r="BM22" i="3"/>
  <c r="BG22" i="3"/>
  <c r="BA22" i="3"/>
  <c r="BN22" i="3" s="1"/>
  <c r="BQ22" i="3" s="1"/>
  <c r="BR22" i="3" s="1"/>
  <c r="AV22" i="3"/>
  <c r="AT22" i="3"/>
  <c r="O22" i="3" s="1"/>
  <c r="AM22" i="3"/>
  <c r="AH22" i="3"/>
  <c r="AG22" i="3"/>
  <c r="J22" i="3" s="1"/>
  <c r="I22" i="3" s="1"/>
  <c r="AF22" i="3"/>
  <c r="K22" i="3" s="1"/>
  <c r="BJ22" i="3" s="1"/>
  <c r="Z22" i="3"/>
  <c r="Y22" i="3"/>
  <c r="X22" i="3"/>
  <c r="Q22" i="3"/>
  <c r="DJ21" i="3"/>
  <c r="DI21" i="3"/>
  <c r="DG21" i="3"/>
  <c r="DH21" i="3" s="1"/>
  <c r="BI21" i="3" s="1"/>
  <c r="BV21" i="3"/>
  <c r="BU21" i="3"/>
  <c r="BM21" i="3"/>
  <c r="BJ21" i="3"/>
  <c r="BL21" i="3" s="1"/>
  <c r="BG21" i="3"/>
  <c r="BK21" i="3" s="1"/>
  <c r="BA21" i="3"/>
  <c r="BN21" i="3" s="1"/>
  <c r="BQ21" i="3" s="1"/>
  <c r="AV21" i="3"/>
  <c r="AU21" i="3"/>
  <c r="AT21" i="3"/>
  <c r="AM21" i="3"/>
  <c r="AH21" i="3"/>
  <c r="AG21" i="3"/>
  <c r="AF21" i="3"/>
  <c r="AB21" i="3"/>
  <c r="Z21" i="3"/>
  <c r="Y21" i="3"/>
  <c r="X21" i="3" s="1"/>
  <c r="T21" i="3"/>
  <c r="Q21" i="3"/>
  <c r="O21" i="3"/>
  <c r="L21" i="3"/>
  <c r="K21" i="3"/>
  <c r="J21" i="3"/>
  <c r="I21" i="3"/>
  <c r="DJ20" i="3"/>
  <c r="DI20" i="3"/>
  <c r="DG20" i="3"/>
  <c r="T20" i="3" s="1"/>
  <c r="BV20" i="3"/>
  <c r="BU20" i="3"/>
  <c r="BM20" i="3"/>
  <c r="BG20" i="3"/>
  <c r="BA20" i="3"/>
  <c r="BN20" i="3" s="1"/>
  <c r="BQ20" i="3" s="1"/>
  <c r="BR20" i="3" s="1"/>
  <c r="AV20" i="3"/>
  <c r="AT20" i="3"/>
  <c r="O20" i="3" s="1"/>
  <c r="AM20" i="3"/>
  <c r="AH20" i="3"/>
  <c r="AG20" i="3"/>
  <c r="J20" i="3" s="1"/>
  <c r="I20" i="3" s="1"/>
  <c r="AF20" i="3"/>
  <c r="K20" i="3" s="1"/>
  <c r="BJ20" i="3" s="1"/>
  <c r="Z20" i="3"/>
  <c r="Y20" i="3"/>
  <c r="X20" i="3"/>
  <c r="Q20" i="3"/>
  <c r="DJ19" i="3"/>
  <c r="DI19" i="3"/>
  <c r="DG19" i="3"/>
  <c r="DH19" i="3" s="1"/>
  <c r="BV19" i="3"/>
  <c r="BU19" i="3"/>
  <c r="BN19" i="3"/>
  <c r="BQ19" i="3" s="1"/>
  <c r="BM19" i="3"/>
  <c r="BJ19" i="3"/>
  <c r="BL19" i="3" s="1"/>
  <c r="BI19" i="3"/>
  <c r="BG19" i="3"/>
  <c r="BK19" i="3" s="1"/>
  <c r="BA19" i="3"/>
  <c r="AV19" i="3"/>
  <c r="AU19" i="3"/>
  <c r="AT19" i="3"/>
  <c r="AM19" i="3"/>
  <c r="AH19" i="3"/>
  <c r="AG19" i="3"/>
  <c r="AF19" i="3"/>
  <c r="AB19" i="3"/>
  <c r="Z19" i="3"/>
  <c r="Y19" i="3"/>
  <c r="X19" i="3"/>
  <c r="T19" i="3"/>
  <c r="Q19" i="3"/>
  <c r="O19" i="3"/>
  <c r="L19" i="3"/>
  <c r="K19" i="3"/>
  <c r="J19" i="3"/>
  <c r="I19" i="3"/>
  <c r="DJ18" i="3"/>
  <c r="DI18" i="3"/>
  <c r="DG18" i="3"/>
  <c r="T18" i="3" s="1"/>
  <c r="BV18" i="3"/>
  <c r="BU18" i="3"/>
  <c r="BM18" i="3"/>
  <c r="BG18" i="3"/>
  <c r="BA18" i="3"/>
  <c r="BN18" i="3" s="1"/>
  <c r="BQ18" i="3" s="1"/>
  <c r="BR18" i="3" s="1"/>
  <c r="AV18" i="3"/>
  <c r="AT18" i="3"/>
  <c r="AF18" i="3" s="1"/>
  <c r="K18" i="3" s="1"/>
  <c r="BJ18" i="3" s="1"/>
  <c r="AM18" i="3"/>
  <c r="AH18" i="3"/>
  <c r="Z18" i="3"/>
  <c r="Y18" i="3"/>
  <c r="X18" i="3"/>
  <c r="Q18" i="3"/>
  <c r="DJ17" i="3"/>
  <c r="DI17" i="3"/>
  <c r="DG17" i="3"/>
  <c r="DH17" i="3" s="1"/>
  <c r="BV17" i="3"/>
  <c r="BU17" i="3"/>
  <c r="BM17" i="3"/>
  <c r="BJ17" i="3"/>
  <c r="BL17" i="3" s="1"/>
  <c r="BI17" i="3"/>
  <c r="BG17" i="3"/>
  <c r="BK17" i="3" s="1"/>
  <c r="BA17" i="3"/>
  <c r="BN17" i="3" s="1"/>
  <c r="BQ17" i="3" s="1"/>
  <c r="AV17" i="3"/>
  <c r="AU17" i="3"/>
  <c r="AT17" i="3"/>
  <c r="AM17" i="3"/>
  <c r="AH17" i="3"/>
  <c r="AG17" i="3"/>
  <c r="AF17" i="3"/>
  <c r="AB17" i="3"/>
  <c r="Z17" i="3"/>
  <c r="Y17" i="3"/>
  <c r="X17" i="3"/>
  <c r="T17" i="3"/>
  <c r="Q17" i="3"/>
  <c r="O17" i="3"/>
  <c r="L17" i="3"/>
  <c r="K17" i="3"/>
  <c r="J17" i="3"/>
  <c r="I17" i="3"/>
  <c r="DJ31" i="2"/>
  <c r="DI31" i="2"/>
  <c r="DG31" i="2"/>
  <c r="DH31" i="2" s="1"/>
  <c r="BV31" i="2"/>
  <c r="BU31" i="2"/>
  <c r="BM31" i="2"/>
  <c r="BI31" i="2"/>
  <c r="BG31" i="2"/>
  <c r="BK31" i="2" s="1"/>
  <c r="BA31" i="2"/>
  <c r="BN31" i="2" s="1"/>
  <c r="BQ31" i="2" s="1"/>
  <c r="BS31" i="2" s="1"/>
  <c r="BW31" i="2" s="1"/>
  <c r="BX31" i="2" s="1"/>
  <c r="AV31" i="2"/>
  <c r="AT31" i="2" s="1"/>
  <c r="AM31" i="2"/>
  <c r="AH31" i="2"/>
  <c r="Z31" i="2"/>
  <c r="Y31" i="2"/>
  <c r="X31" i="2"/>
  <c r="T31" i="2"/>
  <c r="Q31" i="2"/>
  <c r="DJ30" i="2"/>
  <c r="DI30" i="2"/>
  <c r="DG30" i="2"/>
  <c r="T30" i="2" s="1"/>
  <c r="BV30" i="2"/>
  <c r="BU30" i="2"/>
  <c r="BM30" i="2"/>
  <c r="BG30" i="2"/>
  <c r="BA30" i="2"/>
  <c r="BN30" i="2" s="1"/>
  <c r="BQ30" i="2" s="1"/>
  <c r="AV30" i="2"/>
  <c r="AT30" i="2"/>
  <c r="AU30" i="2" s="1"/>
  <c r="AM30" i="2"/>
  <c r="AH30" i="2"/>
  <c r="AG30" i="2"/>
  <c r="J30" i="2" s="1"/>
  <c r="I30" i="2" s="1"/>
  <c r="AF30" i="2"/>
  <c r="K30" i="2" s="1"/>
  <c r="BJ30" i="2" s="1"/>
  <c r="Z30" i="2"/>
  <c r="Y30" i="2"/>
  <c r="X30" i="2"/>
  <c r="Q30" i="2"/>
  <c r="O30" i="2"/>
  <c r="DJ29" i="2"/>
  <c r="DI29" i="2"/>
  <c r="DG29" i="2"/>
  <c r="DH29" i="2" s="1"/>
  <c r="BV29" i="2"/>
  <c r="BU29" i="2"/>
  <c r="BN29" i="2"/>
  <c r="BQ29" i="2" s="1"/>
  <c r="BR29" i="2" s="1"/>
  <c r="BM29" i="2"/>
  <c r="BI29" i="2"/>
  <c r="BK29" i="2" s="1"/>
  <c r="BG29" i="2"/>
  <c r="BA29" i="2"/>
  <c r="AV29" i="2"/>
  <c r="AT29" i="2" s="1"/>
  <c r="AM29" i="2"/>
  <c r="AH29" i="2"/>
  <c r="Z29" i="2"/>
  <c r="Y29" i="2"/>
  <c r="X29" i="2"/>
  <c r="T29" i="2"/>
  <c r="Q29" i="2"/>
  <c r="DJ28" i="2"/>
  <c r="DI28" i="2"/>
  <c r="DG28" i="2"/>
  <c r="DH28" i="2" s="1"/>
  <c r="BI28" i="2" s="1"/>
  <c r="BW28" i="2"/>
  <c r="BX28" i="2" s="1"/>
  <c r="BV28" i="2"/>
  <c r="BU28" i="2"/>
  <c r="BT28" i="2"/>
  <c r="BS28" i="2"/>
  <c r="BM28" i="2"/>
  <c r="BG28" i="2"/>
  <c r="BA28" i="2"/>
  <c r="BN28" i="2" s="1"/>
  <c r="BQ28" i="2" s="1"/>
  <c r="BR28" i="2" s="1"/>
  <c r="AV28" i="2"/>
  <c r="AT28" i="2"/>
  <c r="AU28" i="2" s="1"/>
  <c r="AM28" i="2"/>
  <c r="AH28" i="2"/>
  <c r="AG28" i="2"/>
  <c r="J28" i="2" s="1"/>
  <c r="I28" i="2" s="1"/>
  <c r="AF28" i="2"/>
  <c r="K28" i="2" s="1"/>
  <c r="BJ28" i="2" s="1"/>
  <c r="Z28" i="2"/>
  <c r="Y28" i="2"/>
  <c r="X28" i="2"/>
  <c r="T28" i="2"/>
  <c r="Q28" i="2"/>
  <c r="O28" i="2"/>
  <c r="DJ27" i="2"/>
  <c r="DI27" i="2"/>
  <c r="DG27" i="2"/>
  <c r="DH27" i="2" s="1"/>
  <c r="BI27" i="2" s="1"/>
  <c r="BV27" i="2"/>
  <c r="BU27" i="2"/>
  <c r="BN27" i="2"/>
  <c r="BQ27" i="2" s="1"/>
  <c r="BM27" i="2"/>
  <c r="BK27" i="2"/>
  <c r="BG27" i="2"/>
  <c r="BA27" i="2"/>
  <c r="AV27" i="2"/>
  <c r="AT27" i="2" s="1"/>
  <c r="AM27" i="2"/>
  <c r="AH27" i="2"/>
  <c r="Z27" i="2"/>
  <c r="Y27" i="2"/>
  <c r="X27" i="2"/>
  <c r="T27" i="2"/>
  <c r="Q27" i="2"/>
  <c r="DJ26" i="2"/>
  <c r="DI26" i="2"/>
  <c r="DG26" i="2"/>
  <c r="DH26" i="2" s="1"/>
  <c r="BI26" i="2" s="1"/>
  <c r="BV26" i="2"/>
  <c r="BU26" i="2"/>
  <c r="BM26" i="2"/>
  <c r="BG26" i="2"/>
  <c r="BA26" i="2"/>
  <c r="BN26" i="2" s="1"/>
  <c r="BQ26" i="2" s="1"/>
  <c r="AV26" i="2"/>
  <c r="AT26" i="2"/>
  <c r="AM26" i="2"/>
  <c r="AH26" i="2"/>
  <c r="AG26" i="2"/>
  <c r="Z26" i="2"/>
  <c r="Y26" i="2"/>
  <c r="X26" i="2"/>
  <c r="T26" i="2"/>
  <c r="Q26" i="2"/>
  <c r="L26" i="2"/>
  <c r="J26" i="2"/>
  <c r="I26" i="2"/>
  <c r="DJ25" i="2"/>
  <c r="DI25" i="2"/>
  <c r="DG25" i="2"/>
  <c r="DH25" i="2" s="1"/>
  <c r="BV25" i="2"/>
  <c r="BU25" i="2"/>
  <c r="BM25" i="2"/>
  <c r="BI25" i="2"/>
  <c r="BG25" i="2"/>
  <c r="BK25" i="2" s="1"/>
  <c r="BA25" i="2"/>
  <c r="BN25" i="2" s="1"/>
  <c r="BQ25" i="2" s="1"/>
  <c r="AV25" i="2"/>
  <c r="AT25" i="2" s="1"/>
  <c r="AM25" i="2"/>
  <c r="AH25" i="2"/>
  <c r="Z25" i="2"/>
  <c r="Y25" i="2"/>
  <c r="X25" i="2"/>
  <c r="T25" i="2"/>
  <c r="Q25" i="2"/>
  <c r="DJ24" i="2"/>
  <c r="DI24" i="2"/>
  <c r="DG24" i="2"/>
  <c r="T24" i="2" s="1"/>
  <c r="BV24" i="2"/>
  <c r="BU24" i="2"/>
  <c r="BM24" i="2"/>
  <c r="BG24" i="2"/>
  <c r="BA24" i="2"/>
  <c r="BN24" i="2" s="1"/>
  <c r="BQ24" i="2" s="1"/>
  <c r="AV24" i="2"/>
  <c r="AT24" i="2" s="1"/>
  <c r="O24" i="2" s="1"/>
  <c r="AM24" i="2"/>
  <c r="AH24" i="2"/>
  <c r="AF24" i="2"/>
  <c r="K24" i="2" s="1"/>
  <c r="BJ24" i="2" s="1"/>
  <c r="Z24" i="2"/>
  <c r="Y24" i="2"/>
  <c r="X24" i="2"/>
  <c r="Q24" i="2"/>
  <c r="DJ23" i="2"/>
  <c r="DI23" i="2"/>
  <c r="DG23" i="2"/>
  <c r="DH23" i="2" s="1"/>
  <c r="BV23" i="2"/>
  <c r="BU23" i="2"/>
  <c r="BN23" i="2"/>
  <c r="BQ23" i="2" s="1"/>
  <c r="BR23" i="2" s="1"/>
  <c r="BM23" i="2"/>
  <c r="BI23" i="2"/>
  <c r="BG23" i="2"/>
  <c r="BA23" i="2"/>
  <c r="AV23" i="2"/>
  <c r="AT23" i="2" s="1"/>
  <c r="AM23" i="2"/>
  <c r="AH23" i="2"/>
  <c r="Z23" i="2"/>
  <c r="Y23" i="2"/>
  <c r="X23" i="2"/>
  <c r="T23" i="2"/>
  <c r="Q23" i="2"/>
  <c r="DJ22" i="2"/>
  <c r="DI22" i="2"/>
  <c r="DG22" i="2"/>
  <c r="DH22" i="2" s="1"/>
  <c r="BI22" i="2" s="1"/>
  <c r="BV22" i="2"/>
  <c r="BU22" i="2"/>
  <c r="BT22" i="2"/>
  <c r="BS22" i="2"/>
  <c r="BW22" i="2" s="1"/>
  <c r="BX22" i="2" s="1"/>
  <c r="BM22" i="2"/>
  <c r="BG22" i="2"/>
  <c r="BA22" i="2"/>
  <c r="BN22" i="2" s="1"/>
  <c r="BQ22" i="2" s="1"/>
  <c r="BR22" i="2" s="1"/>
  <c r="AV22" i="2"/>
  <c r="AT22" i="2"/>
  <c r="O22" i="2" s="1"/>
  <c r="AM22" i="2"/>
  <c r="AH22" i="2"/>
  <c r="AG22" i="2"/>
  <c r="J22" i="2" s="1"/>
  <c r="I22" i="2" s="1"/>
  <c r="AF22" i="2"/>
  <c r="K22" i="2" s="1"/>
  <c r="BJ22" i="2" s="1"/>
  <c r="Z22" i="2"/>
  <c r="Y22" i="2"/>
  <c r="X22" i="2"/>
  <c r="T22" i="2"/>
  <c r="Q22" i="2"/>
  <c r="L22" i="2"/>
  <c r="DJ21" i="2"/>
  <c r="DI21" i="2"/>
  <c r="DG21" i="2"/>
  <c r="DH21" i="2" s="1"/>
  <c r="BV21" i="2"/>
  <c r="BU21" i="2"/>
  <c r="BN21" i="2"/>
  <c r="BQ21" i="2" s="1"/>
  <c r="BM21" i="2"/>
  <c r="BK21" i="2"/>
  <c r="BI21" i="2"/>
  <c r="BG21" i="2"/>
  <c r="BA21" i="2"/>
  <c r="AV21" i="2"/>
  <c r="AT21" i="2" s="1"/>
  <c r="AM21" i="2"/>
  <c r="AH21" i="2"/>
  <c r="Z21" i="2"/>
  <c r="Y21" i="2"/>
  <c r="X21" i="2"/>
  <c r="T21" i="2"/>
  <c r="Q21" i="2"/>
  <c r="DJ20" i="2"/>
  <c r="DI20" i="2"/>
  <c r="DG20" i="2"/>
  <c r="T20" i="2" s="1"/>
  <c r="BV20" i="2"/>
  <c r="BU20" i="2"/>
  <c r="BM20" i="2"/>
  <c r="BG20" i="2"/>
  <c r="BA20" i="2"/>
  <c r="BN20" i="2" s="1"/>
  <c r="BQ20" i="2" s="1"/>
  <c r="AV20" i="2"/>
  <c r="AT20" i="2" s="1"/>
  <c r="AU20" i="2"/>
  <c r="AM20" i="2"/>
  <c r="AH20" i="2"/>
  <c r="Z20" i="2"/>
  <c r="Y20" i="2"/>
  <c r="X20" i="2"/>
  <c r="Q20" i="2"/>
  <c r="O20" i="2"/>
  <c r="DJ19" i="2"/>
  <c r="DI19" i="2"/>
  <c r="DG19" i="2"/>
  <c r="DH19" i="2" s="1"/>
  <c r="BV19" i="2"/>
  <c r="BU19" i="2"/>
  <c r="BN19" i="2"/>
  <c r="BQ19" i="2" s="1"/>
  <c r="BM19" i="2"/>
  <c r="BI19" i="2"/>
  <c r="BG19" i="2"/>
  <c r="BK19" i="2" s="1"/>
  <c r="BA19" i="2"/>
  <c r="AV19" i="2"/>
  <c r="AT19" i="2" s="1"/>
  <c r="AM19" i="2"/>
  <c r="AH19" i="2"/>
  <c r="Z19" i="2"/>
  <c r="Y19" i="2"/>
  <c r="X19" i="2"/>
  <c r="T19" i="2"/>
  <c r="Q19" i="2"/>
  <c r="DJ18" i="2"/>
  <c r="DI18" i="2"/>
  <c r="DG18" i="2"/>
  <c r="DH18" i="2" s="1"/>
  <c r="BI18" i="2" s="1"/>
  <c r="BV18" i="2"/>
  <c r="BU18" i="2"/>
  <c r="BM18" i="2"/>
  <c r="BG18" i="2"/>
  <c r="BK18" i="2" s="1"/>
  <c r="BA18" i="2"/>
  <c r="BN18" i="2" s="1"/>
  <c r="BQ18" i="2" s="1"/>
  <c r="AV18" i="2"/>
  <c r="AT18" i="2"/>
  <c r="AM18" i="2"/>
  <c r="AH18" i="2"/>
  <c r="Z18" i="2"/>
  <c r="Y18" i="2"/>
  <c r="X18" i="2"/>
  <c r="Q18" i="2"/>
  <c r="O18" i="2"/>
  <c r="L18" i="2"/>
  <c r="DJ17" i="2"/>
  <c r="DI17" i="2"/>
  <c r="DG17" i="2"/>
  <c r="DH17" i="2" s="1"/>
  <c r="BV17" i="2"/>
  <c r="BU17" i="2"/>
  <c r="BM17" i="2"/>
  <c r="BI17" i="2"/>
  <c r="BG17" i="2"/>
  <c r="BK17" i="2" s="1"/>
  <c r="BA17" i="2"/>
  <c r="BN17" i="2" s="1"/>
  <c r="BQ17" i="2" s="1"/>
  <c r="BR17" i="2" s="1"/>
  <c r="AV17" i="2"/>
  <c r="AT17" i="2" s="1"/>
  <c r="AM17" i="2"/>
  <c r="AH17" i="2"/>
  <c r="Z17" i="2"/>
  <c r="Y17" i="2"/>
  <c r="X17" i="2" s="1"/>
  <c r="T17" i="2"/>
  <c r="Q17" i="2"/>
  <c r="DJ31" i="1"/>
  <c r="DI31" i="1"/>
  <c r="DG31" i="1"/>
  <c r="DH31" i="1" s="1"/>
  <c r="BV31" i="1"/>
  <c r="BU31" i="1"/>
  <c r="BT31" i="1"/>
  <c r="BS31" i="1"/>
  <c r="BW31" i="1" s="1"/>
  <c r="BX31" i="1" s="1"/>
  <c r="BR31" i="1"/>
  <c r="BM31" i="1"/>
  <c r="BI31" i="1"/>
  <c r="BG31" i="1"/>
  <c r="BA31" i="1"/>
  <c r="BN31" i="1" s="1"/>
  <c r="BQ31" i="1" s="1"/>
  <c r="AV31" i="1"/>
  <c r="AT31" i="1" s="1"/>
  <c r="AM31" i="1"/>
  <c r="AH31" i="1"/>
  <c r="Z31" i="1"/>
  <c r="Y31" i="1"/>
  <c r="X31" i="1"/>
  <c r="T31" i="1"/>
  <c r="Q31" i="1"/>
  <c r="DJ30" i="1"/>
  <c r="T30" i="1" s="1"/>
  <c r="DI30" i="1"/>
  <c r="DG30" i="1"/>
  <c r="DH30" i="1" s="1"/>
  <c r="BI30" i="1" s="1"/>
  <c r="BV30" i="1"/>
  <c r="BU30" i="1"/>
  <c r="BM30" i="1"/>
  <c r="BG30" i="1"/>
  <c r="BK30" i="1" s="1"/>
  <c r="BA30" i="1"/>
  <c r="BN30" i="1" s="1"/>
  <c r="BQ30" i="1" s="1"/>
  <c r="BR30" i="1" s="1"/>
  <c r="AV30" i="1"/>
  <c r="AT30" i="1" s="1"/>
  <c r="AF30" i="1" s="1"/>
  <c r="K30" i="1" s="1"/>
  <c r="BJ30" i="1" s="1"/>
  <c r="BL30" i="1" s="1"/>
  <c r="AM30" i="1"/>
  <c r="AH30" i="1"/>
  <c r="Z30" i="1"/>
  <c r="Y30" i="1"/>
  <c r="X30" i="1"/>
  <c r="Q30" i="1"/>
  <c r="DJ29" i="1"/>
  <c r="DI29" i="1"/>
  <c r="DG29" i="1"/>
  <c r="DH29" i="1" s="1"/>
  <c r="BV29" i="1"/>
  <c r="BU29" i="1"/>
  <c r="BS29" i="1"/>
  <c r="BW29" i="1" s="1"/>
  <c r="BX29" i="1" s="1"/>
  <c r="BR29" i="1"/>
  <c r="BM29" i="1"/>
  <c r="BI29" i="1"/>
  <c r="BG29" i="1"/>
  <c r="BK29" i="1" s="1"/>
  <c r="BA29" i="1"/>
  <c r="BN29" i="1" s="1"/>
  <c r="BQ29" i="1" s="1"/>
  <c r="BT29" i="1" s="1"/>
  <c r="AV29" i="1"/>
  <c r="AT29" i="1" s="1"/>
  <c r="AM29" i="1"/>
  <c r="AH29" i="1"/>
  <c r="Z29" i="1"/>
  <c r="Y29" i="1"/>
  <c r="X29" i="1"/>
  <c r="T29" i="1"/>
  <c r="Q29" i="1"/>
  <c r="DJ28" i="1"/>
  <c r="T28" i="1" s="1"/>
  <c r="DI28" i="1"/>
  <c r="DG28" i="1"/>
  <c r="DH28" i="1" s="1"/>
  <c r="BV28" i="1"/>
  <c r="BU28" i="1"/>
  <c r="BT28" i="1"/>
  <c r="BS28" i="1"/>
  <c r="BW28" i="1" s="1"/>
  <c r="BX28" i="1" s="1"/>
  <c r="BM28" i="1"/>
  <c r="BI28" i="1"/>
  <c r="BG28" i="1"/>
  <c r="BK28" i="1" s="1"/>
  <c r="BA28" i="1"/>
  <c r="BN28" i="1" s="1"/>
  <c r="BQ28" i="1" s="1"/>
  <c r="BR28" i="1" s="1"/>
  <c r="AV28" i="1"/>
  <c r="AT28" i="1" s="1"/>
  <c r="AM28" i="1"/>
  <c r="AH28" i="1"/>
  <c r="AG28" i="1"/>
  <c r="J28" i="1" s="1"/>
  <c r="I28" i="1" s="1"/>
  <c r="AF28" i="1"/>
  <c r="Z28" i="1"/>
  <c r="Y28" i="1"/>
  <c r="X28" i="1"/>
  <c r="Q28" i="1"/>
  <c r="L28" i="1"/>
  <c r="K28" i="1"/>
  <c r="BJ28" i="1" s="1"/>
  <c r="BL28" i="1" s="1"/>
  <c r="DJ27" i="1"/>
  <c r="DI27" i="1"/>
  <c r="DG27" i="1"/>
  <c r="DH27" i="1" s="1"/>
  <c r="BV27" i="1"/>
  <c r="BU27" i="1"/>
  <c r="BM27" i="1"/>
  <c r="BI27" i="1"/>
  <c r="BG27" i="1"/>
  <c r="BK27" i="1" s="1"/>
  <c r="BA27" i="1"/>
  <c r="BN27" i="1" s="1"/>
  <c r="BQ27" i="1" s="1"/>
  <c r="BR27" i="1" s="1"/>
  <c r="AV27" i="1"/>
  <c r="AT27" i="1" s="1"/>
  <c r="AM27" i="1"/>
  <c r="AH27" i="1"/>
  <c r="Z27" i="1"/>
  <c r="Y27" i="1"/>
  <c r="X27" i="1"/>
  <c r="T27" i="1"/>
  <c r="Q27" i="1"/>
  <c r="DJ26" i="1"/>
  <c r="DI26" i="1"/>
  <c r="DG26" i="1"/>
  <c r="DH26" i="1" s="1"/>
  <c r="BI26" i="1" s="1"/>
  <c r="BV26" i="1"/>
  <c r="BU26" i="1"/>
  <c r="BM26" i="1"/>
  <c r="BG26" i="1"/>
  <c r="BA26" i="1"/>
  <c r="BN26" i="1" s="1"/>
  <c r="BQ26" i="1" s="1"/>
  <c r="BR26" i="1" s="1"/>
  <c r="AV26" i="1"/>
  <c r="AT26" i="1" s="1"/>
  <c r="L26" i="1" s="1"/>
  <c r="AM26" i="1"/>
  <c r="AH26" i="1"/>
  <c r="AG26" i="1"/>
  <c r="J26" i="1" s="1"/>
  <c r="I26" i="1" s="1"/>
  <c r="Z26" i="1"/>
  <c r="Y26" i="1"/>
  <c r="X26" i="1"/>
  <c r="T26" i="1"/>
  <c r="U26" i="1" s="1"/>
  <c r="V26" i="1" s="1"/>
  <c r="Q26" i="1"/>
  <c r="DJ25" i="1"/>
  <c r="DI25" i="1"/>
  <c r="DG25" i="1"/>
  <c r="DH25" i="1" s="1"/>
  <c r="BV25" i="1"/>
  <c r="BU25" i="1"/>
  <c r="BT25" i="1"/>
  <c r="BS25" i="1"/>
  <c r="BW25" i="1" s="1"/>
  <c r="BX25" i="1" s="1"/>
  <c r="BR25" i="1"/>
  <c r="BM25" i="1"/>
  <c r="BI25" i="1"/>
  <c r="BK25" i="1" s="1"/>
  <c r="BG25" i="1"/>
  <c r="BA25" i="1"/>
  <c r="BN25" i="1" s="1"/>
  <c r="BQ25" i="1" s="1"/>
  <c r="AV25" i="1"/>
  <c r="AT25" i="1" s="1"/>
  <c r="AM25" i="1"/>
  <c r="AH25" i="1"/>
  <c r="Z25" i="1"/>
  <c r="Y25" i="1"/>
  <c r="X25" i="1"/>
  <c r="T25" i="1"/>
  <c r="Q25" i="1"/>
  <c r="DJ24" i="1"/>
  <c r="DI24" i="1"/>
  <c r="DG24" i="1"/>
  <c r="DH24" i="1" s="1"/>
  <c r="BV24" i="1"/>
  <c r="BU24" i="1"/>
  <c r="BT24" i="1"/>
  <c r="BS24" i="1"/>
  <c r="BW24" i="1" s="1"/>
  <c r="BX24" i="1" s="1"/>
  <c r="BM24" i="1"/>
  <c r="BI24" i="1"/>
  <c r="BG24" i="1"/>
  <c r="BA24" i="1"/>
  <c r="BN24" i="1" s="1"/>
  <c r="BQ24" i="1" s="1"/>
  <c r="BR24" i="1" s="1"/>
  <c r="AV24" i="1"/>
  <c r="AT24" i="1" s="1"/>
  <c r="AM24" i="1"/>
  <c r="AH24" i="1"/>
  <c r="AG24" i="1"/>
  <c r="J24" i="1" s="1"/>
  <c r="I24" i="1" s="1"/>
  <c r="AF24" i="1"/>
  <c r="K24" i="1" s="1"/>
  <c r="BJ24" i="1" s="1"/>
  <c r="BL24" i="1" s="1"/>
  <c r="Z24" i="1"/>
  <c r="Y24" i="1"/>
  <c r="X24" i="1"/>
  <c r="T24" i="1"/>
  <c r="U24" i="1" s="1"/>
  <c r="V24" i="1" s="1"/>
  <c r="Q24" i="1"/>
  <c r="L24" i="1"/>
  <c r="DJ23" i="1"/>
  <c r="DI23" i="1"/>
  <c r="DG23" i="1"/>
  <c r="DH23" i="1" s="1"/>
  <c r="BI23" i="1" s="1"/>
  <c r="BV23" i="1"/>
  <c r="BU23" i="1"/>
  <c r="BT23" i="1"/>
  <c r="BM23" i="1"/>
  <c r="BG23" i="1"/>
  <c r="BK23" i="1" s="1"/>
  <c r="BA23" i="1"/>
  <c r="BN23" i="1" s="1"/>
  <c r="BQ23" i="1" s="1"/>
  <c r="BS23" i="1" s="1"/>
  <c r="BW23" i="1" s="1"/>
  <c r="BX23" i="1" s="1"/>
  <c r="AV23" i="1"/>
  <c r="AT23" i="1" s="1"/>
  <c r="AM23" i="1"/>
  <c r="AH23" i="1"/>
  <c r="Z23" i="1"/>
  <c r="Y23" i="1"/>
  <c r="X23" i="1"/>
  <c r="T23" i="1"/>
  <c r="Q23" i="1"/>
  <c r="DJ22" i="1"/>
  <c r="T22" i="1" s="1"/>
  <c r="DI22" i="1"/>
  <c r="DG22" i="1"/>
  <c r="DH22" i="1" s="1"/>
  <c r="BV22" i="1"/>
  <c r="BU22" i="1"/>
  <c r="BM22" i="1"/>
  <c r="BI22" i="1"/>
  <c r="BG22" i="1"/>
  <c r="BK22" i="1" s="1"/>
  <c r="BA22" i="1"/>
  <c r="BN22" i="1" s="1"/>
  <c r="BQ22" i="1" s="1"/>
  <c r="BR22" i="1" s="1"/>
  <c r="AV22" i="1"/>
  <c r="AT22" i="1" s="1"/>
  <c r="L22" i="1" s="1"/>
  <c r="AM22" i="1"/>
  <c r="AH22" i="1"/>
  <c r="Z22" i="1"/>
  <c r="Y22" i="1"/>
  <c r="X22" i="1"/>
  <c r="Q22" i="1"/>
  <c r="DJ21" i="1"/>
  <c r="DI21" i="1"/>
  <c r="DG21" i="1"/>
  <c r="DH21" i="1" s="1"/>
  <c r="BV21" i="1"/>
  <c r="BU21" i="1"/>
  <c r="BR21" i="1"/>
  <c r="BM21" i="1"/>
  <c r="BK21" i="1"/>
  <c r="BI21" i="1"/>
  <c r="BG21" i="1"/>
  <c r="BA21" i="1"/>
  <c r="BN21" i="1" s="1"/>
  <c r="BQ21" i="1" s="1"/>
  <c r="BT21" i="1" s="1"/>
  <c r="AV21" i="1"/>
  <c r="AT21" i="1" s="1"/>
  <c r="AM21" i="1"/>
  <c r="AH21" i="1"/>
  <c r="Z21" i="1"/>
  <c r="Y21" i="1"/>
  <c r="X21" i="1"/>
  <c r="T21" i="1"/>
  <c r="Q21" i="1"/>
  <c r="DJ20" i="1"/>
  <c r="DI20" i="1"/>
  <c r="DG20" i="1"/>
  <c r="DH20" i="1" s="1"/>
  <c r="BI20" i="1" s="1"/>
  <c r="BV20" i="1"/>
  <c r="BU20" i="1"/>
  <c r="BT20" i="1"/>
  <c r="BM20" i="1"/>
  <c r="BG20" i="1"/>
  <c r="BA20" i="1"/>
  <c r="BN20" i="1" s="1"/>
  <c r="BQ20" i="1" s="1"/>
  <c r="BR20" i="1" s="1"/>
  <c r="AV20" i="1"/>
  <c r="AT20" i="1" s="1"/>
  <c r="L20" i="1" s="1"/>
  <c r="AM20" i="1"/>
  <c r="AH20" i="1"/>
  <c r="AG20" i="1"/>
  <c r="J20" i="1" s="1"/>
  <c r="I20" i="1" s="1"/>
  <c r="AF20" i="1"/>
  <c r="K20" i="1" s="1"/>
  <c r="BJ20" i="1" s="1"/>
  <c r="BL20" i="1" s="1"/>
  <c r="Z20" i="1"/>
  <c r="Y20" i="1"/>
  <c r="X20" i="1"/>
  <c r="T20" i="1"/>
  <c r="Q20" i="1"/>
  <c r="DJ19" i="1"/>
  <c r="DI19" i="1"/>
  <c r="DG19" i="1"/>
  <c r="DH19" i="1" s="1"/>
  <c r="BV19" i="1"/>
  <c r="BU19" i="1"/>
  <c r="BM19" i="1"/>
  <c r="BI19" i="1"/>
  <c r="BG19" i="1"/>
  <c r="BK19" i="1" s="1"/>
  <c r="BA19" i="1"/>
  <c r="BN19" i="1" s="1"/>
  <c r="BQ19" i="1" s="1"/>
  <c r="BT19" i="1" s="1"/>
  <c r="AV19" i="1"/>
  <c r="AT19" i="1" s="1"/>
  <c r="AM19" i="1"/>
  <c r="AH19" i="1"/>
  <c r="Z19" i="1"/>
  <c r="Y19" i="1"/>
  <c r="X19" i="1"/>
  <c r="T19" i="1"/>
  <c r="Q19" i="1"/>
  <c r="DJ18" i="1"/>
  <c r="T18" i="1" s="1"/>
  <c r="DI18" i="1"/>
  <c r="DG18" i="1"/>
  <c r="DH18" i="1" s="1"/>
  <c r="BV18" i="1"/>
  <c r="BU18" i="1"/>
  <c r="BM18" i="1"/>
  <c r="BI18" i="1"/>
  <c r="BG18" i="1"/>
  <c r="BK18" i="1" s="1"/>
  <c r="BA18" i="1"/>
  <c r="BN18" i="1" s="1"/>
  <c r="BQ18" i="1" s="1"/>
  <c r="BR18" i="1" s="1"/>
  <c r="AV18" i="1"/>
  <c r="AT18" i="1" s="1"/>
  <c r="AM18" i="1"/>
  <c r="AH18" i="1"/>
  <c r="AG18" i="1"/>
  <c r="AF18" i="1"/>
  <c r="K18" i="1" s="1"/>
  <c r="BJ18" i="1" s="1"/>
  <c r="BL18" i="1" s="1"/>
  <c r="Z18" i="1"/>
  <c r="Y18" i="1"/>
  <c r="X18" i="1"/>
  <c r="Q18" i="1"/>
  <c r="L18" i="1"/>
  <c r="J18" i="1"/>
  <c r="I18" i="1" s="1"/>
  <c r="DJ17" i="1"/>
  <c r="DI17" i="1"/>
  <c r="DG17" i="1"/>
  <c r="DH17" i="1" s="1"/>
  <c r="BI17" i="1" s="1"/>
  <c r="BV17" i="1"/>
  <c r="BU17" i="1"/>
  <c r="BT17" i="1"/>
  <c r="BS17" i="1"/>
  <c r="BW17" i="1" s="1"/>
  <c r="BX17" i="1" s="1"/>
  <c r="BR17" i="1"/>
  <c r="BM17" i="1"/>
  <c r="BG17" i="1"/>
  <c r="BK17" i="1" s="1"/>
  <c r="BA17" i="1"/>
  <c r="BN17" i="1" s="1"/>
  <c r="BQ17" i="1" s="1"/>
  <c r="AV17" i="1"/>
  <c r="AT17" i="1" s="1"/>
  <c r="AM17" i="1"/>
  <c r="AH17" i="1"/>
  <c r="Z17" i="1"/>
  <c r="Y17" i="1"/>
  <c r="X17" i="1"/>
  <c r="T17" i="1"/>
  <c r="Q17" i="1"/>
  <c r="AB19" i="13" l="1"/>
  <c r="AB18" i="13"/>
  <c r="U18" i="13"/>
  <c r="V18" i="13" s="1"/>
  <c r="R18" i="13"/>
  <c r="P18" i="13" s="1"/>
  <c r="S18" i="13" s="1"/>
  <c r="M18" i="13" s="1"/>
  <c r="N18" i="13" s="1"/>
  <c r="AD25" i="13"/>
  <c r="AE25" i="13" s="1"/>
  <c r="AC25" i="13"/>
  <c r="W25" i="13"/>
  <c r="AA25" i="13" s="1"/>
  <c r="BK21" i="13"/>
  <c r="BL21" i="13"/>
  <c r="BT17" i="13"/>
  <c r="BS17" i="13"/>
  <c r="BW17" i="13" s="1"/>
  <c r="BX17" i="13" s="1"/>
  <c r="BR17" i="13"/>
  <c r="AB20" i="13"/>
  <c r="AB28" i="13"/>
  <c r="R28" i="13"/>
  <c r="P28" i="13" s="1"/>
  <c r="S28" i="13" s="1"/>
  <c r="M28" i="13" s="1"/>
  <c r="N28" i="13" s="1"/>
  <c r="BT31" i="13"/>
  <c r="BS31" i="13"/>
  <c r="BW31" i="13" s="1"/>
  <c r="BX31" i="13" s="1"/>
  <c r="BR31" i="13"/>
  <c r="BT27" i="13"/>
  <c r="BS27" i="13"/>
  <c r="BW27" i="13" s="1"/>
  <c r="BX27" i="13" s="1"/>
  <c r="BR27" i="13"/>
  <c r="AD23" i="13"/>
  <c r="AC23" i="13"/>
  <c r="W23" i="13"/>
  <c r="AA23" i="13" s="1"/>
  <c r="BT19" i="13"/>
  <c r="BS19" i="13"/>
  <c r="BW19" i="13" s="1"/>
  <c r="BX19" i="13" s="1"/>
  <c r="BR19" i="13"/>
  <c r="U21" i="13"/>
  <c r="V21" i="13" s="1"/>
  <c r="BR21" i="13"/>
  <c r="BT21" i="13"/>
  <c r="BS21" i="13"/>
  <c r="BW21" i="13" s="1"/>
  <c r="BX21" i="13" s="1"/>
  <c r="BR22" i="13"/>
  <c r="BT22" i="13"/>
  <c r="R27" i="13"/>
  <c r="P27" i="13" s="1"/>
  <c r="S27" i="13" s="1"/>
  <c r="M27" i="13" s="1"/>
  <c r="N27" i="13" s="1"/>
  <c r="AB27" i="13"/>
  <c r="BK22" i="13"/>
  <c r="BK20" i="13"/>
  <c r="BS22" i="13"/>
  <c r="BW22" i="13" s="1"/>
  <c r="BX22" i="13" s="1"/>
  <c r="U24" i="13"/>
  <c r="V24" i="13" s="1"/>
  <c r="R25" i="13"/>
  <c r="P25" i="13" s="1"/>
  <c r="S25" i="13" s="1"/>
  <c r="M25" i="13" s="1"/>
  <c r="N25" i="13" s="1"/>
  <c r="AB25" i="13"/>
  <c r="BL26" i="13"/>
  <c r="AC20" i="13"/>
  <c r="U22" i="13"/>
  <c r="V22" i="13" s="1"/>
  <c r="BT25" i="13"/>
  <c r="BS25" i="13"/>
  <c r="BW25" i="13" s="1"/>
  <c r="BX25" i="13" s="1"/>
  <c r="BR25" i="13"/>
  <c r="U20" i="13"/>
  <c r="V20" i="13" s="1"/>
  <c r="R21" i="13"/>
  <c r="P21" i="13" s="1"/>
  <c r="S21" i="13" s="1"/>
  <c r="M21" i="13" s="1"/>
  <c r="N21" i="13" s="1"/>
  <c r="AB21" i="13"/>
  <c r="BL22" i="13"/>
  <c r="BS23" i="13"/>
  <c r="BW23" i="13" s="1"/>
  <c r="BX23" i="13" s="1"/>
  <c r="BT23" i="13"/>
  <c r="BR23" i="13"/>
  <c r="R29" i="13"/>
  <c r="P29" i="13" s="1"/>
  <c r="S29" i="13" s="1"/>
  <c r="M29" i="13" s="1"/>
  <c r="N29" i="13" s="1"/>
  <c r="AB29" i="13"/>
  <c r="AC22" i="13"/>
  <c r="AC28" i="13"/>
  <c r="BL20" i="13"/>
  <c r="AB22" i="13"/>
  <c r="R22" i="13"/>
  <c r="P22" i="13" s="1"/>
  <c r="S22" i="13" s="1"/>
  <c r="BK24" i="13"/>
  <c r="U28" i="13"/>
  <c r="V28" i="13" s="1"/>
  <c r="U30" i="13"/>
  <c r="V30" i="13" s="1"/>
  <c r="BT29" i="13"/>
  <c r="BS29" i="13"/>
  <c r="BW29" i="13" s="1"/>
  <c r="BX29" i="13" s="1"/>
  <c r="R23" i="13"/>
  <c r="P23" i="13" s="1"/>
  <c r="S23" i="13" s="1"/>
  <c r="M23" i="13" s="1"/>
  <c r="N23" i="13" s="1"/>
  <c r="L30" i="13"/>
  <c r="AU30" i="13"/>
  <c r="AU18" i="13"/>
  <c r="L28" i="13"/>
  <c r="AU28" i="13"/>
  <c r="L26" i="13"/>
  <c r="AU26" i="13"/>
  <c r="U17" i="13"/>
  <c r="V17" i="13" s="1"/>
  <c r="O18" i="13"/>
  <c r="AU20" i="13"/>
  <c r="L24" i="13"/>
  <c r="O30" i="13"/>
  <c r="BK30" i="13"/>
  <c r="U31" i="13"/>
  <c r="V31" i="13" s="1"/>
  <c r="BK18" i="13"/>
  <c r="L22" i="13"/>
  <c r="O28" i="13"/>
  <c r="BK28" i="13"/>
  <c r="U29" i="13"/>
  <c r="V29" i="13" s="1"/>
  <c r="U19" i="13"/>
  <c r="V19" i="13" s="1"/>
  <c r="BK26" i="13"/>
  <c r="U27" i="13"/>
  <c r="V27" i="13" s="1"/>
  <c r="BS30" i="13"/>
  <c r="BW30" i="13" s="1"/>
  <c r="BX30" i="13" s="1"/>
  <c r="U26" i="13"/>
  <c r="V26" i="13" s="1"/>
  <c r="AB23" i="13"/>
  <c r="AE23" i="13" s="1"/>
  <c r="R17" i="13"/>
  <c r="P17" i="13" s="1"/>
  <c r="S17" i="13" s="1"/>
  <c r="M17" i="13" s="1"/>
  <c r="N17" i="13" s="1"/>
  <c r="AF30" i="13"/>
  <c r="K30" i="13" s="1"/>
  <c r="BJ30" i="13" s="1"/>
  <c r="BL30" i="13" s="1"/>
  <c r="AB20" i="12"/>
  <c r="BT23" i="12"/>
  <c r="BS23" i="12"/>
  <c r="BW23" i="12" s="1"/>
  <c r="BX23" i="12" s="1"/>
  <c r="BR23" i="12"/>
  <c r="BT21" i="12"/>
  <c r="BS21" i="12"/>
  <c r="BW21" i="12" s="1"/>
  <c r="BX21" i="12" s="1"/>
  <c r="BR21" i="12"/>
  <c r="AD22" i="12"/>
  <c r="AE22" i="12" s="1"/>
  <c r="W22" i="12"/>
  <c r="AA22" i="12" s="1"/>
  <c r="AD25" i="12"/>
  <c r="AC25" i="12"/>
  <c r="W25" i="12"/>
  <c r="AA25" i="12" s="1"/>
  <c r="U20" i="12"/>
  <c r="V20" i="12" s="1"/>
  <c r="AD27" i="12"/>
  <c r="AC27" i="12"/>
  <c r="W27" i="12"/>
  <c r="AA27" i="12" s="1"/>
  <c r="BT25" i="12"/>
  <c r="BS25" i="12"/>
  <c r="BW25" i="12" s="1"/>
  <c r="BX25" i="12" s="1"/>
  <c r="BR25" i="12"/>
  <c r="BK19" i="12"/>
  <c r="BT17" i="12"/>
  <c r="BS17" i="12"/>
  <c r="BW17" i="12" s="1"/>
  <c r="BX17" i="12" s="1"/>
  <c r="BR17" i="12"/>
  <c r="BT19" i="12"/>
  <c r="BS19" i="12"/>
  <c r="BW19" i="12" s="1"/>
  <c r="BX19" i="12" s="1"/>
  <c r="BR19" i="12"/>
  <c r="AB30" i="12"/>
  <c r="R30" i="12"/>
  <c r="P30" i="12" s="1"/>
  <c r="S30" i="12" s="1"/>
  <c r="M30" i="12" s="1"/>
  <c r="N30" i="12" s="1"/>
  <c r="AD19" i="12"/>
  <c r="AC19" i="12"/>
  <c r="W19" i="12"/>
  <c r="AA19" i="12" s="1"/>
  <c r="AB22" i="12"/>
  <c r="R22" i="12"/>
  <c r="P22" i="12" s="1"/>
  <c r="S22" i="12" s="1"/>
  <c r="AB23" i="12"/>
  <c r="BT27" i="12"/>
  <c r="BS27" i="12"/>
  <c r="BW27" i="12" s="1"/>
  <c r="BX27" i="12" s="1"/>
  <c r="BR27" i="12"/>
  <c r="AB26" i="12"/>
  <c r="U26" i="12"/>
  <c r="V26" i="12" s="1"/>
  <c r="AB28" i="12"/>
  <c r="BT31" i="12"/>
  <c r="BS31" i="12"/>
  <c r="BW31" i="12" s="1"/>
  <c r="BX31" i="12" s="1"/>
  <c r="BR31" i="12"/>
  <c r="AD17" i="12"/>
  <c r="AC17" i="12"/>
  <c r="W17" i="12"/>
  <c r="AA17" i="12" s="1"/>
  <c r="AD21" i="12"/>
  <c r="AE21" i="12" s="1"/>
  <c r="AC21" i="12"/>
  <c r="W21" i="12"/>
  <c r="AA21" i="12" s="1"/>
  <c r="BL27" i="12"/>
  <c r="BT29" i="12"/>
  <c r="BS29" i="12"/>
  <c r="BW29" i="12" s="1"/>
  <c r="BX29" i="12" s="1"/>
  <c r="BR29" i="12"/>
  <c r="AB18" i="12"/>
  <c r="U18" i="12"/>
  <c r="V18" i="12" s="1"/>
  <c r="U30" i="12"/>
  <c r="V30" i="12" s="1"/>
  <c r="R19" i="12"/>
  <c r="P19" i="12" s="1"/>
  <c r="S19" i="12" s="1"/>
  <c r="M19" i="12" s="1"/>
  <c r="N19" i="12" s="1"/>
  <c r="AB19" i="12"/>
  <c r="R27" i="12"/>
  <c r="P27" i="12" s="1"/>
  <c r="S27" i="12" s="1"/>
  <c r="M27" i="12" s="1"/>
  <c r="N27" i="12" s="1"/>
  <c r="AB27" i="12"/>
  <c r="AU28" i="12"/>
  <c r="DH18" i="12"/>
  <c r="BI18" i="12" s="1"/>
  <c r="BK18" i="12" s="1"/>
  <c r="AU20" i="12"/>
  <c r="DH26" i="12"/>
  <c r="BI26" i="12" s="1"/>
  <c r="BK26" i="12" s="1"/>
  <c r="AU19" i="12"/>
  <c r="O19" i="12"/>
  <c r="AU27" i="12"/>
  <c r="O27" i="12"/>
  <c r="O28" i="12"/>
  <c r="O20" i="12"/>
  <c r="BS22" i="12"/>
  <c r="BW22" i="12" s="1"/>
  <c r="BX22" i="12" s="1"/>
  <c r="R25" i="12"/>
  <c r="P25" i="12" s="1"/>
  <c r="S25" i="12" s="1"/>
  <c r="M25" i="12" s="1"/>
  <c r="N25" i="12" s="1"/>
  <c r="AB25" i="12"/>
  <c r="L19" i="12"/>
  <c r="BT22" i="12"/>
  <c r="L27" i="12"/>
  <c r="L18" i="12"/>
  <c r="AU18" i="12"/>
  <c r="AF24" i="12"/>
  <c r="K24" i="12" s="1"/>
  <c r="BJ24" i="12" s="1"/>
  <c r="DH24" i="12"/>
  <c r="BI24" i="12" s="1"/>
  <c r="BK24" i="12" s="1"/>
  <c r="L26" i="12"/>
  <c r="AU26" i="12"/>
  <c r="U28" i="12"/>
  <c r="V28" i="12" s="1"/>
  <c r="BS28" i="12"/>
  <c r="BW28" i="12" s="1"/>
  <c r="BX28" i="12" s="1"/>
  <c r="AG31" i="12"/>
  <c r="J31" i="12" s="1"/>
  <c r="I31" i="12" s="1"/>
  <c r="U31" i="12" s="1"/>
  <c r="V31" i="12" s="1"/>
  <c r="AU31" i="12"/>
  <c r="O31" i="12"/>
  <c r="BT28" i="12"/>
  <c r="AF23" i="12"/>
  <c r="K23" i="12" s="1"/>
  <c r="BJ23" i="12" s="1"/>
  <c r="BL23" i="12" s="1"/>
  <c r="U23" i="12"/>
  <c r="V23" i="12" s="1"/>
  <c r="R23" i="12" s="1"/>
  <c r="P23" i="12" s="1"/>
  <c r="S23" i="12" s="1"/>
  <c r="M23" i="12" s="1"/>
  <c r="N23" i="12" s="1"/>
  <c r="L28" i="12"/>
  <c r="L20" i="12"/>
  <c r="DH30" i="12"/>
  <c r="BI30" i="12" s="1"/>
  <c r="BK30" i="12" s="1"/>
  <c r="R17" i="12"/>
  <c r="P17" i="12" s="1"/>
  <c r="S17" i="12" s="1"/>
  <c r="M17" i="12" s="1"/>
  <c r="N17" i="12" s="1"/>
  <c r="AB17" i="12"/>
  <c r="AU17" i="12"/>
  <c r="O17" i="12"/>
  <c r="AG24" i="12"/>
  <c r="J24" i="12" s="1"/>
  <c r="I24" i="12" s="1"/>
  <c r="AU25" i="12"/>
  <c r="O25" i="12"/>
  <c r="L31" i="12"/>
  <c r="BS20" i="12"/>
  <c r="BW20" i="12" s="1"/>
  <c r="BX20" i="12" s="1"/>
  <c r="AF20" i="12"/>
  <c r="K20" i="12" s="1"/>
  <c r="BJ20" i="12" s="1"/>
  <c r="DH20" i="12"/>
  <c r="BI20" i="12" s="1"/>
  <c r="BK20" i="12" s="1"/>
  <c r="L22" i="12"/>
  <c r="BS30" i="12"/>
  <c r="BW30" i="12" s="1"/>
  <c r="BX30" i="12" s="1"/>
  <c r="DH22" i="12"/>
  <c r="BI22" i="12" s="1"/>
  <c r="BK22" i="12" s="1"/>
  <c r="L24" i="12"/>
  <c r="AU24" i="12"/>
  <c r="AU23" i="12"/>
  <c r="O23" i="12"/>
  <c r="AU29" i="12"/>
  <c r="AG29" i="12"/>
  <c r="J29" i="12" s="1"/>
  <c r="I29" i="12" s="1"/>
  <c r="O29" i="12"/>
  <c r="DH28" i="12"/>
  <c r="BI28" i="12" s="1"/>
  <c r="BK28" i="12" s="1"/>
  <c r="R21" i="12"/>
  <c r="P21" i="12" s="1"/>
  <c r="S21" i="12" s="1"/>
  <c r="M21" i="12" s="1"/>
  <c r="N21" i="12" s="1"/>
  <c r="AB21" i="12"/>
  <c r="AF28" i="12"/>
  <c r="K28" i="12" s="1"/>
  <c r="BJ28" i="12" s="1"/>
  <c r="BL28" i="12" s="1"/>
  <c r="L23" i="12"/>
  <c r="AU21" i="12"/>
  <c r="O21" i="12"/>
  <c r="L29" i="12"/>
  <c r="BT30" i="12"/>
  <c r="AB24" i="11"/>
  <c r="BK23" i="11"/>
  <c r="AB20" i="11"/>
  <c r="R20" i="11"/>
  <c r="P20" i="11" s="1"/>
  <c r="S20" i="11" s="1"/>
  <c r="M20" i="11" s="1"/>
  <c r="N20" i="11" s="1"/>
  <c r="AB28" i="11"/>
  <c r="AU18" i="11"/>
  <c r="O18" i="11"/>
  <c r="BS26" i="11"/>
  <c r="BW26" i="11" s="1"/>
  <c r="BX26" i="11" s="1"/>
  <c r="AU27" i="11"/>
  <c r="L27" i="11"/>
  <c r="O27" i="11"/>
  <c r="AF27" i="11"/>
  <c r="K27" i="11" s="1"/>
  <c r="BJ27" i="11" s="1"/>
  <c r="BL27" i="11" s="1"/>
  <c r="AG27" i="11"/>
  <c r="J27" i="11" s="1"/>
  <c r="I27" i="11" s="1"/>
  <c r="AU24" i="11"/>
  <c r="O24" i="11"/>
  <c r="BT26" i="11"/>
  <c r="BS27" i="11"/>
  <c r="BW27" i="11" s="1"/>
  <c r="BX27" i="11" s="1"/>
  <c r="BT27" i="11"/>
  <c r="U28" i="11"/>
  <c r="V28" i="11" s="1"/>
  <c r="U23" i="11"/>
  <c r="V23" i="11" s="1"/>
  <c r="BS18" i="11"/>
  <c r="BW18" i="11" s="1"/>
  <c r="BX18" i="11" s="1"/>
  <c r="AU19" i="11"/>
  <c r="O19" i="11"/>
  <c r="AG19" i="11"/>
  <c r="J19" i="11" s="1"/>
  <c r="I19" i="11" s="1"/>
  <c r="AF19" i="11"/>
  <c r="K19" i="11" s="1"/>
  <c r="BJ19" i="11" s="1"/>
  <c r="BL19" i="11" s="1"/>
  <c r="L19" i="11"/>
  <c r="AF22" i="11"/>
  <c r="K22" i="11" s="1"/>
  <c r="BJ22" i="11" s="1"/>
  <c r="BL22" i="11" s="1"/>
  <c r="AU30" i="11"/>
  <c r="O30" i="11"/>
  <c r="AG30" i="11"/>
  <c r="J30" i="11" s="1"/>
  <c r="I30" i="11" s="1"/>
  <c r="BT18" i="11"/>
  <c r="BT19" i="11"/>
  <c r="BS19" i="11"/>
  <c r="BW19" i="11" s="1"/>
  <c r="BX19" i="11" s="1"/>
  <c r="U20" i="11"/>
  <c r="V20" i="11" s="1"/>
  <c r="AG22" i="11"/>
  <c r="J22" i="11" s="1"/>
  <c r="I22" i="11" s="1"/>
  <c r="L18" i="11"/>
  <c r="BS24" i="11"/>
  <c r="BW24" i="11" s="1"/>
  <c r="BX24" i="11" s="1"/>
  <c r="R26" i="11"/>
  <c r="P26" i="11" s="1"/>
  <c r="S26" i="11" s="1"/>
  <c r="M26" i="11" s="1"/>
  <c r="N26" i="11" s="1"/>
  <c r="BK30" i="11"/>
  <c r="L31" i="11"/>
  <c r="AU31" i="11"/>
  <c r="AG31" i="11"/>
  <c r="J31" i="11" s="1"/>
  <c r="I31" i="11" s="1"/>
  <c r="AF31" i="11"/>
  <c r="K31" i="11" s="1"/>
  <c r="BJ31" i="11" s="1"/>
  <c r="BL31" i="11" s="1"/>
  <c r="O31" i="11"/>
  <c r="BT17" i="11"/>
  <c r="BS17" i="11"/>
  <c r="BW17" i="11" s="1"/>
  <c r="BX17" i="11" s="1"/>
  <c r="AU23" i="11"/>
  <c r="AG23" i="11"/>
  <c r="J23" i="11" s="1"/>
  <c r="I23" i="11" s="1"/>
  <c r="O23" i="11"/>
  <c r="L23" i="11"/>
  <c r="AF23" i="11"/>
  <c r="K23" i="11" s="1"/>
  <c r="BJ23" i="11" s="1"/>
  <c r="BL23" i="11" s="1"/>
  <c r="BT22" i="11"/>
  <c r="BT23" i="11"/>
  <c r="BS23" i="11"/>
  <c r="BW23" i="11" s="1"/>
  <c r="BX23" i="11" s="1"/>
  <c r="U24" i="11"/>
  <c r="V24" i="11" s="1"/>
  <c r="BK28" i="11"/>
  <c r="AU21" i="11"/>
  <c r="L21" i="11"/>
  <c r="O21" i="11"/>
  <c r="AF21" i="11"/>
  <c r="K21" i="11" s="1"/>
  <c r="BJ21" i="11" s="1"/>
  <c r="BL21" i="11" s="1"/>
  <c r="AG21" i="11"/>
  <c r="J21" i="11" s="1"/>
  <c r="I21" i="11" s="1"/>
  <c r="BS21" i="11"/>
  <c r="BW21" i="11" s="1"/>
  <c r="BX21" i="11" s="1"/>
  <c r="BT21" i="11"/>
  <c r="AU25" i="11"/>
  <c r="AG25" i="11"/>
  <c r="J25" i="11" s="1"/>
  <c r="I25" i="11" s="1"/>
  <c r="O25" i="11"/>
  <c r="AF25" i="11"/>
  <c r="K25" i="11" s="1"/>
  <c r="BJ25" i="11" s="1"/>
  <c r="BL25" i="11" s="1"/>
  <c r="L25" i="11"/>
  <c r="U26" i="11"/>
  <c r="V26" i="11" s="1"/>
  <c r="L30" i="11"/>
  <c r="AU20" i="11"/>
  <c r="O20" i="11"/>
  <c r="U30" i="11"/>
  <c r="V30" i="11" s="1"/>
  <c r="AU17" i="11"/>
  <c r="O17" i="11"/>
  <c r="AG17" i="11"/>
  <c r="J17" i="11" s="1"/>
  <c r="I17" i="11" s="1"/>
  <c r="U17" i="11" s="1"/>
  <c r="V17" i="11" s="1"/>
  <c r="AF17" i="11"/>
  <c r="K17" i="11" s="1"/>
  <c r="BJ17" i="11" s="1"/>
  <c r="BL17" i="11" s="1"/>
  <c r="L17" i="11"/>
  <c r="U19" i="11"/>
  <c r="V19" i="11" s="1"/>
  <c r="BS28" i="11"/>
  <c r="BW28" i="11" s="1"/>
  <c r="BX28" i="11" s="1"/>
  <c r="AU29" i="11"/>
  <c r="L29" i="11"/>
  <c r="O29" i="11"/>
  <c r="AG29" i="11"/>
  <c r="J29" i="11" s="1"/>
  <c r="I29" i="11" s="1"/>
  <c r="AF29" i="11"/>
  <c r="K29" i="11" s="1"/>
  <c r="BJ29" i="11" s="1"/>
  <c r="BL29" i="11" s="1"/>
  <c r="AU28" i="11"/>
  <c r="O28" i="11"/>
  <c r="AF18" i="11"/>
  <c r="K18" i="11" s="1"/>
  <c r="BJ18" i="11" s="1"/>
  <c r="BL18" i="11" s="1"/>
  <c r="BK20" i="11"/>
  <c r="BT28" i="11"/>
  <c r="BS29" i="11"/>
  <c r="BW29" i="11" s="1"/>
  <c r="BX29" i="11" s="1"/>
  <c r="BT29" i="11"/>
  <c r="U22" i="11"/>
  <c r="V22" i="11" s="1"/>
  <c r="BT31" i="11"/>
  <c r="BS31" i="11"/>
  <c r="BW31" i="11" s="1"/>
  <c r="BX31" i="11" s="1"/>
  <c r="AU22" i="11"/>
  <c r="O22" i="11"/>
  <c r="BS25" i="11"/>
  <c r="BW25" i="11" s="1"/>
  <c r="BX25" i="11" s="1"/>
  <c r="BT25" i="11"/>
  <c r="U21" i="11"/>
  <c r="V21" i="11" s="1"/>
  <c r="U18" i="11"/>
  <c r="V18" i="11" s="1"/>
  <c r="BS22" i="11"/>
  <c r="BW22" i="11" s="1"/>
  <c r="BX22" i="11" s="1"/>
  <c r="BR17" i="11"/>
  <c r="AG18" i="11"/>
  <c r="J18" i="11" s="1"/>
  <c r="I18" i="11" s="1"/>
  <c r="AU26" i="11"/>
  <c r="O26" i="11"/>
  <c r="L28" i="11"/>
  <c r="AB30" i="10"/>
  <c r="AB22" i="10"/>
  <c r="BL24" i="10"/>
  <c r="AB26" i="10"/>
  <c r="BL20" i="10"/>
  <c r="AB28" i="10"/>
  <c r="R28" i="10"/>
  <c r="P28" i="10" s="1"/>
  <c r="S28" i="10" s="1"/>
  <c r="M28" i="10" s="1"/>
  <c r="N28" i="10" s="1"/>
  <c r="BS17" i="10"/>
  <c r="BW17" i="10" s="1"/>
  <c r="BX17" i="10" s="1"/>
  <c r="BT17" i="10"/>
  <c r="BR17" i="10"/>
  <c r="AB20" i="10"/>
  <c r="BT19" i="10"/>
  <c r="BR19" i="10"/>
  <c r="BS19" i="10"/>
  <c r="BW19" i="10" s="1"/>
  <c r="BX19" i="10" s="1"/>
  <c r="AB24" i="10"/>
  <c r="BT31" i="10"/>
  <c r="BS31" i="10"/>
  <c r="BW31" i="10" s="1"/>
  <c r="BX31" i="10" s="1"/>
  <c r="BR31" i="10"/>
  <c r="AB23" i="10"/>
  <c r="U28" i="10"/>
  <c r="V28" i="10" s="1"/>
  <c r="DH28" i="10"/>
  <c r="BI28" i="10" s="1"/>
  <c r="BL28" i="10" s="1"/>
  <c r="BS21" i="10"/>
  <c r="BW21" i="10" s="1"/>
  <c r="BX21" i="10" s="1"/>
  <c r="BT21" i="10"/>
  <c r="BL25" i="10"/>
  <c r="R31" i="10"/>
  <c r="P31" i="10" s="1"/>
  <c r="S31" i="10" s="1"/>
  <c r="M31" i="10" s="1"/>
  <c r="N31" i="10" s="1"/>
  <c r="AB31" i="10"/>
  <c r="AU22" i="10"/>
  <c r="BS25" i="10"/>
  <c r="BW25" i="10" s="1"/>
  <c r="BX25" i="10" s="1"/>
  <c r="R18" i="10"/>
  <c r="P18" i="10" s="1"/>
  <c r="S18" i="10" s="1"/>
  <c r="M18" i="10" s="1"/>
  <c r="N18" i="10" s="1"/>
  <c r="AU24" i="10"/>
  <c r="BT25" i="10"/>
  <c r="BL29" i="10"/>
  <c r="U18" i="10"/>
  <c r="V18" i="10" s="1"/>
  <c r="AD21" i="10"/>
  <c r="U27" i="10"/>
  <c r="V27" i="10" s="1"/>
  <c r="BK17" i="10"/>
  <c r="AU26" i="10"/>
  <c r="BL17" i="10"/>
  <c r="L22" i="10"/>
  <c r="T20" i="10"/>
  <c r="L24" i="10"/>
  <c r="AU28" i="10"/>
  <c r="R19" i="10"/>
  <c r="P19" i="10" s="1"/>
  <c r="S19" i="10" s="1"/>
  <c r="M19" i="10" s="1"/>
  <c r="N19" i="10" s="1"/>
  <c r="U22" i="10"/>
  <c r="V22" i="10" s="1"/>
  <c r="U17" i="10"/>
  <c r="V17" i="10" s="1"/>
  <c r="U24" i="10"/>
  <c r="V24" i="10" s="1"/>
  <c r="R21" i="10"/>
  <c r="P21" i="10" s="1"/>
  <c r="S21" i="10" s="1"/>
  <c r="M21" i="10" s="1"/>
  <c r="N21" i="10" s="1"/>
  <c r="BK21" i="10"/>
  <c r="DH24" i="10"/>
  <c r="BI24" i="10" s="1"/>
  <c r="BL21" i="10"/>
  <c r="L30" i="10"/>
  <c r="BS30" i="10"/>
  <c r="BW30" i="10" s="1"/>
  <c r="BX30" i="10" s="1"/>
  <c r="R27" i="10"/>
  <c r="P27" i="10" s="1"/>
  <c r="S27" i="10" s="1"/>
  <c r="M27" i="10" s="1"/>
  <c r="N27" i="10" s="1"/>
  <c r="BS27" i="10"/>
  <c r="BW27" i="10" s="1"/>
  <c r="BX27" i="10" s="1"/>
  <c r="BR27" i="10"/>
  <c r="O20" i="10"/>
  <c r="AU20" i="10"/>
  <c r="L20" i="10"/>
  <c r="R29" i="10"/>
  <c r="P29" i="10" s="1"/>
  <c r="S29" i="10" s="1"/>
  <c r="M29" i="10" s="1"/>
  <c r="N29" i="10" s="1"/>
  <c r="AB29" i="10"/>
  <c r="BT29" i="10"/>
  <c r="BR29" i="10"/>
  <c r="BS29" i="10"/>
  <c r="BW29" i="10" s="1"/>
  <c r="BX29" i="10" s="1"/>
  <c r="BL27" i="10"/>
  <c r="AC21" i="10"/>
  <c r="AE21" i="10" s="1"/>
  <c r="BT27" i="10"/>
  <c r="U29" i="10"/>
  <c r="V29" i="10" s="1"/>
  <c r="BR26" i="10"/>
  <c r="BS26" i="10"/>
  <c r="BW26" i="10" s="1"/>
  <c r="BX26" i="10" s="1"/>
  <c r="BT26" i="10"/>
  <c r="U31" i="10"/>
  <c r="V31" i="10" s="1"/>
  <c r="BK19" i="10"/>
  <c r="BR28" i="10"/>
  <c r="BT28" i="10"/>
  <c r="BS28" i="10"/>
  <c r="BW28" i="10" s="1"/>
  <c r="BX28" i="10" s="1"/>
  <c r="BL18" i="10"/>
  <c r="BL19" i="10"/>
  <c r="L26" i="10"/>
  <c r="BK28" i="10"/>
  <c r="BK23" i="10"/>
  <c r="T26" i="10"/>
  <c r="BT30" i="10"/>
  <c r="BK26" i="10"/>
  <c r="AU18" i="10"/>
  <c r="BK24" i="10"/>
  <c r="U25" i="10"/>
  <c r="V25" i="10" s="1"/>
  <c r="R25" i="10" s="1"/>
  <c r="P25" i="10" s="1"/>
  <c r="S25" i="10" s="1"/>
  <c r="M25" i="10" s="1"/>
  <c r="N25" i="10" s="1"/>
  <c r="BK20" i="10"/>
  <c r="BS24" i="10"/>
  <c r="BW24" i="10" s="1"/>
  <c r="BX24" i="10" s="1"/>
  <c r="O18" i="10"/>
  <c r="BK18" i="10"/>
  <c r="U19" i="10"/>
  <c r="V19" i="10" s="1"/>
  <c r="BS22" i="10"/>
  <c r="BW22" i="10" s="1"/>
  <c r="BX22" i="10" s="1"/>
  <c r="BT24" i="10"/>
  <c r="T30" i="10"/>
  <c r="BS20" i="10"/>
  <c r="BW20" i="10" s="1"/>
  <c r="BX20" i="10" s="1"/>
  <c r="BT22" i="10"/>
  <c r="DH30" i="10"/>
  <c r="BI30" i="10" s="1"/>
  <c r="BL30" i="10" s="1"/>
  <c r="BK22" i="10"/>
  <c r="U23" i="10"/>
  <c r="V23" i="10" s="1"/>
  <c r="R23" i="10" s="1"/>
  <c r="P23" i="10" s="1"/>
  <c r="S23" i="10" s="1"/>
  <c r="M23" i="10" s="1"/>
  <c r="N23" i="10" s="1"/>
  <c r="BS18" i="10"/>
  <c r="BW18" i="10" s="1"/>
  <c r="BX18" i="10" s="1"/>
  <c r="BT20" i="10"/>
  <c r="AB17" i="9"/>
  <c r="AB20" i="9"/>
  <c r="BT21" i="9"/>
  <c r="BR21" i="9"/>
  <c r="BS21" i="9"/>
  <c r="BW21" i="9" s="1"/>
  <c r="BX21" i="9" s="1"/>
  <c r="U23" i="9"/>
  <c r="V23" i="9" s="1"/>
  <c r="AU18" i="9"/>
  <c r="O18" i="9"/>
  <c r="L18" i="9"/>
  <c r="BR18" i="9"/>
  <c r="BS18" i="9"/>
  <c r="BW18" i="9" s="1"/>
  <c r="BX18" i="9" s="1"/>
  <c r="BT18" i="9"/>
  <c r="R21" i="9"/>
  <c r="P21" i="9" s="1"/>
  <c r="S21" i="9" s="1"/>
  <c r="M21" i="9" s="1"/>
  <c r="N21" i="9" s="1"/>
  <c r="AB21" i="9"/>
  <c r="BL21" i="9"/>
  <c r="AU22" i="9"/>
  <c r="O22" i="9"/>
  <c r="AF22" i="9"/>
  <c r="K22" i="9" s="1"/>
  <c r="BJ22" i="9" s="1"/>
  <c r="BL22" i="9" s="1"/>
  <c r="AG22" i="9"/>
  <c r="J22" i="9" s="1"/>
  <c r="I22" i="9" s="1"/>
  <c r="BR22" i="9"/>
  <c r="BT22" i="9"/>
  <c r="BS22" i="9"/>
  <c r="BW22" i="9" s="1"/>
  <c r="BX22" i="9" s="1"/>
  <c r="BL24" i="9"/>
  <c r="R27" i="9"/>
  <c r="P27" i="9" s="1"/>
  <c r="S27" i="9" s="1"/>
  <c r="M27" i="9" s="1"/>
  <c r="N27" i="9" s="1"/>
  <c r="U28" i="9"/>
  <c r="V28" i="9" s="1"/>
  <c r="BK29" i="9"/>
  <c r="U17" i="9"/>
  <c r="V17" i="9" s="1"/>
  <c r="R29" i="9"/>
  <c r="P29" i="9" s="1"/>
  <c r="S29" i="9" s="1"/>
  <c r="M29" i="9" s="1"/>
  <c r="N29" i="9" s="1"/>
  <c r="R25" i="9"/>
  <c r="P25" i="9" s="1"/>
  <c r="S25" i="9" s="1"/>
  <c r="M25" i="9" s="1"/>
  <c r="N25" i="9" s="1"/>
  <c r="AB25" i="9"/>
  <c r="R24" i="9"/>
  <c r="P24" i="9" s="1"/>
  <c r="S24" i="9" s="1"/>
  <c r="M24" i="9" s="1"/>
  <c r="N24" i="9" s="1"/>
  <c r="R23" i="9"/>
  <c r="P23" i="9" s="1"/>
  <c r="S23" i="9" s="1"/>
  <c r="M23" i="9" s="1"/>
  <c r="N23" i="9" s="1"/>
  <c r="AB23" i="9"/>
  <c r="U26" i="9"/>
  <c r="V26" i="9" s="1"/>
  <c r="R26" i="9" s="1"/>
  <c r="P26" i="9" s="1"/>
  <c r="S26" i="9" s="1"/>
  <c r="M26" i="9" s="1"/>
  <c r="N26" i="9" s="1"/>
  <c r="BS31" i="9"/>
  <c r="BW31" i="9" s="1"/>
  <c r="BX31" i="9" s="1"/>
  <c r="BT31" i="9"/>
  <c r="BR31" i="9"/>
  <c r="AU20" i="9"/>
  <c r="O20" i="9"/>
  <c r="BT23" i="9"/>
  <c r="BS23" i="9"/>
  <c r="BW23" i="9" s="1"/>
  <c r="BX23" i="9" s="1"/>
  <c r="R31" i="9"/>
  <c r="P31" i="9" s="1"/>
  <c r="S31" i="9" s="1"/>
  <c r="M31" i="9" s="1"/>
  <c r="N31" i="9" s="1"/>
  <c r="AB31" i="9"/>
  <c r="AD29" i="9"/>
  <c r="AE29" i="9" s="1"/>
  <c r="BL23" i="9"/>
  <c r="BL29" i="9"/>
  <c r="AF18" i="9"/>
  <c r="K18" i="9" s="1"/>
  <c r="BJ18" i="9" s="1"/>
  <c r="BL18" i="9" s="1"/>
  <c r="BT19" i="9"/>
  <c r="BS19" i="9"/>
  <c r="BW19" i="9" s="1"/>
  <c r="BX19" i="9" s="1"/>
  <c r="BR19" i="9"/>
  <c r="U21" i="9"/>
  <c r="V21" i="9" s="1"/>
  <c r="U24" i="9"/>
  <c r="V24" i="9" s="1"/>
  <c r="AB28" i="9"/>
  <c r="R19" i="9"/>
  <c r="P19" i="9" s="1"/>
  <c r="S19" i="9" s="1"/>
  <c r="M19" i="9" s="1"/>
  <c r="N19" i="9" s="1"/>
  <c r="AB19" i="9"/>
  <c r="U30" i="9"/>
  <c r="V30" i="9" s="1"/>
  <c r="BR20" i="9"/>
  <c r="BT20" i="9"/>
  <c r="BS20" i="9"/>
  <c r="BW20" i="9" s="1"/>
  <c r="BX20" i="9" s="1"/>
  <c r="BL25" i="9"/>
  <c r="U27" i="9"/>
  <c r="V27" i="9" s="1"/>
  <c r="AC29" i="9"/>
  <c r="AB26" i="9"/>
  <c r="BK28" i="9"/>
  <c r="U22" i="9"/>
  <c r="V22" i="9" s="1"/>
  <c r="AG18" i="9"/>
  <c r="J18" i="9" s="1"/>
  <c r="I18" i="9" s="1"/>
  <c r="U19" i="9"/>
  <c r="V19" i="9" s="1"/>
  <c r="BR23" i="9"/>
  <c r="U25" i="9"/>
  <c r="V25" i="9" s="1"/>
  <c r="AU30" i="9"/>
  <c r="O30" i="9"/>
  <c r="AG30" i="9"/>
  <c r="J30" i="9" s="1"/>
  <c r="I30" i="9" s="1"/>
  <c r="U20" i="9"/>
  <c r="V20" i="9" s="1"/>
  <c r="AU28" i="9"/>
  <c r="O28" i="9"/>
  <c r="BT30" i="9"/>
  <c r="L30" i="9"/>
  <c r="U31" i="9"/>
  <c r="V31" i="9" s="1"/>
  <c r="AU26" i="9"/>
  <c r="O26" i="9"/>
  <c r="BR17" i="9"/>
  <c r="L26" i="9"/>
  <c r="L28" i="9"/>
  <c r="BS30" i="9"/>
  <c r="BW30" i="9" s="1"/>
  <c r="BX30" i="9" s="1"/>
  <c r="BS17" i="9"/>
  <c r="BW17" i="9" s="1"/>
  <c r="BX17" i="9" s="1"/>
  <c r="AU24" i="9"/>
  <c r="O24" i="9"/>
  <c r="BR29" i="9"/>
  <c r="L24" i="9"/>
  <c r="BS28" i="9"/>
  <c r="BW28" i="9" s="1"/>
  <c r="BX28" i="9" s="1"/>
  <c r="AB22" i="7"/>
  <c r="O24" i="7"/>
  <c r="AG24" i="7"/>
  <c r="J24" i="7" s="1"/>
  <c r="I24" i="7" s="1"/>
  <c r="AF24" i="7"/>
  <c r="K24" i="7" s="1"/>
  <c r="BJ24" i="7" s="1"/>
  <c r="BL24" i="7" s="1"/>
  <c r="AU24" i="7"/>
  <c r="L24" i="7"/>
  <c r="AB20" i="7"/>
  <c r="R20" i="7"/>
  <c r="P20" i="7" s="1"/>
  <c r="S20" i="7" s="1"/>
  <c r="M20" i="7" s="1"/>
  <c r="N20" i="7" s="1"/>
  <c r="AB26" i="7"/>
  <c r="R26" i="7"/>
  <c r="P26" i="7" s="1"/>
  <c r="S26" i="7" s="1"/>
  <c r="M26" i="7" s="1"/>
  <c r="N26" i="7" s="1"/>
  <c r="AB28" i="7"/>
  <c r="R28" i="7"/>
  <c r="P28" i="7" s="1"/>
  <c r="S28" i="7" s="1"/>
  <c r="U20" i="7"/>
  <c r="V20" i="7" s="1"/>
  <c r="BR27" i="7"/>
  <c r="BT27" i="7"/>
  <c r="BS27" i="7"/>
  <c r="BW27" i="7" s="1"/>
  <c r="BX27" i="7" s="1"/>
  <c r="DH20" i="7"/>
  <c r="BI20" i="7" s="1"/>
  <c r="BL20" i="7" s="1"/>
  <c r="AC17" i="7"/>
  <c r="W17" i="7"/>
  <c r="AA17" i="7" s="1"/>
  <c r="AB18" i="7"/>
  <c r="R27" i="7"/>
  <c r="P27" i="7" s="1"/>
  <c r="S27" i="7" s="1"/>
  <c r="M27" i="7" s="1"/>
  <c r="N27" i="7" s="1"/>
  <c r="AB27" i="7"/>
  <c r="AC23" i="7"/>
  <c r="W23" i="7"/>
  <c r="AA23" i="7" s="1"/>
  <c r="U29" i="7"/>
  <c r="V29" i="7" s="1"/>
  <c r="U18" i="7"/>
  <c r="V18" i="7" s="1"/>
  <c r="R18" i="7" s="1"/>
  <c r="P18" i="7" s="1"/>
  <c r="S18" i="7" s="1"/>
  <c r="M18" i="7" s="1"/>
  <c r="N18" i="7" s="1"/>
  <c r="AD17" i="7"/>
  <c r="AU22" i="7"/>
  <c r="AU28" i="7"/>
  <c r="U24" i="7"/>
  <c r="V24" i="7" s="1"/>
  <c r="BR28" i="7"/>
  <c r="BS28" i="7"/>
  <c r="BW28" i="7" s="1"/>
  <c r="BX28" i="7" s="1"/>
  <c r="BT28" i="7"/>
  <c r="L30" i="7"/>
  <c r="R25" i="7"/>
  <c r="P25" i="7" s="1"/>
  <c r="S25" i="7" s="1"/>
  <c r="M25" i="7" s="1"/>
  <c r="N25" i="7" s="1"/>
  <c r="AB25" i="7"/>
  <c r="BL25" i="7"/>
  <c r="U27" i="7"/>
  <c r="V27" i="7" s="1"/>
  <c r="O30" i="7"/>
  <c r="BL31" i="7"/>
  <c r="O20" i="7"/>
  <c r="AU20" i="7"/>
  <c r="L20" i="7"/>
  <c r="AU26" i="7"/>
  <c r="L28" i="7"/>
  <c r="BT17" i="7"/>
  <c r="BS17" i="7"/>
  <c r="BW17" i="7" s="1"/>
  <c r="BX17" i="7" s="1"/>
  <c r="BR17" i="7"/>
  <c r="BT23" i="7"/>
  <c r="BS23" i="7"/>
  <c r="BW23" i="7" s="1"/>
  <c r="BX23" i="7" s="1"/>
  <c r="BR23" i="7"/>
  <c r="BR26" i="7"/>
  <c r="BT26" i="7"/>
  <c r="BS26" i="7"/>
  <c r="BW26" i="7" s="1"/>
  <c r="BX26" i="7" s="1"/>
  <c r="BK17" i="7"/>
  <c r="BK23" i="7"/>
  <c r="R17" i="7"/>
  <c r="P17" i="7" s="1"/>
  <c r="S17" i="7" s="1"/>
  <c r="M17" i="7" s="1"/>
  <c r="N17" i="7" s="1"/>
  <c r="AB17" i="7"/>
  <c r="AC28" i="7"/>
  <c r="AB29" i="7"/>
  <c r="AU18" i="7"/>
  <c r="O18" i="7"/>
  <c r="R23" i="7"/>
  <c r="P23" i="7" s="1"/>
  <c r="S23" i="7" s="1"/>
  <c r="M23" i="7" s="1"/>
  <c r="N23" i="7" s="1"/>
  <c r="AB23" i="7"/>
  <c r="BL29" i="7"/>
  <c r="AG30" i="7"/>
  <c r="J30" i="7" s="1"/>
  <c r="I30" i="7" s="1"/>
  <c r="BT21" i="7"/>
  <c r="BS21" i="7"/>
  <c r="BW21" i="7" s="1"/>
  <c r="BX21" i="7" s="1"/>
  <c r="BR21" i="7"/>
  <c r="U26" i="7"/>
  <c r="V26" i="7" s="1"/>
  <c r="AU30" i="7"/>
  <c r="AC26" i="7"/>
  <c r="BL27" i="7"/>
  <c r="AB21" i="7"/>
  <c r="BR30" i="7"/>
  <c r="BT30" i="7"/>
  <c r="BS30" i="7"/>
  <c r="BW30" i="7" s="1"/>
  <c r="BX30" i="7" s="1"/>
  <c r="DH18" i="7"/>
  <c r="BI18" i="7" s="1"/>
  <c r="BL18" i="7" s="1"/>
  <c r="BS25" i="7"/>
  <c r="BW25" i="7" s="1"/>
  <c r="BX25" i="7" s="1"/>
  <c r="BT25" i="7"/>
  <c r="BR25" i="7"/>
  <c r="AD23" i="7"/>
  <c r="AE23" i="7" s="1"/>
  <c r="BS19" i="7"/>
  <c r="BW19" i="7" s="1"/>
  <c r="BX19" i="7" s="1"/>
  <c r="BR19" i="7"/>
  <c r="AC24" i="7"/>
  <c r="BR31" i="7"/>
  <c r="BT31" i="7"/>
  <c r="BS31" i="7"/>
  <c r="BW31" i="7" s="1"/>
  <c r="BX31" i="7" s="1"/>
  <c r="R19" i="7"/>
  <c r="P19" i="7" s="1"/>
  <c r="S19" i="7" s="1"/>
  <c r="M19" i="7" s="1"/>
  <c r="N19" i="7" s="1"/>
  <c r="AB31" i="7"/>
  <c r="BT19" i="7"/>
  <c r="L22" i="7"/>
  <c r="BS29" i="7"/>
  <c r="BW29" i="7" s="1"/>
  <c r="BX29" i="7" s="1"/>
  <c r="BT29" i="7"/>
  <c r="BR29" i="7"/>
  <c r="U22" i="7"/>
  <c r="V22" i="7" s="1"/>
  <c r="BL23" i="7"/>
  <c r="BL17" i="7"/>
  <c r="U31" i="7"/>
  <c r="V31" i="7" s="1"/>
  <c r="BK22" i="7"/>
  <c r="BK20" i="7"/>
  <c r="U21" i="7"/>
  <c r="V21" i="7" s="1"/>
  <c r="BS24" i="7"/>
  <c r="BW24" i="7" s="1"/>
  <c r="BX24" i="7" s="1"/>
  <c r="U19" i="7"/>
  <c r="V19" i="7" s="1"/>
  <c r="BS22" i="7"/>
  <c r="BW22" i="7" s="1"/>
  <c r="BX22" i="7" s="1"/>
  <c r="BT24" i="7"/>
  <c r="U28" i="7"/>
  <c r="V28" i="7" s="1"/>
  <c r="BS20" i="7"/>
  <c r="BW20" i="7" s="1"/>
  <c r="BX20" i="7" s="1"/>
  <c r="BS18" i="7"/>
  <c r="BW18" i="7" s="1"/>
  <c r="BX18" i="7" s="1"/>
  <c r="BK26" i="7"/>
  <c r="BK24" i="7"/>
  <c r="U25" i="7"/>
  <c r="V25" i="7" s="1"/>
  <c r="BT22" i="7"/>
  <c r="BT20" i="7"/>
  <c r="BT18" i="7"/>
  <c r="AB23" i="6"/>
  <c r="AB21" i="6"/>
  <c r="AD18" i="6"/>
  <c r="AE18" i="6" s="1"/>
  <c r="AC18" i="6"/>
  <c r="R18" i="6"/>
  <c r="P18" i="6" s="1"/>
  <c r="S18" i="6" s="1"/>
  <c r="M18" i="6" s="1"/>
  <c r="N18" i="6" s="1"/>
  <c r="W18" i="6"/>
  <c r="AA18" i="6" s="1"/>
  <c r="BL25" i="6"/>
  <c r="AB30" i="6"/>
  <c r="R30" i="6"/>
  <c r="P30" i="6" s="1"/>
  <c r="S30" i="6" s="1"/>
  <c r="M30" i="6" s="1"/>
  <c r="N30" i="6" s="1"/>
  <c r="U28" i="6"/>
  <c r="V28" i="6" s="1"/>
  <c r="BR30" i="6"/>
  <c r="BT30" i="6"/>
  <c r="BS30" i="6"/>
  <c r="BW30" i="6" s="1"/>
  <c r="BX30" i="6" s="1"/>
  <c r="AB22" i="6"/>
  <c r="R25" i="6"/>
  <c r="P25" i="6" s="1"/>
  <c r="S25" i="6" s="1"/>
  <c r="M25" i="6" s="1"/>
  <c r="N25" i="6" s="1"/>
  <c r="AB25" i="6"/>
  <c r="BR24" i="6"/>
  <c r="BT24" i="6"/>
  <c r="BS24" i="6"/>
  <c r="BW24" i="6" s="1"/>
  <c r="BX24" i="6" s="1"/>
  <c r="U29" i="6"/>
  <c r="V29" i="6" s="1"/>
  <c r="BR22" i="6"/>
  <c r="BT22" i="6"/>
  <c r="BS22" i="6"/>
  <c r="BW22" i="6" s="1"/>
  <c r="BX22" i="6" s="1"/>
  <c r="AU31" i="6"/>
  <c r="AF31" i="6"/>
  <c r="K31" i="6" s="1"/>
  <c r="BJ31" i="6" s="1"/>
  <c r="BL31" i="6" s="1"/>
  <c r="AG31" i="6"/>
  <c r="J31" i="6" s="1"/>
  <c r="I31" i="6" s="1"/>
  <c r="AB28" i="6"/>
  <c r="R28" i="6"/>
  <c r="P28" i="6" s="1"/>
  <c r="S28" i="6" s="1"/>
  <c r="M28" i="6" s="1"/>
  <c r="N28" i="6" s="1"/>
  <c r="BS31" i="6"/>
  <c r="BW31" i="6" s="1"/>
  <c r="BX31" i="6" s="1"/>
  <c r="BR31" i="6"/>
  <c r="BT31" i="6"/>
  <c r="BR28" i="6"/>
  <c r="BT28" i="6"/>
  <c r="BS28" i="6"/>
  <c r="BW28" i="6" s="1"/>
  <c r="BX28" i="6" s="1"/>
  <c r="U21" i="6"/>
  <c r="V21" i="6" s="1"/>
  <c r="BS23" i="6"/>
  <c r="BW23" i="6" s="1"/>
  <c r="BX23" i="6" s="1"/>
  <c r="BT23" i="6"/>
  <c r="BR23" i="6"/>
  <c r="AB20" i="6"/>
  <c r="BS25" i="6"/>
  <c r="BW25" i="6" s="1"/>
  <c r="BX25" i="6" s="1"/>
  <c r="BT25" i="6"/>
  <c r="AU24" i="6"/>
  <c r="AF24" i="6"/>
  <c r="K24" i="6" s="1"/>
  <c r="BJ24" i="6" s="1"/>
  <c r="BL24" i="6" s="1"/>
  <c r="AG24" i="6"/>
  <c r="J24" i="6" s="1"/>
  <c r="I24" i="6" s="1"/>
  <c r="AB27" i="6"/>
  <c r="T27" i="6"/>
  <c r="DH27" i="6"/>
  <c r="BI27" i="6" s="1"/>
  <c r="BK27" i="6" s="1"/>
  <c r="O31" i="6"/>
  <c r="AU30" i="6"/>
  <c r="O30" i="6"/>
  <c r="AF30" i="6"/>
  <c r="K30" i="6" s="1"/>
  <c r="BJ30" i="6" s="1"/>
  <c r="BL30" i="6" s="1"/>
  <c r="AB29" i="6"/>
  <c r="T19" i="6"/>
  <c r="DH19" i="6"/>
  <c r="BI19" i="6" s="1"/>
  <c r="BK19" i="6" s="1"/>
  <c r="AU21" i="6"/>
  <c r="L21" i="6"/>
  <c r="O21" i="6"/>
  <c r="BR26" i="6"/>
  <c r="BT26" i="6"/>
  <c r="BS26" i="6"/>
  <c r="BW26" i="6" s="1"/>
  <c r="BX26" i="6" s="1"/>
  <c r="AU22" i="6"/>
  <c r="O22" i="6"/>
  <c r="T20" i="6"/>
  <c r="DH29" i="6"/>
  <c r="BI29" i="6" s="1"/>
  <c r="BK29" i="6" s="1"/>
  <c r="BR18" i="6"/>
  <c r="BT18" i="6"/>
  <c r="BS18" i="6"/>
  <c r="BW18" i="6" s="1"/>
  <c r="BX18" i="6" s="1"/>
  <c r="U26" i="6"/>
  <c r="V26" i="6" s="1"/>
  <c r="L30" i="6"/>
  <c r="BL20" i="6"/>
  <c r="DH21" i="6"/>
  <c r="BI21" i="6" s="1"/>
  <c r="BK21" i="6" s="1"/>
  <c r="U22" i="6"/>
  <c r="V22" i="6" s="1"/>
  <c r="R22" i="6" s="1"/>
  <c r="P22" i="6" s="1"/>
  <c r="S22" i="6" s="1"/>
  <c r="M22" i="6" s="1"/>
  <c r="N22" i="6" s="1"/>
  <c r="L31" i="6"/>
  <c r="AU29" i="6"/>
  <c r="O29" i="6"/>
  <c r="BR20" i="6"/>
  <c r="BT20" i="6"/>
  <c r="BS20" i="6"/>
  <c r="BW20" i="6" s="1"/>
  <c r="BX20" i="6" s="1"/>
  <c r="L23" i="6"/>
  <c r="AU28" i="6"/>
  <c r="O28" i="6"/>
  <c r="L20" i="6"/>
  <c r="U25" i="6"/>
  <c r="V25" i="6" s="1"/>
  <c r="AU26" i="6"/>
  <c r="O26" i="6"/>
  <c r="BR29" i="6"/>
  <c r="O20" i="6"/>
  <c r="L17" i="6"/>
  <c r="BR21" i="6"/>
  <c r="O27" i="6"/>
  <c r="DH31" i="6"/>
  <c r="BI31" i="6" s="1"/>
  <c r="BK31" i="6" s="1"/>
  <c r="O19" i="6"/>
  <c r="BS21" i="6"/>
  <c r="BW21" i="6" s="1"/>
  <c r="BX21" i="6" s="1"/>
  <c r="L26" i="6"/>
  <c r="U17" i="6"/>
  <c r="V17" i="6" s="1"/>
  <c r="L28" i="6"/>
  <c r="DH17" i="6"/>
  <c r="BI17" i="6" s="1"/>
  <c r="BK17" i="6" s="1"/>
  <c r="U30" i="6"/>
  <c r="V30" i="6" s="1"/>
  <c r="L27" i="6"/>
  <c r="L19" i="6"/>
  <c r="DH25" i="6"/>
  <c r="BI25" i="6" s="1"/>
  <c r="BK25" i="6" s="1"/>
  <c r="BS29" i="6"/>
  <c r="BW29" i="6" s="1"/>
  <c r="BX29" i="6" s="1"/>
  <c r="L18" i="6"/>
  <c r="U23" i="6"/>
  <c r="V23" i="6" s="1"/>
  <c r="AU24" i="5"/>
  <c r="AF24" i="5"/>
  <c r="K24" i="5" s="1"/>
  <c r="BJ24" i="5" s="1"/>
  <c r="BL24" i="5" s="1"/>
  <c r="AG24" i="5"/>
  <c r="J24" i="5" s="1"/>
  <c r="I24" i="5" s="1"/>
  <c r="O24" i="5"/>
  <c r="L24" i="5"/>
  <c r="AB20" i="5"/>
  <c r="AD25" i="5"/>
  <c r="AE25" i="5" s="1"/>
  <c r="AC25" i="5"/>
  <c r="W25" i="5"/>
  <c r="AA25" i="5" s="1"/>
  <c r="AB30" i="5"/>
  <c r="AB26" i="5"/>
  <c r="R26" i="5"/>
  <c r="P26" i="5" s="1"/>
  <c r="S26" i="5" s="1"/>
  <c r="M26" i="5" s="1"/>
  <c r="N26" i="5" s="1"/>
  <c r="R19" i="5"/>
  <c r="P19" i="5" s="1"/>
  <c r="S19" i="5" s="1"/>
  <c r="M19" i="5" s="1"/>
  <c r="N19" i="5" s="1"/>
  <c r="AB19" i="5"/>
  <c r="BS31" i="5"/>
  <c r="BW31" i="5" s="1"/>
  <c r="BX31" i="5" s="1"/>
  <c r="BT31" i="5"/>
  <c r="BR31" i="5"/>
  <c r="AB28" i="5"/>
  <c r="AB18" i="5"/>
  <c r="U23" i="5"/>
  <c r="V23" i="5" s="1"/>
  <c r="BR24" i="5"/>
  <c r="BT24" i="5"/>
  <c r="BS24" i="5"/>
  <c r="BW24" i="5" s="1"/>
  <c r="BX24" i="5" s="1"/>
  <c r="AU22" i="5"/>
  <c r="BS17" i="5"/>
  <c r="BW17" i="5" s="1"/>
  <c r="BX17" i="5" s="1"/>
  <c r="BT17" i="5"/>
  <c r="AU20" i="5"/>
  <c r="AC28" i="5"/>
  <c r="AC30" i="5"/>
  <c r="L22" i="5"/>
  <c r="BT25" i="5"/>
  <c r="BR25" i="5"/>
  <c r="BS25" i="5"/>
  <c r="BW25" i="5" s="1"/>
  <c r="BX25" i="5" s="1"/>
  <c r="AB31" i="5"/>
  <c r="R25" i="5"/>
  <c r="P25" i="5" s="1"/>
  <c r="S25" i="5" s="1"/>
  <c r="M25" i="5" s="1"/>
  <c r="N25" i="5" s="1"/>
  <c r="AB25" i="5"/>
  <c r="BL25" i="5"/>
  <c r="U20" i="5"/>
  <c r="V20" i="5" s="1"/>
  <c r="BR23" i="5"/>
  <c r="BT23" i="5"/>
  <c r="BS23" i="5"/>
  <c r="BW23" i="5" s="1"/>
  <c r="BX23" i="5" s="1"/>
  <c r="DH20" i="5"/>
  <c r="BI20" i="5" s="1"/>
  <c r="U29" i="5"/>
  <c r="V29" i="5" s="1"/>
  <c r="BK21" i="5"/>
  <c r="U31" i="5"/>
  <c r="V31" i="5" s="1"/>
  <c r="BL21" i="5"/>
  <c r="AF22" i="5"/>
  <c r="K22" i="5" s="1"/>
  <c r="BJ22" i="5" s="1"/>
  <c r="BL22" i="5" s="1"/>
  <c r="BK19" i="5"/>
  <c r="AG22" i="5"/>
  <c r="J22" i="5" s="1"/>
  <c r="I22" i="5" s="1"/>
  <c r="BR26" i="5"/>
  <c r="BS26" i="5"/>
  <c r="BW26" i="5" s="1"/>
  <c r="BX26" i="5" s="1"/>
  <c r="BT26" i="5"/>
  <c r="BK28" i="5"/>
  <c r="BR22" i="5"/>
  <c r="BS22" i="5"/>
  <c r="BW22" i="5" s="1"/>
  <c r="BX22" i="5" s="1"/>
  <c r="BT22" i="5"/>
  <c r="U26" i="5"/>
  <c r="V26" i="5" s="1"/>
  <c r="BT27" i="5"/>
  <c r="BS27" i="5"/>
  <c r="BW27" i="5" s="1"/>
  <c r="BX27" i="5" s="1"/>
  <c r="BR27" i="5"/>
  <c r="AU18" i="5"/>
  <c r="AC21" i="5"/>
  <c r="AC26" i="5"/>
  <c r="AB27" i="5"/>
  <c r="R29" i="5"/>
  <c r="P29" i="5" s="1"/>
  <c r="S29" i="5" s="1"/>
  <c r="M29" i="5" s="1"/>
  <c r="N29" i="5" s="1"/>
  <c r="AB29" i="5"/>
  <c r="BR29" i="5"/>
  <c r="BT29" i="5"/>
  <c r="BS29" i="5"/>
  <c r="BW29" i="5" s="1"/>
  <c r="BX29" i="5" s="1"/>
  <c r="AD21" i="5"/>
  <c r="U24" i="5"/>
  <c r="V24" i="5" s="1"/>
  <c r="L20" i="5"/>
  <c r="AB17" i="5"/>
  <c r="U22" i="5"/>
  <c r="V22" i="5" s="1"/>
  <c r="L18" i="5"/>
  <c r="R23" i="5"/>
  <c r="P23" i="5" s="1"/>
  <c r="S23" i="5" s="1"/>
  <c r="M23" i="5" s="1"/>
  <c r="N23" i="5" s="1"/>
  <c r="AB23" i="5"/>
  <c r="U18" i="5"/>
  <c r="V18" i="5" s="1"/>
  <c r="BT21" i="5"/>
  <c r="BS21" i="5"/>
  <c r="BW21" i="5" s="1"/>
  <c r="BX21" i="5" s="1"/>
  <c r="BR21" i="5"/>
  <c r="BL23" i="5"/>
  <c r="U27" i="5"/>
  <c r="V27" i="5" s="1"/>
  <c r="DH18" i="5"/>
  <c r="BI18" i="5" s="1"/>
  <c r="BK18" i="5" s="1"/>
  <c r="R21" i="5"/>
  <c r="P21" i="5" s="1"/>
  <c r="S21" i="5" s="1"/>
  <c r="M21" i="5" s="1"/>
  <c r="N21" i="5" s="1"/>
  <c r="AB21" i="5"/>
  <c r="AU30" i="5"/>
  <c r="BS19" i="5"/>
  <c r="BW19" i="5" s="1"/>
  <c r="BX19" i="5" s="1"/>
  <c r="BR19" i="5"/>
  <c r="BR28" i="5"/>
  <c r="BT28" i="5"/>
  <c r="BL19" i="5"/>
  <c r="AF20" i="5"/>
  <c r="K20" i="5" s="1"/>
  <c r="BJ20" i="5" s="1"/>
  <c r="BK26" i="5"/>
  <c r="BK30" i="5"/>
  <c r="BK20" i="5"/>
  <c r="U30" i="5"/>
  <c r="V30" i="5" s="1"/>
  <c r="R30" i="5" s="1"/>
  <c r="P30" i="5" s="1"/>
  <c r="S30" i="5" s="1"/>
  <c r="M30" i="5" s="1"/>
  <c r="N30" i="5" s="1"/>
  <c r="BS18" i="5"/>
  <c r="BW18" i="5" s="1"/>
  <c r="BX18" i="5" s="1"/>
  <c r="BT20" i="5"/>
  <c r="AE21" i="5"/>
  <c r="BK22" i="5"/>
  <c r="U19" i="5"/>
  <c r="V19" i="5" s="1"/>
  <c r="U28" i="5"/>
  <c r="V28" i="5" s="1"/>
  <c r="U17" i="5"/>
  <c r="V17" i="5" s="1"/>
  <c r="R17" i="5" s="1"/>
  <c r="P17" i="5" s="1"/>
  <c r="S17" i="5" s="1"/>
  <c r="M17" i="5" s="1"/>
  <c r="N17" i="5" s="1"/>
  <c r="BS20" i="5"/>
  <c r="BW20" i="5" s="1"/>
  <c r="BX20" i="5" s="1"/>
  <c r="BT18" i="5"/>
  <c r="AB24" i="3"/>
  <c r="AC25" i="3"/>
  <c r="AD25" i="3"/>
  <c r="W25" i="3"/>
  <c r="AA25" i="3" s="1"/>
  <c r="BT31" i="3"/>
  <c r="BS31" i="3"/>
  <c r="BW31" i="3" s="1"/>
  <c r="BX31" i="3" s="1"/>
  <c r="BR31" i="3"/>
  <c r="AB30" i="3"/>
  <c r="R30" i="3"/>
  <c r="P30" i="3" s="1"/>
  <c r="S30" i="3" s="1"/>
  <c r="BT27" i="3"/>
  <c r="BS27" i="3"/>
  <c r="BW27" i="3" s="1"/>
  <c r="BX27" i="3" s="1"/>
  <c r="BR27" i="3"/>
  <c r="BT23" i="3"/>
  <c r="BR23" i="3"/>
  <c r="BS23" i="3"/>
  <c r="BW23" i="3" s="1"/>
  <c r="BX23" i="3" s="1"/>
  <c r="AC22" i="3"/>
  <c r="AB20" i="3"/>
  <c r="AB26" i="3"/>
  <c r="R26" i="3"/>
  <c r="P26" i="3" s="1"/>
  <c r="S26" i="3" s="1"/>
  <c r="M26" i="3" s="1"/>
  <c r="N26" i="3" s="1"/>
  <c r="AC23" i="3"/>
  <c r="AD23" i="3"/>
  <c r="W23" i="3"/>
  <c r="AA23" i="3" s="1"/>
  <c r="AB22" i="3"/>
  <c r="R22" i="3"/>
  <c r="P22" i="3" s="1"/>
  <c r="S22" i="3" s="1"/>
  <c r="M22" i="3" s="1"/>
  <c r="N22" i="3" s="1"/>
  <c r="AC24" i="3"/>
  <c r="BK25" i="3"/>
  <c r="BT19" i="3"/>
  <c r="BS19" i="3"/>
  <c r="BW19" i="3" s="1"/>
  <c r="BX19" i="3" s="1"/>
  <c r="BR19" i="3"/>
  <c r="BL20" i="3"/>
  <c r="BT17" i="3"/>
  <c r="BS17" i="3"/>
  <c r="BW17" i="3" s="1"/>
  <c r="BX17" i="3" s="1"/>
  <c r="BR17" i="3"/>
  <c r="BT29" i="3"/>
  <c r="BS29" i="3"/>
  <c r="BW29" i="3" s="1"/>
  <c r="BX29" i="3" s="1"/>
  <c r="BR29" i="3"/>
  <c r="BT21" i="3"/>
  <c r="BR21" i="3"/>
  <c r="BS21" i="3"/>
  <c r="BW21" i="3" s="1"/>
  <c r="BX21" i="3" s="1"/>
  <c r="BT25" i="3"/>
  <c r="BS25" i="3"/>
  <c r="BW25" i="3" s="1"/>
  <c r="BX25" i="3" s="1"/>
  <c r="BR25" i="3"/>
  <c r="R23" i="3"/>
  <c r="P23" i="3" s="1"/>
  <c r="S23" i="3" s="1"/>
  <c r="M23" i="3" s="1"/>
  <c r="N23" i="3" s="1"/>
  <c r="DH30" i="3"/>
  <c r="BI30" i="3" s="1"/>
  <c r="BL30" i="3" s="1"/>
  <c r="BK18" i="3"/>
  <c r="L28" i="3"/>
  <c r="DH20" i="3"/>
  <c r="BI20" i="3" s="1"/>
  <c r="BS28" i="3"/>
  <c r="BW28" i="3" s="1"/>
  <c r="BX28" i="3" s="1"/>
  <c r="BT18" i="3"/>
  <c r="BT28" i="3"/>
  <c r="U24" i="3"/>
  <c r="V24" i="3" s="1"/>
  <c r="R24" i="3" s="1"/>
  <c r="P24" i="3" s="1"/>
  <c r="S24" i="3" s="1"/>
  <c r="M24" i="3" s="1"/>
  <c r="N24" i="3" s="1"/>
  <c r="BT22" i="3"/>
  <c r="U18" i="3"/>
  <c r="V18" i="3" s="1"/>
  <c r="R25" i="3"/>
  <c r="P25" i="3" s="1"/>
  <c r="S25" i="3" s="1"/>
  <c r="M25" i="3" s="1"/>
  <c r="N25" i="3" s="1"/>
  <c r="L26" i="3"/>
  <c r="U27" i="3"/>
  <c r="V27" i="3" s="1"/>
  <c r="DH28" i="3"/>
  <c r="BI28" i="3" s="1"/>
  <c r="BK28" i="3" s="1"/>
  <c r="U31" i="3"/>
  <c r="V31" i="3" s="1"/>
  <c r="R31" i="3" s="1"/>
  <c r="P31" i="3" s="1"/>
  <c r="S31" i="3" s="1"/>
  <c r="M31" i="3" s="1"/>
  <c r="N31" i="3" s="1"/>
  <c r="L30" i="3"/>
  <c r="R19" i="3"/>
  <c r="P19" i="3" s="1"/>
  <c r="S19" i="3" s="1"/>
  <c r="M19" i="3" s="1"/>
  <c r="N19" i="3" s="1"/>
  <c r="BK20" i="3"/>
  <c r="AF28" i="3"/>
  <c r="K28" i="3" s="1"/>
  <c r="BJ28" i="3" s="1"/>
  <c r="AG18" i="3"/>
  <c r="J18" i="3" s="1"/>
  <c r="I18" i="3" s="1"/>
  <c r="DH22" i="3"/>
  <c r="BI22" i="3" s="1"/>
  <c r="BL22" i="3" s="1"/>
  <c r="AG28" i="3"/>
  <c r="J28" i="3" s="1"/>
  <c r="I28" i="3" s="1"/>
  <c r="BT30" i="3"/>
  <c r="L18" i="3"/>
  <c r="U19" i="3"/>
  <c r="V19" i="3" s="1"/>
  <c r="AU22" i="3"/>
  <c r="O18" i="3"/>
  <c r="L22" i="3"/>
  <c r="BS22" i="3"/>
  <c r="BW22" i="3" s="1"/>
  <c r="BX22" i="3" s="1"/>
  <c r="BK26" i="3"/>
  <c r="DH18" i="3"/>
  <c r="BI18" i="3" s="1"/>
  <c r="BL18" i="3" s="1"/>
  <c r="AU20" i="3"/>
  <c r="BS26" i="3"/>
  <c r="BW26" i="3" s="1"/>
  <c r="BX26" i="3" s="1"/>
  <c r="BK30" i="3"/>
  <c r="BT26" i="3"/>
  <c r="U22" i="3"/>
  <c r="V22" i="3" s="1"/>
  <c r="BS20" i="3"/>
  <c r="BW20" i="3" s="1"/>
  <c r="BX20" i="3" s="1"/>
  <c r="O30" i="3"/>
  <c r="U26" i="3"/>
  <c r="V26" i="3" s="1"/>
  <c r="AU18" i="3"/>
  <c r="DH26" i="3"/>
  <c r="BI26" i="3" s="1"/>
  <c r="BL26" i="3" s="1"/>
  <c r="AU28" i="3"/>
  <c r="U30" i="3"/>
  <c r="V30" i="3" s="1"/>
  <c r="U20" i="3"/>
  <c r="V20" i="3" s="1"/>
  <c r="R27" i="3"/>
  <c r="P27" i="3" s="1"/>
  <c r="S27" i="3" s="1"/>
  <c r="M27" i="3" s="1"/>
  <c r="N27" i="3" s="1"/>
  <c r="U29" i="3"/>
  <c r="V29" i="3" s="1"/>
  <c r="BS18" i="3"/>
  <c r="BW18" i="3" s="1"/>
  <c r="BX18" i="3" s="1"/>
  <c r="AE23" i="3"/>
  <c r="BK22" i="3"/>
  <c r="DH24" i="3"/>
  <c r="BI24" i="3" s="1"/>
  <c r="BK24" i="3" s="1"/>
  <c r="AU26" i="3"/>
  <c r="U17" i="3"/>
  <c r="V17" i="3" s="1"/>
  <c r="L20" i="3"/>
  <c r="U21" i="3"/>
  <c r="V21" i="3" s="1"/>
  <c r="R21" i="3" s="1"/>
  <c r="P21" i="3" s="1"/>
  <c r="S21" i="3" s="1"/>
  <c r="M21" i="3" s="1"/>
  <c r="N21" i="3" s="1"/>
  <c r="BS30" i="3"/>
  <c r="BW30" i="3" s="1"/>
  <c r="BX30" i="3" s="1"/>
  <c r="BT20" i="3"/>
  <c r="AE25" i="3"/>
  <c r="BT27" i="2"/>
  <c r="BS27" i="2"/>
  <c r="BW27" i="2" s="1"/>
  <c r="BX27" i="2" s="1"/>
  <c r="BR27" i="2"/>
  <c r="BT21" i="2"/>
  <c r="BR21" i="2"/>
  <c r="BS21" i="2"/>
  <c r="BW21" i="2" s="1"/>
  <c r="BX21" i="2" s="1"/>
  <c r="AB28" i="2"/>
  <c r="BT25" i="2"/>
  <c r="BS25" i="2"/>
  <c r="BW25" i="2" s="1"/>
  <c r="BX25" i="2" s="1"/>
  <c r="BR25" i="2"/>
  <c r="AB22" i="2"/>
  <c r="R22" i="2"/>
  <c r="P22" i="2" s="1"/>
  <c r="S22" i="2" s="1"/>
  <c r="M22" i="2" s="1"/>
  <c r="N22" i="2" s="1"/>
  <c r="AC28" i="2"/>
  <c r="AB26" i="2"/>
  <c r="AB30" i="2"/>
  <c r="R30" i="2"/>
  <c r="P30" i="2" s="1"/>
  <c r="S30" i="2" s="1"/>
  <c r="BS23" i="2"/>
  <c r="BW23" i="2" s="1"/>
  <c r="BX23" i="2" s="1"/>
  <c r="BT23" i="2"/>
  <c r="BL28" i="2"/>
  <c r="BR30" i="2"/>
  <c r="BT30" i="2"/>
  <c r="BS30" i="2"/>
  <c r="BW30" i="2" s="1"/>
  <c r="BX30" i="2" s="1"/>
  <c r="BR31" i="2"/>
  <c r="BK28" i="2"/>
  <c r="BT31" i="2"/>
  <c r="BR20" i="2"/>
  <c r="BT20" i="2"/>
  <c r="DH30" i="2"/>
  <c r="BI30" i="2" s="1"/>
  <c r="BK30" i="2" s="1"/>
  <c r="AU24" i="2"/>
  <c r="L24" i="2"/>
  <c r="AG24" i="2"/>
  <c r="J24" i="2" s="1"/>
  <c r="I24" i="2" s="1"/>
  <c r="BL22" i="2"/>
  <c r="BK24" i="2"/>
  <c r="AU31" i="2"/>
  <c r="O31" i="2"/>
  <c r="AF31" i="2"/>
  <c r="K31" i="2" s="1"/>
  <c r="BJ31" i="2" s="1"/>
  <c r="BL31" i="2" s="1"/>
  <c r="L31" i="2"/>
  <c r="AG31" i="2"/>
  <c r="J31" i="2" s="1"/>
  <c r="I31" i="2" s="1"/>
  <c r="AU25" i="2"/>
  <c r="O25" i="2"/>
  <c r="AG25" i="2"/>
  <c r="J25" i="2" s="1"/>
  <c r="I25" i="2" s="1"/>
  <c r="AF25" i="2"/>
  <c r="K25" i="2" s="1"/>
  <c r="BJ25" i="2" s="1"/>
  <c r="BL25" i="2" s="1"/>
  <c r="L25" i="2"/>
  <c r="U26" i="2"/>
  <c r="V26" i="2" s="1"/>
  <c r="BT19" i="2"/>
  <c r="BS19" i="2"/>
  <c r="BW19" i="2" s="1"/>
  <c r="BX19" i="2" s="1"/>
  <c r="BR19" i="2"/>
  <c r="BK22" i="2"/>
  <c r="U24" i="2"/>
  <c r="V24" i="2" s="1"/>
  <c r="L20" i="2"/>
  <c r="AG20" i="2"/>
  <c r="J20" i="2" s="1"/>
  <c r="I20" i="2" s="1"/>
  <c r="AF20" i="2"/>
  <c r="K20" i="2" s="1"/>
  <c r="BJ20" i="2" s="1"/>
  <c r="BL20" i="2" s="1"/>
  <c r="DH24" i="2"/>
  <c r="BI24" i="2" s="1"/>
  <c r="BL24" i="2" s="1"/>
  <c r="U30" i="2"/>
  <c r="V30" i="2" s="1"/>
  <c r="AF26" i="2"/>
  <c r="K26" i="2" s="1"/>
  <c r="BJ26" i="2" s="1"/>
  <c r="BL26" i="2" s="1"/>
  <c r="O26" i="2"/>
  <c r="BS17" i="2"/>
  <c r="BW17" i="2" s="1"/>
  <c r="BX17" i="2" s="1"/>
  <c r="AG18" i="2"/>
  <c r="J18" i="2" s="1"/>
  <c r="I18" i="2" s="1"/>
  <c r="AF18" i="2"/>
  <c r="K18" i="2" s="1"/>
  <c r="BJ18" i="2" s="1"/>
  <c r="BL18" i="2" s="1"/>
  <c r="BK20" i="2"/>
  <c r="AU26" i="2"/>
  <c r="BT17" i="2"/>
  <c r="AU18" i="2"/>
  <c r="AC22" i="2"/>
  <c r="BR26" i="2"/>
  <c r="BT26" i="2"/>
  <c r="BS26" i="2"/>
  <c r="BW26" i="2" s="1"/>
  <c r="BX26" i="2" s="1"/>
  <c r="U22" i="2"/>
  <c r="V22" i="2" s="1"/>
  <c r="DH20" i="2"/>
  <c r="BI20" i="2" s="1"/>
  <c r="U28" i="2"/>
  <c r="V28" i="2" s="1"/>
  <c r="R28" i="2" s="1"/>
  <c r="P28" i="2" s="1"/>
  <c r="S28" i="2" s="1"/>
  <c r="M28" i="2" s="1"/>
  <c r="N28" i="2" s="1"/>
  <c r="BS29" i="2"/>
  <c r="BW29" i="2" s="1"/>
  <c r="BX29" i="2" s="1"/>
  <c r="BR24" i="2"/>
  <c r="BT24" i="2"/>
  <c r="BS24" i="2"/>
  <c r="BW24" i="2" s="1"/>
  <c r="BX24" i="2" s="1"/>
  <c r="BT29" i="2"/>
  <c r="AU17" i="2"/>
  <c r="O17" i="2"/>
  <c r="AF17" i="2"/>
  <c r="K17" i="2" s="1"/>
  <c r="BJ17" i="2" s="1"/>
  <c r="BL17" i="2" s="1"/>
  <c r="L17" i="2"/>
  <c r="AG17" i="2"/>
  <c r="J17" i="2" s="1"/>
  <c r="I17" i="2" s="1"/>
  <c r="U17" i="2" s="1"/>
  <c r="V17" i="2" s="1"/>
  <c r="BR18" i="2"/>
  <c r="BT18" i="2"/>
  <c r="BS18" i="2"/>
  <c r="BW18" i="2" s="1"/>
  <c r="BX18" i="2" s="1"/>
  <c r="BS20" i="2"/>
  <c r="BW20" i="2" s="1"/>
  <c r="BX20" i="2" s="1"/>
  <c r="BK23" i="2"/>
  <c r="BK26" i="2"/>
  <c r="AU29" i="2"/>
  <c r="O29" i="2"/>
  <c r="L29" i="2"/>
  <c r="AG29" i="2"/>
  <c r="J29" i="2" s="1"/>
  <c r="I29" i="2" s="1"/>
  <c r="AF29" i="2"/>
  <c r="K29" i="2" s="1"/>
  <c r="BJ29" i="2" s="1"/>
  <c r="BL29" i="2" s="1"/>
  <c r="T18" i="2"/>
  <c r="AU23" i="2"/>
  <c r="O23" i="2"/>
  <c r="AG23" i="2"/>
  <c r="J23" i="2" s="1"/>
  <c r="I23" i="2" s="1"/>
  <c r="L23" i="2"/>
  <c r="AF23" i="2"/>
  <c r="K23" i="2" s="1"/>
  <c r="BJ23" i="2" s="1"/>
  <c r="BL23" i="2" s="1"/>
  <c r="L30" i="2"/>
  <c r="U31" i="2"/>
  <c r="V31" i="2" s="1"/>
  <c r="AU21" i="2"/>
  <c r="AG21" i="2"/>
  <c r="J21" i="2" s="1"/>
  <c r="I21" i="2" s="1"/>
  <c r="AF21" i="2"/>
  <c r="K21" i="2" s="1"/>
  <c r="BJ21" i="2" s="1"/>
  <c r="BL21" i="2" s="1"/>
  <c r="O21" i="2"/>
  <c r="L21" i="2"/>
  <c r="AU27" i="2"/>
  <c r="AF27" i="2"/>
  <c r="K27" i="2" s="1"/>
  <c r="BJ27" i="2" s="1"/>
  <c r="BL27" i="2" s="1"/>
  <c r="L27" i="2"/>
  <c r="O27" i="2"/>
  <c r="AG27" i="2"/>
  <c r="J27" i="2" s="1"/>
  <c r="I27" i="2" s="1"/>
  <c r="AU22" i="2"/>
  <c r="L28" i="2"/>
  <c r="U29" i="2"/>
  <c r="V29" i="2" s="1"/>
  <c r="AU19" i="2"/>
  <c r="O19" i="2"/>
  <c r="AG19" i="2"/>
  <c r="J19" i="2" s="1"/>
  <c r="I19" i="2" s="1"/>
  <c r="U19" i="2" s="1"/>
  <c r="V19" i="2" s="1"/>
  <c r="AF19" i="2"/>
  <c r="K19" i="2" s="1"/>
  <c r="BJ19" i="2" s="1"/>
  <c r="BL19" i="2" s="1"/>
  <c r="L19" i="2"/>
  <c r="U28" i="1"/>
  <c r="V28" i="1" s="1"/>
  <c r="AB18" i="1"/>
  <c r="U22" i="1"/>
  <c r="V22" i="1" s="1"/>
  <c r="W26" i="1"/>
  <c r="AA26" i="1" s="1"/>
  <c r="AD26" i="1"/>
  <c r="AC26" i="1"/>
  <c r="AB28" i="1"/>
  <c r="R28" i="1"/>
  <c r="P28" i="1" s="1"/>
  <c r="S28" i="1" s="1"/>
  <c r="M28" i="1" s="1"/>
  <c r="N28" i="1" s="1"/>
  <c r="AB26" i="1"/>
  <c r="R26" i="1"/>
  <c r="P26" i="1" s="1"/>
  <c r="S26" i="1" s="1"/>
  <c r="M26" i="1" s="1"/>
  <c r="N26" i="1" s="1"/>
  <c r="AB20" i="1"/>
  <c r="R20" i="1"/>
  <c r="P20" i="1" s="1"/>
  <c r="S20" i="1" s="1"/>
  <c r="M20" i="1" s="1"/>
  <c r="N20" i="1" s="1"/>
  <c r="W24" i="1"/>
  <c r="AA24" i="1" s="1"/>
  <c r="AC24" i="1"/>
  <c r="AD24" i="1"/>
  <c r="AB24" i="1"/>
  <c r="R24" i="1"/>
  <c r="P24" i="1" s="1"/>
  <c r="S24" i="1" s="1"/>
  <c r="M24" i="1" s="1"/>
  <c r="N24" i="1" s="1"/>
  <c r="U18" i="1"/>
  <c r="V18" i="1" s="1"/>
  <c r="U30" i="1"/>
  <c r="V30" i="1" s="1"/>
  <c r="U20" i="1"/>
  <c r="V20" i="1" s="1"/>
  <c r="AU27" i="1"/>
  <c r="AG27" i="1"/>
  <c r="J27" i="1" s="1"/>
  <c r="I27" i="1" s="1"/>
  <c r="AF27" i="1"/>
  <c r="K27" i="1" s="1"/>
  <c r="BJ27" i="1" s="1"/>
  <c r="BL27" i="1" s="1"/>
  <c r="O27" i="1"/>
  <c r="L27" i="1"/>
  <c r="BS30" i="1"/>
  <c r="BW30" i="1" s="1"/>
  <c r="BX30" i="1" s="1"/>
  <c r="AU21" i="1"/>
  <c r="AG21" i="1"/>
  <c r="J21" i="1" s="1"/>
  <c r="I21" i="1" s="1"/>
  <c r="AF21" i="1"/>
  <c r="K21" i="1" s="1"/>
  <c r="BJ21" i="1" s="1"/>
  <c r="BL21" i="1" s="1"/>
  <c r="L21" i="1"/>
  <c r="O21" i="1"/>
  <c r="BS22" i="1"/>
  <c r="BW22" i="1" s="1"/>
  <c r="BX22" i="1" s="1"/>
  <c r="L30" i="1"/>
  <c r="BT30" i="1"/>
  <c r="BR19" i="1"/>
  <c r="BT22" i="1"/>
  <c r="AU24" i="1"/>
  <c r="O24" i="1"/>
  <c r="AU31" i="1"/>
  <c r="O31" i="1"/>
  <c r="AF31" i="1"/>
  <c r="K31" i="1" s="1"/>
  <c r="BJ31" i="1" s="1"/>
  <c r="BL31" i="1" s="1"/>
  <c r="L31" i="1"/>
  <c r="AG31" i="1"/>
  <c r="J31" i="1" s="1"/>
  <c r="I31" i="1" s="1"/>
  <c r="U19" i="1"/>
  <c r="V19" i="1" s="1"/>
  <c r="BS19" i="1"/>
  <c r="BW19" i="1" s="1"/>
  <c r="BX19" i="1" s="1"/>
  <c r="AE26" i="1"/>
  <c r="AU29" i="1"/>
  <c r="O29" i="1"/>
  <c r="AG29" i="1"/>
  <c r="J29" i="1" s="1"/>
  <c r="I29" i="1" s="1"/>
  <c r="AF29" i="1"/>
  <c r="K29" i="1" s="1"/>
  <c r="BJ29" i="1" s="1"/>
  <c r="BL29" i="1" s="1"/>
  <c r="L29" i="1"/>
  <c r="AU18" i="1"/>
  <c r="O18" i="1"/>
  <c r="BK24" i="1"/>
  <c r="AF26" i="1"/>
  <c r="K26" i="1" s="1"/>
  <c r="BJ26" i="1" s="1"/>
  <c r="BL26" i="1" s="1"/>
  <c r="BK31" i="1"/>
  <c r="AU23" i="1"/>
  <c r="L23" i="1"/>
  <c r="O23" i="1"/>
  <c r="AG23" i="1"/>
  <c r="J23" i="1" s="1"/>
  <c r="I23" i="1" s="1"/>
  <c r="AF23" i="1"/>
  <c r="K23" i="1" s="1"/>
  <c r="BJ23" i="1" s="1"/>
  <c r="BL23" i="1" s="1"/>
  <c r="BK26" i="1"/>
  <c r="AU25" i="1"/>
  <c r="AG25" i="1"/>
  <c r="J25" i="1" s="1"/>
  <c r="I25" i="1" s="1"/>
  <c r="AF25" i="1"/>
  <c r="K25" i="1" s="1"/>
  <c r="BJ25" i="1" s="1"/>
  <c r="BL25" i="1" s="1"/>
  <c r="O25" i="1"/>
  <c r="L25" i="1"/>
  <c r="BS26" i="1"/>
  <c r="BW26" i="1" s="1"/>
  <c r="BX26" i="1" s="1"/>
  <c r="AU30" i="1"/>
  <c r="O30" i="1"/>
  <c r="AG30" i="1"/>
  <c r="J30" i="1" s="1"/>
  <c r="I30" i="1" s="1"/>
  <c r="BS27" i="1"/>
  <c r="BW27" i="1" s="1"/>
  <c r="BX27" i="1" s="1"/>
  <c r="BT27" i="1"/>
  <c r="L17" i="1"/>
  <c r="AU17" i="1"/>
  <c r="AG17" i="1"/>
  <c r="J17" i="1" s="1"/>
  <c r="I17" i="1" s="1"/>
  <c r="O17" i="1"/>
  <c r="AF17" i="1"/>
  <c r="K17" i="1" s="1"/>
  <c r="BJ17" i="1" s="1"/>
  <c r="BL17" i="1" s="1"/>
  <c r="BS18" i="1"/>
  <c r="BW18" i="1" s="1"/>
  <c r="BX18" i="1" s="1"/>
  <c r="BS21" i="1"/>
  <c r="BW21" i="1" s="1"/>
  <c r="BX21" i="1" s="1"/>
  <c r="AU20" i="1"/>
  <c r="O20" i="1"/>
  <c r="BK20" i="1"/>
  <c r="U29" i="1"/>
  <c r="V29" i="1" s="1"/>
  <c r="BR23" i="1"/>
  <c r="BT26" i="1"/>
  <c r="AU28" i="1"/>
  <c r="O28" i="1"/>
  <c r="AU22" i="1"/>
  <c r="O22" i="1"/>
  <c r="AU26" i="1"/>
  <c r="O26" i="1"/>
  <c r="BT18" i="1"/>
  <c r="AF22" i="1"/>
  <c r="K22" i="1" s="1"/>
  <c r="BJ22" i="1" s="1"/>
  <c r="BL22" i="1" s="1"/>
  <c r="AG22" i="1"/>
  <c r="J22" i="1" s="1"/>
  <c r="I22" i="1" s="1"/>
  <c r="AU19" i="1"/>
  <c r="AF19" i="1"/>
  <c r="K19" i="1" s="1"/>
  <c r="BJ19" i="1" s="1"/>
  <c r="BL19" i="1" s="1"/>
  <c r="O19" i="1"/>
  <c r="AG19" i="1"/>
  <c r="J19" i="1" s="1"/>
  <c r="I19" i="1" s="1"/>
  <c r="L19" i="1"/>
  <c r="BS20" i="1"/>
  <c r="BW20" i="1" s="1"/>
  <c r="BX20" i="1" s="1"/>
  <c r="W30" i="13" l="1"/>
  <c r="AA30" i="13" s="1"/>
  <c r="AD30" i="13"/>
  <c r="AC30" i="13"/>
  <c r="R30" i="13"/>
  <c r="P30" i="13" s="1"/>
  <c r="S30" i="13" s="1"/>
  <c r="M30" i="13" s="1"/>
  <c r="N30" i="13" s="1"/>
  <c r="AC31" i="13"/>
  <c r="AD31" i="13"/>
  <c r="AE31" i="13" s="1"/>
  <c r="W31" i="13"/>
  <c r="AA31" i="13" s="1"/>
  <c r="W28" i="13"/>
  <c r="AA28" i="13" s="1"/>
  <c r="AD28" i="13"/>
  <c r="AE28" i="13" s="1"/>
  <c r="W20" i="13"/>
  <c r="AA20" i="13" s="1"/>
  <c r="AD20" i="13"/>
  <c r="AE20" i="13" s="1"/>
  <c r="R20" i="13"/>
  <c r="P20" i="13" s="1"/>
  <c r="S20" i="13" s="1"/>
  <c r="M20" i="13" s="1"/>
  <c r="N20" i="13" s="1"/>
  <c r="R31" i="13"/>
  <c r="P31" i="13" s="1"/>
  <c r="S31" i="13" s="1"/>
  <c r="M31" i="13" s="1"/>
  <c r="N31" i="13" s="1"/>
  <c r="M22" i="13"/>
  <c r="N22" i="13" s="1"/>
  <c r="W22" i="13"/>
  <c r="AA22" i="13" s="1"/>
  <c r="AD22" i="13"/>
  <c r="AE22" i="13" s="1"/>
  <c r="AD21" i="13"/>
  <c r="AC21" i="13"/>
  <c r="W21" i="13"/>
  <c r="AA21" i="13" s="1"/>
  <c r="W26" i="13"/>
  <c r="AA26" i="13" s="1"/>
  <c r="AD26" i="13"/>
  <c r="R26" i="13"/>
  <c r="P26" i="13" s="1"/>
  <c r="S26" i="13" s="1"/>
  <c r="M26" i="13" s="1"/>
  <c r="N26" i="13" s="1"/>
  <c r="W24" i="13"/>
  <c r="AA24" i="13" s="1"/>
  <c r="AD24" i="13"/>
  <c r="R24" i="13"/>
  <c r="P24" i="13" s="1"/>
  <c r="S24" i="13" s="1"/>
  <c r="M24" i="13" s="1"/>
  <c r="N24" i="13" s="1"/>
  <c r="AC26" i="13"/>
  <c r="AC19" i="13"/>
  <c r="AD19" i="13"/>
  <c r="AE19" i="13" s="1"/>
  <c r="W19" i="13"/>
  <c r="AA19" i="13" s="1"/>
  <c r="AD29" i="13"/>
  <c r="AC29" i="13"/>
  <c r="W29" i="13"/>
  <c r="AA29" i="13" s="1"/>
  <c r="AC24" i="13"/>
  <c r="AD17" i="13"/>
  <c r="AC17" i="13"/>
  <c r="W17" i="13"/>
  <c r="AA17" i="13" s="1"/>
  <c r="AD27" i="13"/>
  <c r="AC27" i="13"/>
  <c r="W27" i="13"/>
  <c r="AA27" i="13" s="1"/>
  <c r="W18" i="13"/>
  <c r="AA18" i="13" s="1"/>
  <c r="AD18" i="13"/>
  <c r="AC18" i="13"/>
  <c r="R19" i="13"/>
  <c r="P19" i="13" s="1"/>
  <c r="S19" i="13" s="1"/>
  <c r="M19" i="13" s="1"/>
  <c r="N19" i="13" s="1"/>
  <c r="AD31" i="12"/>
  <c r="AC31" i="12"/>
  <c r="W31" i="12"/>
  <c r="AA31" i="12" s="1"/>
  <c r="W28" i="12"/>
  <c r="AA28" i="12" s="1"/>
  <c r="AD28" i="12"/>
  <c r="AC28" i="12"/>
  <c r="AE27" i="12"/>
  <c r="BL24" i="12"/>
  <c r="AE25" i="12"/>
  <c r="W30" i="12"/>
  <c r="AA30" i="12" s="1"/>
  <c r="AD30" i="12"/>
  <c r="AE30" i="12" s="1"/>
  <c r="AC30" i="12"/>
  <c r="AD20" i="12"/>
  <c r="AC20" i="12"/>
  <c r="W20" i="12"/>
  <c r="AA20" i="12" s="1"/>
  <c r="AB24" i="12"/>
  <c r="BL26" i="12"/>
  <c r="R28" i="12"/>
  <c r="P28" i="12" s="1"/>
  <c r="S28" i="12" s="1"/>
  <c r="M28" i="12" s="1"/>
  <c r="N28" i="12" s="1"/>
  <c r="R29" i="12"/>
  <c r="P29" i="12" s="1"/>
  <c r="S29" i="12" s="1"/>
  <c r="M29" i="12" s="1"/>
  <c r="N29" i="12" s="1"/>
  <c r="AB29" i="12"/>
  <c r="W18" i="12"/>
  <c r="AA18" i="12" s="1"/>
  <c r="AD18" i="12"/>
  <c r="AE18" i="12" s="1"/>
  <c r="AC18" i="12"/>
  <c r="W26" i="12"/>
  <c r="AA26" i="12" s="1"/>
  <c r="AD26" i="12"/>
  <c r="AC26" i="12"/>
  <c r="R18" i="12"/>
  <c r="P18" i="12" s="1"/>
  <c r="S18" i="12" s="1"/>
  <c r="M18" i="12" s="1"/>
  <c r="N18" i="12" s="1"/>
  <c r="R26" i="12"/>
  <c r="P26" i="12" s="1"/>
  <c r="S26" i="12" s="1"/>
  <c r="M26" i="12" s="1"/>
  <c r="N26" i="12" s="1"/>
  <c r="BL30" i="12"/>
  <c r="R31" i="12"/>
  <c r="P31" i="12" s="1"/>
  <c r="S31" i="12" s="1"/>
  <c r="M31" i="12" s="1"/>
  <c r="N31" i="12" s="1"/>
  <c r="AB31" i="12"/>
  <c r="BL22" i="12"/>
  <c r="AE17" i="12"/>
  <c r="AD23" i="12"/>
  <c r="AC23" i="12"/>
  <c r="W23" i="12"/>
  <c r="AA23" i="12" s="1"/>
  <c r="U24" i="12"/>
  <c r="V24" i="12" s="1"/>
  <c r="U29" i="12"/>
  <c r="V29" i="12" s="1"/>
  <c r="M22" i="12"/>
  <c r="N22" i="12" s="1"/>
  <c r="R20" i="12"/>
  <c r="P20" i="12" s="1"/>
  <c r="S20" i="12" s="1"/>
  <c r="M20" i="12" s="1"/>
  <c r="N20" i="12" s="1"/>
  <c r="AE19" i="12"/>
  <c r="BL18" i="12"/>
  <c r="BL20" i="12"/>
  <c r="AC17" i="11"/>
  <c r="AD17" i="11"/>
  <c r="W17" i="11"/>
  <c r="AA17" i="11" s="1"/>
  <c r="W28" i="11"/>
  <c r="AA28" i="11" s="1"/>
  <c r="AD28" i="11"/>
  <c r="AC28" i="11"/>
  <c r="AB18" i="11"/>
  <c r="R18" i="11"/>
  <c r="P18" i="11" s="1"/>
  <c r="S18" i="11" s="1"/>
  <c r="M18" i="11" s="1"/>
  <c r="N18" i="11" s="1"/>
  <c r="R23" i="11"/>
  <c r="P23" i="11" s="1"/>
  <c r="S23" i="11" s="1"/>
  <c r="M23" i="11" s="1"/>
  <c r="N23" i="11" s="1"/>
  <c r="AB23" i="11"/>
  <c r="AB27" i="11"/>
  <c r="W24" i="11"/>
  <c r="AA24" i="11" s="1"/>
  <c r="AD24" i="11"/>
  <c r="AC24" i="11"/>
  <c r="U27" i="11"/>
  <c r="V27" i="11" s="1"/>
  <c r="R29" i="11"/>
  <c r="P29" i="11" s="1"/>
  <c r="S29" i="11" s="1"/>
  <c r="M29" i="11" s="1"/>
  <c r="N29" i="11" s="1"/>
  <c r="AB29" i="11"/>
  <c r="AB30" i="11"/>
  <c r="R30" i="11"/>
  <c r="P30" i="11" s="1"/>
  <c r="S30" i="11" s="1"/>
  <c r="M30" i="11" s="1"/>
  <c r="N30" i="11" s="1"/>
  <c r="AD19" i="11"/>
  <c r="AC19" i="11"/>
  <c r="W19" i="11"/>
  <c r="AA19" i="11" s="1"/>
  <c r="R21" i="11"/>
  <c r="P21" i="11" s="1"/>
  <c r="S21" i="11" s="1"/>
  <c r="M21" i="11" s="1"/>
  <c r="N21" i="11" s="1"/>
  <c r="AB21" i="11"/>
  <c r="AB31" i="11"/>
  <c r="U31" i="11"/>
  <c r="V31" i="11" s="1"/>
  <c r="R19" i="11"/>
  <c r="P19" i="11" s="1"/>
  <c r="S19" i="11" s="1"/>
  <c r="M19" i="11" s="1"/>
  <c r="N19" i="11" s="1"/>
  <c r="AB19" i="11"/>
  <c r="W18" i="11"/>
  <c r="AA18" i="11" s="1"/>
  <c r="AD18" i="11"/>
  <c r="AC18" i="11"/>
  <c r="R25" i="11"/>
  <c r="P25" i="11" s="1"/>
  <c r="S25" i="11" s="1"/>
  <c r="M25" i="11" s="1"/>
  <c r="N25" i="11" s="1"/>
  <c r="AB25" i="11"/>
  <c r="AD21" i="11"/>
  <c r="AC21" i="11"/>
  <c r="W21" i="11"/>
  <c r="AA21" i="11" s="1"/>
  <c r="R17" i="11"/>
  <c r="P17" i="11" s="1"/>
  <c r="S17" i="11" s="1"/>
  <c r="M17" i="11" s="1"/>
  <c r="N17" i="11" s="1"/>
  <c r="AB17" i="11"/>
  <c r="U29" i="11"/>
  <c r="V29" i="11" s="1"/>
  <c r="R28" i="11"/>
  <c r="P28" i="11" s="1"/>
  <c r="S28" i="11" s="1"/>
  <c r="M28" i="11" s="1"/>
  <c r="N28" i="11" s="1"/>
  <c r="W22" i="11"/>
  <c r="AA22" i="11" s="1"/>
  <c r="AD22" i="11"/>
  <c r="AE22" i="11" s="1"/>
  <c r="AC22" i="11"/>
  <c r="AC23" i="11"/>
  <c r="AD23" i="11"/>
  <c r="W23" i="11"/>
  <c r="AA23" i="11" s="1"/>
  <c r="AB22" i="11"/>
  <c r="R22" i="11"/>
  <c r="P22" i="11" s="1"/>
  <c r="S22" i="11" s="1"/>
  <c r="M22" i="11" s="1"/>
  <c r="N22" i="11" s="1"/>
  <c r="U25" i="11"/>
  <c r="V25" i="11" s="1"/>
  <c r="W20" i="11"/>
  <c r="AA20" i="11" s="1"/>
  <c r="AD20" i="11"/>
  <c r="AC20" i="11"/>
  <c r="R24" i="11"/>
  <c r="P24" i="11" s="1"/>
  <c r="S24" i="11" s="1"/>
  <c r="M24" i="11" s="1"/>
  <c r="N24" i="11" s="1"/>
  <c r="W30" i="11"/>
  <c r="AA30" i="11" s="1"/>
  <c r="AD30" i="11"/>
  <c r="AC30" i="11"/>
  <c r="W26" i="11"/>
  <c r="AA26" i="11" s="1"/>
  <c r="AD26" i="11"/>
  <c r="AE26" i="11" s="1"/>
  <c r="AC26" i="11"/>
  <c r="W24" i="10"/>
  <c r="AA24" i="10" s="1"/>
  <c r="AC24" i="10"/>
  <c r="AD24" i="10"/>
  <c r="AE24" i="10" s="1"/>
  <c r="AC17" i="10"/>
  <c r="W17" i="10"/>
  <c r="AA17" i="10" s="1"/>
  <c r="AD17" i="10"/>
  <c r="AE17" i="10" s="1"/>
  <c r="W22" i="10"/>
  <c r="AA22" i="10" s="1"/>
  <c r="AD22" i="10"/>
  <c r="AC22" i="10"/>
  <c r="W19" i="10"/>
  <c r="AA19" i="10" s="1"/>
  <c r="AD19" i="10"/>
  <c r="AC19" i="10"/>
  <c r="U20" i="10"/>
  <c r="V20" i="10" s="1"/>
  <c r="U26" i="10"/>
  <c r="V26" i="10" s="1"/>
  <c r="U30" i="10"/>
  <c r="V30" i="10" s="1"/>
  <c r="W28" i="10"/>
  <c r="AA28" i="10" s="1"/>
  <c r="AD28" i="10"/>
  <c r="AE28" i="10" s="1"/>
  <c r="AC28" i="10"/>
  <c r="AD31" i="10"/>
  <c r="AC31" i="10"/>
  <c r="W31" i="10"/>
  <c r="AA31" i="10" s="1"/>
  <c r="W23" i="10"/>
  <c r="AA23" i="10" s="1"/>
  <c r="AC23" i="10"/>
  <c r="AD23" i="10"/>
  <c r="AE23" i="10" s="1"/>
  <c r="BK30" i="10"/>
  <c r="W25" i="10"/>
  <c r="AA25" i="10" s="1"/>
  <c r="AD25" i="10"/>
  <c r="AC25" i="10"/>
  <c r="W27" i="10"/>
  <c r="AA27" i="10" s="1"/>
  <c r="AD27" i="10"/>
  <c r="AC27" i="10"/>
  <c r="R22" i="10"/>
  <c r="P22" i="10" s="1"/>
  <c r="S22" i="10" s="1"/>
  <c r="M22" i="10" s="1"/>
  <c r="N22" i="10" s="1"/>
  <c r="W29" i="10"/>
  <c r="AA29" i="10" s="1"/>
  <c r="AD29" i="10"/>
  <c r="AC29" i="10"/>
  <c r="W18" i="10"/>
  <c r="AA18" i="10" s="1"/>
  <c r="AD18" i="10"/>
  <c r="AE18" i="10" s="1"/>
  <c r="AC18" i="10"/>
  <c r="R24" i="10"/>
  <c r="P24" i="10" s="1"/>
  <c r="S24" i="10" s="1"/>
  <c r="M24" i="10" s="1"/>
  <c r="N24" i="10" s="1"/>
  <c r="R17" i="10"/>
  <c r="P17" i="10" s="1"/>
  <c r="S17" i="10" s="1"/>
  <c r="M17" i="10" s="1"/>
  <c r="N17" i="10" s="1"/>
  <c r="AB18" i="9"/>
  <c r="AC22" i="9"/>
  <c r="AD22" i="9"/>
  <c r="AE22" i="9" s="1"/>
  <c r="W22" i="9"/>
  <c r="AA22" i="9" s="1"/>
  <c r="W27" i="9"/>
  <c r="AA27" i="9" s="1"/>
  <c r="AD27" i="9"/>
  <c r="AC27" i="9"/>
  <c r="W31" i="9"/>
  <c r="AA31" i="9" s="1"/>
  <c r="AD31" i="9"/>
  <c r="AC31" i="9"/>
  <c r="AD26" i="9"/>
  <c r="AC26" i="9"/>
  <c r="W26" i="9"/>
  <c r="AA26" i="9" s="1"/>
  <c r="AD23" i="9"/>
  <c r="AC23" i="9"/>
  <c r="W23" i="9"/>
  <c r="AA23" i="9" s="1"/>
  <c r="W30" i="9"/>
  <c r="AA30" i="9" s="1"/>
  <c r="AD30" i="9"/>
  <c r="AC30" i="9"/>
  <c r="AC20" i="9"/>
  <c r="W20" i="9"/>
  <c r="AA20" i="9" s="1"/>
  <c r="AD20" i="9"/>
  <c r="AE20" i="9" s="1"/>
  <c r="AB30" i="9"/>
  <c r="R30" i="9"/>
  <c r="P30" i="9" s="1"/>
  <c r="S30" i="9" s="1"/>
  <c r="M30" i="9" s="1"/>
  <c r="N30" i="9" s="1"/>
  <c r="R20" i="9"/>
  <c r="P20" i="9" s="1"/>
  <c r="S20" i="9" s="1"/>
  <c r="M20" i="9" s="1"/>
  <c r="N20" i="9" s="1"/>
  <c r="AD25" i="9"/>
  <c r="AC25" i="9"/>
  <c r="W25" i="9"/>
  <c r="AA25" i="9" s="1"/>
  <c r="AD21" i="9"/>
  <c r="AC21" i="9"/>
  <c r="W21" i="9"/>
  <c r="AA21" i="9" s="1"/>
  <c r="W17" i="9"/>
  <c r="AA17" i="9" s="1"/>
  <c r="AD17" i="9"/>
  <c r="AC17" i="9"/>
  <c r="AD28" i="9"/>
  <c r="AC28" i="9"/>
  <c r="W28" i="9"/>
  <c r="AA28" i="9" s="1"/>
  <c r="R28" i="9"/>
  <c r="P28" i="9" s="1"/>
  <c r="S28" i="9" s="1"/>
  <c r="M28" i="9" s="1"/>
  <c r="N28" i="9" s="1"/>
  <c r="AC24" i="9"/>
  <c r="AD24" i="9"/>
  <c r="W24" i="9"/>
  <c r="AA24" i="9" s="1"/>
  <c r="AB22" i="9"/>
  <c r="R22" i="9"/>
  <c r="P22" i="9" s="1"/>
  <c r="S22" i="9" s="1"/>
  <c r="M22" i="9" s="1"/>
  <c r="N22" i="9" s="1"/>
  <c r="AD19" i="9"/>
  <c r="W19" i="9"/>
  <c r="AA19" i="9" s="1"/>
  <c r="AC19" i="9"/>
  <c r="U18" i="9"/>
  <c r="V18" i="9" s="1"/>
  <c r="R17" i="9"/>
  <c r="P17" i="9" s="1"/>
  <c r="S17" i="9" s="1"/>
  <c r="M17" i="9" s="1"/>
  <c r="N17" i="9" s="1"/>
  <c r="W21" i="7"/>
  <c r="AA21" i="7" s="1"/>
  <c r="AD21" i="7"/>
  <c r="AC21" i="7"/>
  <c r="AD31" i="7"/>
  <c r="AC31" i="7"/>
  <c r="W31" i="7"/>
  <c r="AA31" i="7" s="1"/>
  <c r="AB30" i="7"/>
  <c r="W20" i="7"/>
  <c r="AA20" i="7" s="1"/>
  <c r="AD20" i="7"/>
  <c r="AC20" i="7"/>
  <c r="U30" i="7"/>
  <c r="V30" i="7" s="1"/>
  <c r="W24" i="7"/>
  <c r="AA24" i="7" s="1"/>
  <c r="AD24" i="7"/>
  <c r="AE24" i="7" s="1"/>
  <c r="M28" i="7"/>
  <c r="N28" i="7" s="1"/>
  <c r="BK18" i="7"/>
  <c r="AD25" i="7"/>
  <c r="W25" i="7"/>
  <c r="AA25" i="7" s="1"/>
  <c r="AC25" i="7"/>
  <c r="W22" i="7"/>
  <c r="AA22" i="7" s="1"/>
  <c r="AC22" i="7"/>
  <c r="AD22" i="7"/>
  <c r="AE17" i="7"/>
  <c r="W29" i="7"/>
  <c r="AA29" i="7" s="1"/>
  <c r="AD29" i="7"/>
  <c r="AC29" i="7"/>
  <c r="R29" i="7"/>
  <c r="P29" i="7" s="1"/>
  <c r="S29" i="7" s="1"/>
  <c r="M29" i="7" s="1"/>
  <c r="N29" i="7" s="1"/>
  <c r="W28" i="7"/>
  <c r="AA28" i="7" s="1"/>
  <c r="AD28" i="7"/>
  <c r="AE28" i="7" s="1"/>
  <c r="R21" i="7"/>
  <c r="P21" i="7" s="1"/>
  <c r="S21" i="7" s="1"/>
  <c r="M21" i="7" s="1"/>
  <c r="N21" i="7" s="1"/>
  <c r="AB24" i="7"/>
  <c r="R24" i="7"/>
  <c r="P24" i="7" s="1"/>
  <c r="S24" i="7" s="1"/>
  <c r="M24" i="7" s="1"/>
  <c r="N24" i="7" s="1"/>
  <c r="R31" i="7"/>
  <c r="P31" i="7" s="1"/>
  <c r="S31" i="7" s="1"/>
  <c r="M31" i="7" s="1"/>
  <c r="N31" i="7" s="1"/>
  <c r="W27" i="7"/>
  <c r="AA27" i="7" s="1"/>
  <c r="AD27" i="7"/>
  <c r="AC27" i="7"/>
  <c r="W19" i="7"/>
  <c r="AA19" i="7" s="1"/>
  <c r="AD19" i="7"/>
  <c r="AC19" i="7"/>
  <c r="W18" i="7"/>
  <c r="AA18" i="7" s="1"/>
  <c r="AC18" i="7"/>
  <c r="AD18" i="7"/>
  <c r="AE18" i="7" s="1"/>
  <c r="R22" i="7"/>
  <c r="P22" i="7" s="1"/>
  <c r="S22" i="7" s="1"/>
  <c r="M22" i="7" s="1"/>
  <c r="N22" i="7" s="1"/>
  <c r="W26" i="7"/>
  <c r="AA26" i="7" s="1"/>
  <c r="AD26" i="7"/>
  <c r="AE26" i="7" s="1"/>
  <c r="U27" i="6"/>
  <c r="V27" i="6" s="1"/>
  <c r="AB31" i="6"/>
  <c r="AC17" i="6"/>
  <c r="AD17" i="6"/>
  <c r="AE17" i="6" s="1"/>
  <c r="W17" i="6"/>
  <c r="AA17" i="6" s="1"/>
  <c r="AD28" i="6"/>
  <c r="AC28" i="6"/>
  <c r="W28" i="6"/>
  <c r="AA28" i="6" s="1"/>
  <c r="R17" i="6"/>
  <c r="P17" i="6" s="1"/>
  <c r="S17" i="6" s="1"/>
  <c r="M17" i="6" s="1"/>
  <c r="N17" i="6" s="1"/>
  <c r="W29" i="6"/>
  <c r="AA29" i="6" s="1"/>
  <c r="AD29" i="6"/>
  <c r="AC29" i="6"/>
  <c r="W21" i="6"/>
  <c r="AA21" i="6" s="1"/>
  <c r="AD21" i="6"/>
  <c r="AC21" i="6"/>
  <c r="BL29" i="6"/>
  <c r="R29" i="6"/>
  <c r="P29" i="6" s="1"/>
  <c r="S29" i="6" s="1"/>
  <c r="M29" i="6" s="1"/>
  <c r="N29" i="6" s="1"/>
  <c r="R21" i="6"/>
  <c r="P21" i="6" s="1"/>
  <c r="S21" i="6" s="1"/>
  <c r="M21" i="6" s="1"/>
  <c r="N21" i="6" s="1"/>
  <c r="BL19" i="6"/>
  <c r="BL21" i="6"/>
  <c r="AD25" i="6"/>
  <c r="AC25" i="6"/>
  <c r="W25" i="6"/>
  <c r="AA25" i="6" s="1"/>
  <c r="U20" i="6"/>
  <c r="V20" i="6" s="1"/>
  <c r="AB24" i="6"/>
  <c r="BL27" i="6"/>
  <c r="U24" i="6"/>
  <c r="V24" i="6" s="1"/>
  <c r="BL17" i="6"/>
  <c r="AD22" i="6"/>
  <c r="AC22" i="6"/>
  <c r="W22" i="6"/>
  <c r="AA22" i="6" s="1"/>
  <c r="AC23" i="6"/>
  <c r="W23" i="6"/>
  <c r="AA23" i="6" s="1"/>
  <c r="AD23" i="6"/>
  <c r="AE23" i="6" s="1"/>
  <c r="U31" i="6"/>
  <c r="V31" i="6" s="1"/>
  <c r="U19" i="6"/>
  <c r="V19" i="6" s="1"/>
  <c r="AD26" i="6"/>
  <c r="AC26" i="6"/>
  <c r="W26" i="6"/>
  <c r="AA26" i="6" s="1"/>
  <c r="R26" i="6"/>
  <c r="P26" i="6" s="1"/>
  <c r="S26" i="6" s="1"/>
  <c r="M26" i="6" s="1"/>
  <c r="N26" i="6" s="1"/>
  <c r="AD30" i="6"/>
  <c r="AC30" i="6"/>
  <c r="W30" i="6"/>
  <c r="AA30" i="6" s="1"/>
  <c r="R23" i="6"/>
  <c r="P23" i="6" s="1"/>
  <c r="S23" i="6" s="1"/>
  <c r="M23" i="6" s="1"/>
  <c r="N23" i="6" s="1"/>
  <c r="AC27" i="5"/>
  <c r="AD27" i="5"/>
  <c r="AE27" i="5" s="1"/>
  <c r="W27" i="5"/>
  <c r="AA27" i="5" s="1"/>
  <c r="AD31" i="5"/>
  <c r="AC31" i="5"/>
  <c r="W31" i="5"/>
  <c r="AA31" i="5" s="1"/>
  <c r="W18" i="5"/>
  <c r="AA18" i="5" s="1"/>
  <c r="AD18" i="5"/>
  <c r="AC18" i="5"/>
  <c r="W20" i="5"/>
  <c r="AA20" i="5" s="1"/>
  <c r="AC20" i="5"/>
  <c r="AD20" i="5"/>
  <c r="AE20" i="5" s="1"/>
  <c r="R20" i="5"/>
  <c r="P20" i="5" s="1"/>
  <c r="S20" i="5" s="1"/>
  <c r="M20" i="5" s="1"/>
  <c r="N20" i="5" s="1"/>
  <c r="W24" i="5"/>
  <c r="AA24" i="5" s="1"/>
  <c r="AD24" i="5"/>
  <c r="W28" i="5"/>
  <c r="AA28" i="5" s="1"/>
  <c r="AD28" i="5"/>
  <c r="AE28" i="5" s="1"/>
  <c r="AB24" i="5"/>
  <c r="R24" i="5"/>
  <c r="P24" i="5" s="1"/>
  <c r="S24" i="5" s="1"/>
  <c r="M24" i="5" s="1"/>
  <c r="N24" i="5" s="1"/>
  <c r="AC24" i="5"/>
  <c r="R27" i="5"/>
  <c r="P27" i="5" s="1"/>
  <c r="S27" i="5" s="1"/>
  <c r="M27" i="5" s="1"/>
  <c r="N27" i="5" s="1"/>
  <c r="W30" i="5"/>
  <c r="AA30" i="5" s="1"/>
  <c r="AD30" i="5"/>
  <c r="AE30" i="5" s="1"/>
  <c r="AD29" i="5"/>
  <c r="AC29" i="5"/>
  <c r="W29" i="5"/>
  <c r="AA29" i="5" s="1"/>
  <c r="BL20" i="5"/>
  <c r="W26" i="5"/>
  <c r="AA26" i="5" s="1"/>
  <c r="AD26" i="5"/>
  <c r="AE26" i="5" s="1"/>
  <c r="W22" i="5"/>
  <c r="AA22" i="5" s="1"/>
  <c r="AD22" i="5"/>
  <c r="AC22" i="5"/>
  <c r="AC23" i="5"/>
  <c r="W23" i="5"/>
  <c r="AA23" i="5" s="1"/>
  <c r="AD23" i="5"/>
  <c r="AE23" i="5" s="1"/>
  <c r="W17" i="5"/>
  <c r="AA17" i="5" s="1"/>
  <c r="AD17" i="5"/>
  <c r="AC17" i="5"/>
  <c r="BL18" i="5"/>
  <c r="R18" i="5"/>
  <c r="P18" i="5" s="1"/>
  <c r="S18" i="5" s="1"/>
  <c r="M18" i="5" s="1"/>
  <c r="N18" i="5" s="1"/>
  <c r="W19" i="5"/>
  <c r="AA19" i="5" s="1"/>
  <c r="AC19" i="5"/>
  <c r="AD19" i="5"/>
  <c r="AE19" i="5" s="1"/>
  <c r="AB22" i="5"/>
  <c r="R22" i="5"/>
  <c r="P22" i="5" s="1"/>
  <c r="S22" i="5" s="1"/>
  <c r="M22" i="5" s="1"/>
  <c r="N22" i="5" s="1"/>
  <c r="R31" i="5"/>
  <c r="P31" i="5" s="1"/>
  <c r="S31" i="5" s="1"/>
  <c r="M31" i="5" s="1"/>
  <c r="N31" i="5" s="1"/>
  <c r="R28" i="5"/>
  <c r="P28" i="5" s="1"/>
  <c r="S28" i="5" s="1"/>
  <c r="M28" i="5" s="1"/>
  <c r="N28" i="5" s="1"/>
  <c r="M30" i="3"/>
  <c r="N30" i="3" s="1"/>
  <c r="AC27" i="3"/>
  <c r="AD27" i="3"/>
  <c r="AE27" i="3" s="1"/>
  <c r="W27" i="3"/>
  <c r="AA27" i="3" s="1"/>
  <c r="BL24" i="3"/>
  <c r="AC29" i="3"/>
  <c r="AD29" i="3"/>
  <c r="AE29" i="3" s="1"/>
  <c r="W29" i="3"/>
  <c r="AA29" i="3" s="1"/>
  <c r="AC17" i="3"/>
  <c r="AD17" i="3"/>
  <c r="AE17" i="3" s="1"/>
  <c r="W17" i="3"/>
  <c r="AA17" i="3" s="1"/>
  <c r="W18" i="3"/>
  <c r="AA18" i="3" s="1"/>
  <c r="AD18" i="3"/>
  <c r="W20" i="3"/>
  <c r="AA20" i="3" s="1"/>
  <c r="AD20" i="3"/>
  <c r="AE20" i="3" s="1"/>
  <c r="AD21" i="3"/>
  <c r="AC21" i="3"/>
  <c r="W21" i="3"/>
  <c r="AA21" i="3" s="1"/>
  <c r="AB28" i="3"/>
  <c r="R28" i="3"/>
  <c r="P28" i="3" s="1"/>
  <c r="S28" i="3" s="1"/>
  <c r="M28" i="3" s="1"/>
  <c r="N28" i="3" s="1"/>
  <c r="R20" i="3"/>
  <c r="P20" i="3" s="1"/>
  <c r="S20" i="3" s="1"/>
  <c r="M20" i="3" s="1"/>
  <c r="N20" i="3" s="1"/>
  <c r="AD31" i="3"/>
  <c r="AC31" i="3"/>
  <c r="W31" i="3"/>
  <c r="AA31" i="3" s="1"/>
  <c r="AD19" i="3"/>
  <c r="AC19" i="3"/>
  <c r="W19" i="3"/>
  <c r="AA19" i="3" s="1"/>
  <c r="W30" i="3"/>
  <c r="AA30" i="3" s="1"/>
  <c r="AD30" i="3"/>
  <c r="AC30" i="3"/>
  <c r="R17" i="3"/>
  <c r="P17" i="3" s="1"/>
  <c r="S17" i="3" s="1"/>
  <c r="M17" i="3" s="1"/>
  <c r="N17" i="3" s="1"/>
  <c r="AC18" i="3"/>
  <c r="AC20" i="3"/>
  <c r="W24" i="3"/>
  <c r="AA24" i="3" s="1"/>
  <c r="AD24" i="3"/>
  <c r="AE24" i="3" s="1"/>
  <c r="W26" i="3"/>
  <c r="AA26" i="3" s="1"/>
  <c r="AD26" i="3"/>
  <c r="AC26" i="3"/>
  <c r="AB18" i="3"/>
  <c r="R18" i="3"/>
  <c r="P18" i="3" s="1"/>
  <c r="S18" i="3" s="1"/>
  <c r="M18" i="3" s="1"/>
  <c r="N18" i="3" s="1"/>
  <c r="R29" i="3"/>
  <c r="P29" i="3" s="1"/>
  <c r="S29" i="3" s="1"/>
  <c r="M29" i="3" s="1"/>
  <c r="N29" i="3" s="1"/>
  <c r="U28" i="3"/>
  <c r="V28" i="3" s="1"/>
  <c r="W22" i="3"/>
  <c r="AA22" i="3" s="1"/>
  <c r="AD22" i="3"/>
  <c r="AE22" i="3" s="1"/>
  <c r="BL28" i="3"/>
  <c r="W19" i="2"/>
  <c r="AA19" i="2" s="1"/>
  <c r="AD19" i="2"/>
  <c r="AC19" i="2"/>
  <c r="AD17" i="2"/>
  <c r="AC17" i="2"/>
  <c r="W17" i="2"/>
  <c r="AA17" i="2" s="1"/>
  <c r="W29" i="2"/>
  <c r="AA29" i="2" s="1"/>
  <c r="AD29" i="2"/>
  <c r="AC29" i="2"/>
  <c r="AB23" i="2"/>
  <c r="AB25" i="2"/>
  <c r="U18" i="2"/>
  <c r="V18" i="2" s="1"/>
  <c r="R27" i="2"/>
  <c r="P27" i="2" s="1"/>
  <c r="S27" i="2" s="1"/>
  <c r="M27" i="2" s="1"/>
  <c r="N27" i="2" s="1"/>
  <c r="AB27" i="2"/>
  <c r="W30" i="2"/>
  <c r="AA30" i="2" s="1"/>
  <c r="AC30" i="2"/>
  <c r="AD30" i="2"/>
  <c r="AE30" i="2" s="1"/>
  <c r="R31" i="2"/>
  <c r="P31" i="2" s="1"/>
  <c r="S31" i="2" s="1"/>
  <c r="M31" i="2" s="1"/>
  <c r="N31" i="2" s="1"/>
  <c r="AB31" i="2"/>
  <c r="R29" i="2"/>
  <c r="P29" i="2" s="1"/>
  <c r="S29" i="2" s="1"/>
  <c r="M29" i="2" s="1"/>
  <c r="N29" i="2" s="1"/>
  <c r="AB29" i="2"/>
  <c r="AB20" i="2"/>
  <c r="U20" i="2"/>
  <c r="V20" i="2" s="1"/>
  <c r="AB24" i="2"/>
  <c r="R24" i="2"/>
  <c r="P24" i="2" s="1"/>
  <c r="S24" i="2" s="1"/>
  <c r="M24" i="2" s="1"/>
  <c r="N24" i="2" s="1"/>
  <c r="BL30" i="2"/>
  <c r="AD31" i="2"/>
  <c r="AC31" i="2"/>
  <c r="W31" i="2"/>
  <c r="AA31" i="2" s="1"/>
  <c r="AB18" i="2"/>
  <c r="R18" i="2"/>
  <c r="P18" i="2" s="1"/>
  <c r="S18" i="2" s="1"/>
  <c r="M18" i="2" s="1"/>
  <c r="N18" i="2" s="1"/>
  <c r="W28" i="2"/>
  <c r="AA28" i="2" s="1"/>
  <c r="AD28" i="2"/>
  <c r="AE28" i="2" s="1"/>
  <c r="W22" i="2"/>
  <c r="AA22" i="2" s="1"/>
  <c r="AD22" i="2"/>
  <c r="AE22" i="2" s="1"/>
  <c r="R19" i="2"/>
  <c r="P19" i="2" s="1"/>
  <c r="S19" i="2" s="1"/>
  <c r="M19" i="2" s="1"/>
  <c r="N19" i="2" s="1"/>
  <c r="AB19" i="2"/>
  <c r="R17" i="2"/>
  <c r="P17" i="2" s="1"/>
  <c r="S17" i="2" s="1"/>
  <c r="M17" i="2" s="1"/>
  <c r="N17" i="2" s="1"/>
  <c r="AB17" i="2"/>
  <c r="W26" i="2"/>
  <c r="AA26" i="2" s="1"/>
  <c r="AD26" i="2"/>
  <c r="AC26" i="2"/>
  <c r="M30" i="2"/>
  <c r="N30" i="2" s="1"/>
  <c r="W24" i="2"/>
  <c r="AA24" i="2" s="1"/>
  <c r="AC24" i="2"/>
  <c r="AD24" i="2"/>
  <c r="AE24" i="2" s="1"/>
  <c r="AB21" i="2"/>
  <c r="U23" i="2"/>
  <c r="V23" i="2" s="1"/>
  <c r="U27" i="2"/>
  <c r="V27" i="2" s="1"/>
  <c r="U21" i="2"/>
  <c r="V21" i="2" s="1"/>
  <c r="U25" i="2"/>
  <c r="V25" i="2" s="1"/>
  <c r="R26" i="2"/>
  <c r="P26" i="2" s="1"/>
  <c r="S26" i="2" s="1"/>
  <c r="M26" i="2" s="1"/>
  <c r="N26" i="2" s="1"/>
  <c r="W29" i="1"/>
  <c r="AA29" i="1" s="1"/>
  <c r="AD29" i="1"/>
  <c r="AC29" i="1"/>
  <c r="AD19" i="1"/>
  <c r="AC19" i="1"/>
  <c r="W19" i="1"/>
  <c r="AA19" i="1" s="1"/>
  <c r="R19" i="1"/>
  <c r="P19" i="1" s="1"/>
  <c r="S19" i="1" s="1"/>
  <c r="M19" i="1" s="1"/>
  <c r="N19" i="1" s="1"/>
  <c r="AB19" i="1"/>
  <c r="AB23" i="1"/>
  <c r="U23" i="1"/>
  <c r="V23" i="1" s="1"/>
  <c r="AB22" i="1"/>
  <c r="R22" i="1"/>
  <c r="P22" i="1" s="1"/>
  <c r="S22" i="1" s="1"/>
  <c r="M22" i="1" s="1"/>
  <c r="N22" i="1" s="1"/>
  <c r="W20" i="1"/>
  <c r="AA20" i="1" s="1"/>
  <c r="AD20" i="1"/>
  <c r="AC20" i="1"/>
  <c r="W30" i="1"/>
  <c r="AA30" i="1" s="1"/>
  <c r="AD30" i="1"/>
  <c r="AC30" i="1"/>
  <c r="W18" i="1"/>
  <c r="AA18" i="1" s="1"/>
  <c r="AD18" i="1"/>
  <c r="AC18" i="1"/>
  <c r="AB21" i="1"/>
  <c r="R25" i="1"/>
  <c r="P25" i="1" s="1"/>
  <c r="S25" i="1" s="1"/>
  <c r="M25" i="1" s="1"/>
  <c r="N25" i="1" s="1"/>
  <c r="AB25" i="1"/>
  <c r="U21" i="1"/>
  <c r="V21" i="1" s="1"/>
  <c r="AB31" i="1"/>
  <c r="R27" i="1"/>
  <c r="P27" i="1" s="1"/>
  <c r="S27" i="1" s="1"/>
  <c r="M27" i="1" s="1"/>
  <c r="N27" i="1" s="1"/>
  <c r="AB27" i="1"/>
  <c r="W22" i="1"/>
  <c r="AA22" i="1" s="1"/>
  <c r="AC22" i="1"/>
  <c r="AD22" i="1"/>
  <c r="AE22" i="1" s="1"/>
  <c r="AE24" i="1"/>
  <c r="R29" i="1"/>
  <c r="P29" i="1" s="1"/>
  <c r="S29" i="1" s="1"/>
  <c r="M29" i="1" s="1"/>
  <c r="N29" i="1" s="1"/>
  <c r="AB29" i="1"/>
  <c r="AB17" i="1"/>
  <c r="R18" i="1"/>
  <c r="P18" i="1" s="1"/>
  <c r="S18" i="1" s="1"/>
  <c r="M18" i="1" s="1"/>
  <c r="N18" i="1" s="1"/>
  <c r="AB30" i="1"/>
  <c r="R30" i="1"/>
  <c r="P30" i="1" s="1"/>
  <c r="S30" i="1" s="1"/>
  <c r="M30" i="1" s="1"/>
  <c r="N30" i="1" s="1"/>
  <c r="U25" i="1"/>
  <c r="V25" i="1" s="1"/>
  <c r="U27" i="1"/>
  <c r="V27" i="1" s="1"/>
  <c r="W28" i="1"/>
  <c r="AA28" i="1" s="1"/>
  <c r="AC28" i="1"/>
  <c r="AD28" i="1"/>
  <c r="AE28" i="1" s="1"/>
  <c r="U31" i="1"/>
  <c r="V31" i="1" s="1"/>
  <c r="U17" i="1"/>
  <c r="V17" i="1" s="1"/>
  <c r="AE27" i="13" l="1"/>
  <c r="AE21" i="13"/>
  <c r="AE17" i="13"/>
  <c r="AE29" i="13"/>
  <c r="AE30" i="13"/>
  <c r="AE24" i="13"/>
  <c r="AE18" i="13"/>
  <c r="AE26" i="13"/>
  <c r="AC24" i="12"/>
  <c r="AD24" i="12"/>
  <c r="W24" i="12"/>
  <c r="AA24" i="12" s="1"/>
  <c r="R24" i="12"/>
  <c r="P24" i="12" s="1"/>
  <c r="S24" i="12" s="1"/>
  <c r="M24" i="12" s="1"/>
  <c r="N24" i="12" s="1"/>
  <c r="AE23" i="12"/>
  <c r="AE20" i="12"/>
  <c r="AE28" i="12"/>
  <c r="AD29" i="12"/>
  <c r="AE29" i="12" s="1"/>
  <c r="AC29" i="12"/>
  <c r="W29" i="12"/>
  <c r="AA29" i="12" s="1"/>
  <c r="AE26" i="12"/>
  <c r="AE31" i="12"/>
  <c r="AE18" i="11"/>
  <c r="AD27" i="11"/>
  <c r="AC27" i="11"/>
  <c r="W27" i="11"/>
  <c r="AA27" i="11" s="1"/>
  <c r="AE24" i="11"/>
  <c r="AE20" i="11"/>
  <c r="AD25" i="11"/>
  <c r="AC25" i="11"/>
  <c r="W25" i="11"/>
  <c r="AA25" i="11" s="1"/>
  <c r="R27" i="11"/>
  <c r="P27" i="11" s="1"/>
  <c r="S27" i="11" s="1"/>
  <c r="M27" i="11" s="1"/>
  <c r="N27" i="11" s="1"/>
  <c r="AD31" i="11"/>
  <c r="AC31" i="11"/>
  <c r="W31" i="11"/>
  <c r="AA31" i="11" s="1"/>
  <c r="AE21" i="11"/>
  <c r="AE23" i="11"/>
  <c r="R31" i="11"/>
  <c r="P31" i="11" s="1"/>
  <c r="S31" i="11" s="1"/>
  <c r="M31" i="11" s="1"/>
  <c r="N31" i="11" s="1"/>
  <c r="AE28" i="11"/>
  <c r="AE30" i="11"/>
  <c r="AE17" i="11"/>
  <c r="AD29" i="11"/>
  <c r="AE29" i="11" s="1"/>
  <c r="AC29" i="11"/>
  <c r="W29" i="11"/>
  <c r="AA29" i="11" s="1"/>
  <c r="AE19" i="11"/>
  <c r="W30" i="10"/>
  <c r="AA30" i="10" s="1"/>
  <c r="AD30" i="10"/>
  <c r="R30" i="10"/>
  <c r="P30" i="10" s="1"/>
  <c r="S30" i="10" s="1"/>
  <c r="M30" i="10" s="1"/>
  <c r="N30" i="10" s="1"/>
  <c r="AC30" i="10"/>
  <c r="W26" i="10"/>
  <c r="AA26" i="10" s="1"/>
  <c r="AD26" i="10"/>
  <c r="AC26" i="10"/>
  <c r="R26" i="10"/>
  <c r="P26" i="10" s="1"/>
  <c r="S26" i="10" s="1"/>
  <c r="M26" i="10" s="1"/>
  <c r="N26" i="10" s="1"/>
  <c r="AE27" i="10"/>
  <c r="AE19" i="10"/>
  <c r="AE29" i="10"/>
  <c r="W20" i="10"/>
  <c r="AA20" i="10" s="1"/>
  <c r="AD20" i="10"/>
  <c r="AC20" i="10"/>
  <c r="R20" i="10"/>
  <c r="P20" i="10" s="1"/>
  <c r="S20" i="10" s="1"/>
  <c r="M20" i="10" s="1"/>
  <c r="N20" i="10" s="1"/>
  <c r="AE25" i="10"/>
  <c r="AE22" i="10"/>
  <c r="AE31" i="10"/>
  <c r="AE28" i="9"/>
  <c r="AE23" i="9"/>
  <c r="AE17" i="9"/>
  <c r="AE26" i="9"/>
  <c r="AE30" i="9"/>
  <c r="AE21" i="9"/>
  <c r="AE31" i="9"/>
  <c r="W18" i="9"/>
  <c r="AA18" i="9" s="1"/>
  <c r="AD18" i="9"/>
  <c r="AC18" i="9"/>
  <c r="AE27" i="9"/>
  <c r="AE19" i="9"/>
  <c r="AE25" i="9"/>
  <c r="R18" i="9"/>
  <c r="P18" i="9" s="1"/>
  <c r="S18" i="9" s="1"/>
  <c r="M18" i="9" s="1"/>
  <c r="N18" i="9" s="1"/>
  <c r="AE24" i="9"/>
  <c r="AE25" i="7"/>
  <c r="AE27" i="7"/>
  <c r="W30" i="7"/>
  <c r="AA30" i="7" s="1"/>
  <c r="AD30" i="7"/>
  <c r="AC30" i="7"/>
  <c r="AE20" i="7"/>
  <c r="AE29" i="7"/>
  <c r="AE31" i="7"/>
  <c r="AE22" i="7"/>
  <c r="AE21" i="7"/>
  <c r="AE19" i="7"/>
  <c r="R30" i="7"/>
  <c r="P30" i="7" s="1"/>
  <c r="S30" i="7" s="1"/>
  <c r="M30" i="7" s="1"/>
  <c r="N30" i="7" s="1"/>
  <c r="AD31" i="6"/>
  <c r="AC31" i="6"/>
  <c r="W31" i="6"/>
  <c r="AA31" i="6" s="1"/>
  <c r="AE29" i="6"/>
  <c r="AD24" i="6"/>
  <c r="AC24" i="6"/>
  <c r="W24" i="6"/>
  <c r="AA24" i="6" s="1"/>
  <c r="R24" i="6"/>
  <c r="P24" i="6" s="1"/>
  <c r="S24" i="6" s="1"/>
  <c r="M24" i="6" s="1"/>
  <c r="N24" i="6" s="1"/>
  <c r="R31" i="6"/>
  <c r="P31" i="6" s="1"/>
  <c r="S31" i="6" s="1"/>
  <c r="M31" i="6" s="1"/>
  <c r="N31" i="6" s="1"/>
  <c r="AE26" i="6"/>
  <c r="AD19" i="6"/>
  <c r="W19" i="6"/>
  <c r="AA19" i="6" s="1"/>
  <c r="AC19" i="6"/>
  <c r="R19" i="6"/>
  <c r="P19" i="6" s="1"/>
  <c r="S19" i="6" s="1"/>
  <c r="M19" i="6" s="1"/>
  <c r="N19" i="6" s="1"/>
  <c r="AE21" i="6"/>
  <c r="AE22" i="6"/>
  <c r="AE28" i="6"/>
  <c r="AD20" i="6"/>
  <c r="AC20" i="6"/>
  <c r="W20" i="6"/>
  <c r="AA20" i="6" s="1"/>
  <c r="R20" i="6"/>
  <c r="P20" i="6" s="1"/>
  <c r="S20" i="6" s="1"/>
  <c r="M20" i="6" s="1"/>
  <c r="N20" i="6" s="1"/>
  <c r="AE30" i="6"/>
  <c r="AE25" i="6"/>
  <c r="AC27" i="6"/>
  <c r="AD27" i="6"/>
  <c r="AE27" i="6" s="1"/>
  <c r="W27" i="6"/>
  <c r="AA27" i="6" s="1"/>
  <c r="R27" i="6"/>
  <c r="P27" i="6" s="1"/>
  <c r="S27" i="6" s="1"/>
  <c r="M27" i="6" s="1"/>
  <c r="N27" i="6" s="1"/>
  <c r="AE22" i="5"/>
  <c r="AE18" i="5"/>
  <c r="AE31" i="5"/>
  <c r="AE17" i="5"/>
  <c r="AE24" i="5"/>
  <c r="AE29" i="5"/>
  <c r="AE18" i="3"/>
  <c r="AE21" i="3"/>
  <c r="AE30" i="3"/>
  <c r="AE31" i="3"/>
  <c r="AE26" i="3"/>
  <c r="AE19" i="3"/>
  <c r="W28" i="3"/>
  <c r="AA28" i="3" s="1"/>
  <c r="AD28" i="3"/>
  <c r="AC28" i="3"/>
  <c r="AC25" i="2"/>
  <c r="AD25" i="2"/>
  <c r="AE25" i="2" s="1"/>
  <c r="W25" i="2"/>
  <c r="AA25" i="2" s="1"/>
  <c r="AD21" i="2"/>
  <c r="AC21" i="2"/>
  <c r="W21" i="2"/>
  <c r="AA21" i="2" s="1"/>
  <c r="W18" i="2"/>
  <c r="AA18" i="2" s="1"/>
  <c r="AD18" i="2"/>
  <c r="AC18" i="2"/>
  <c r="AD27" i="2"/>
  <c r="AE27" i="2" s="1"/>
  <c r="AC27" i="2"/>
  <c r="W27" i="2"/>
  <c r="AA27" i="2" s="1"/>
  <c r="AD23" i="2"/>
  <c r="AC23" i="2"/>
  <c r="W23" i="2"/>
  <c r="AA23" i="2" s="1"/>
  <c r="R25" i="2"/>
  <c r="P25" i="2" s="1"/>
  <c r="S25" i="2" s="1"/>
  <c r="M25" i="2" s="1"/>
  <c r="N25" i="2" s="1"/>
  <c r="R21" i="2"/>
  <c r="P21" i="2" s="1"/>
  <c r="S21" i="2" s="1"/>
  <c r="M21" i="2" s="1"/>
  <c r="N21" i="2" s="1"/>
  <c r="AE31" i="2"/>
  <c r="R23" i="2"/>
  <c r="P23" i="2" s="1"/>
  <c r="S23" i="2" s="1"/>
  <c r="M23" i="2" s="1"/>
  <c r="N23" i="2" s="1"/>
  <c r="AE29" i="2"/>
  <c r="W20" i="2"/>
  <c r="AA20" i="2" s="1"/>
  <c r="AD20" i="2"/>
  <c r="AC20" i="2"/>
  <c r="R20" i="2"/>
  <c r="P20" i="2" s="1"/>
  <c r="S20" i="2" s="1"/>
  <c r="M20" i="2" s="1"/>
  <c r="N20" i="2" s="1"/>
  <c r="AE26" i="2"/>
  <c r="AE17" i="2"/>
  <c r="AE19" i="2"/>
  <c r="AD23" i="1"/>
  <c r="AC23" i="1"/>
  <c r="W23" i="1"/>
  <c r="AA23" i="1" s="1"/>
  <c r="W17" i="1"/>
  <c r="AA17" i="1" s="1"/>
  <c r="AD17" i="1"/>
  <c r="AC17" i="1"/>
  <c r="R23" i="1"/>
  <c r="P23" i="1" s="1"/>
  <c r="S23" i="1" s="1"/>
  <c r="M23" i="1" s="1"/>
  <c r="N23" i="1" s="1"/>
  <c r="R17" i="1"/>
  <c r="P17" i="1" s="1"/>
  <c r="S17" i="1" s="1"/>
  <c r="M17" i="1" s="1"/>
  <c r="N17" i="1" s="1"/>
  <c r="AE30" i="1"/>
  <c r="AE20" i="1"/>
  <c r="W31" i="1"/>
  <c r="AA31" i="1" s="1"/>
  <c r="AC31" i="1"/>
  <c r="AD31" i="1"/>
  <c r="AE31" i="1" s="1"/>
  <c r="R31" i="1"/>
  <c r="P31" i="1" s="1"/>
  <c r="S31" i="1" s="1"/>
  <c r="M31" i="1" s="1"/>
  <c r="N31" i="1" s="1"/>
  <c r="W21" i="1"/>
  <c r="AA21" i="1" s="1"/>
  <c r="AD21" i="1"/>
  <c r="AC21" i="1"/>
  <c r="AD27" i="1"/>
  <c r="W27" i="1"/>
  <c r="AA27" i="1" s="1"/>
  <c r="AC27" i="1"/>
  <c r="AE19" i="1"/>
  <c r="AD25" i="1"/>
  <c r="AC25" i="1"/>
  <c r="W25" i="1"/>
  <c r="AA25" i="1" s="1"/>
  <c r="R21" i="1"/>
  <c r="P21" i="1" s="1"/>
  <c r="S21" i="1" s="1"/>
  <c r="M21" i="1" s="1"/>
  <c r="N21" i="1" s="1"/>
  <c r="AE29" i="1"/>
  <c r="AE18" i="1"/>
  <c r="AE24" i="12" l="1"/>
  <c r="AE31" i="11"/>
  <c r="AE25" i="11"/>
  <c r="AE27" i="11"/>
  <c r="AE26" i="10"/>
  <c r="AE20" i="10"/>
  <c r="AE30" i="10"/>
  <c r="AE18" i="9"/>
  <c r="AE30" i="7"/>
  <c r="AE20" i="6"/>
  <c r="AE24" i="6"/>
  <c r="AE19" i="6"/>
  <c r="AE31" i="6"/>
  <c r="AE28" i="3"/>
  <c r="AE23" i="2"/>
  <c r="AE18" i="2"/>
  <c r="AE21" i="2"/>
  <c r="AE20" i="2"/>
  <c r="AE17" i="1"/>
  <c r="AE25" i="1"/>
  <c r="AE23" i="1"/>
  <c r="AE27" i="1"/>
  <c r="AE21" i="1"/>
</calcChain>
</file>

<file path=xl/sharedStrings.xml><?xml version="1.0" encoding="utf-8"?>
<sst xmlns="http://schemas.openxmlformats.org/spreadsheetml/2006/main" count="11683" uniqueCount="1085">
  <si>
    <t>SysConst</t>
  </si>
  <si>
    <t>AvgTime</t>
  </si>
  <si>
    <t>Oxygen</t>
  </si>
  <si>
    <t>0.5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</si>
  <si>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</si>
  <si>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</si>
  <si>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</si>
  <si>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</si>
  <si>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</si>
  <si>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</si>
  <si>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</si>
  <si>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</si>
  <si>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</si>
  <si>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</si>
  <si>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</si>
  <si>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</si>
  <si>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</si>
  <si>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</si>
  <si>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</si>
  <si>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</si>
  <si>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</si>
  <si>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</si>
  <si>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</si>
  <si>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</si>
  <si>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</si>
  <si>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</si>
  <si>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</si>
  <si>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</si>
  <si>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</si>
  <si>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</si>
  <si>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</si>
  <si>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</si>
  <si>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</si>
  <si>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</si>
  <si>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</si>
  <si>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</si>
  <si>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</si>
  <si>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</si>
  <si>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</si>
  <si>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</si>
  <si>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</si>
  <si>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</si>
  <si>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</si>
  <si>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</si>
  <si>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</si>
  <si>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</si>
  <si>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</si>
  <si>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</si>
  <si>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</si>
  <si>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</si>
  <si>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</si>
  <si>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</si>
  <si>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</si>
  <si>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</si>
  <si>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</si>
  <si>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8.71218 224.869 399.16 643.047 906.835 1110.12 1268.37 1388.82</t>
  </si>
  <si>
    <t>0.990001 222.06 385.407 594.916 805.549 1003.85 1200.98 1401.36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</si>
  <si>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</si>
  <si>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</si>
  <si>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</si>
  <si>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</si>
  <si>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</si>
  <si>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</si>
  <si>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</si>
  <si>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</si>
  <si>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</si>
  <si>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</si>
  <si>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</si>
  <si>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</si>
  <si>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</si>
  <si>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</si>
  <si>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</si>
  <si>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</si>
  <si>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</si>
  <si>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</si>
  <si>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</si>
  <si>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</si>
  <si>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</si>
  <si>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</si>
  <si>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</si>
  <si>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</si>
  <si>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</si>
  <si>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</si>
  <si>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</si>
  <si>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</si>
  <si>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</si>
  <si>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</si>
  <si>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</si>
  <si>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</si>
  <si>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</si>
  <si>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</si>
  <si>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</si>
  <si>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</si>
  <si>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</si>
  <si>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</si>
  <si>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</si>
  <si>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</si>
  <si>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</si>
  <si>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</si>
  <si>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</si>
  <si>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</si>
  <si>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</si>
  <si>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</si>
  <si>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</si>
  <si>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</si>
  <si>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</si>
  <si>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</si>
  <si>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</si>
  <si>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</si>
  <si>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</si>
  <si>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</si>
  <si>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</si>
  <si>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</si>
  <si>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</si>
  <si>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</si>
  <si>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</si>
  <si>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</si>
  <si>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</si>
  <si>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</si>
  <si>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</si>
  <si>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</si>
  <si>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</si>
  <si>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</si>
  <si>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</si>
  <si>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</si>
  <si>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</si>
  <si>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</si>
  <si>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</si>
  <si>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</si>
  <si>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</si>
  <si>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</si>
  <si>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</si>
  <si>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</si>
  <si>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</si>
  <si>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</si>
  <si>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</si>
  <si>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</si>
  <si>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</si>
  <si>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</si>
  <si>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</si>
  <si>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</si>
  <si>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</si>
  <si>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</si>
  <si>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</si>
  <si>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</si>
  <si>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</si>
  <si>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</si>
  <si>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</si>
  <si>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</si>
  <si>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</si>
  <si>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</si>
  <si>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</si>
  <si>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</si>
  <si>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</si>
  <si>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</si>
  <si>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</si>
  <si>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</si>
  <si>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</si>
  <si>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</si>
  <si>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</si>
  <si>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</si>
  <si>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</si>
  <si>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</si>
  <si>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</si>
  <si>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</si>
  <si>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</si>
  <si>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</si>
  <si>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</si>
  <si>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</si>
  <si>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</si>
  <si>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</si>
  <si>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</si>
  <si>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</si>
  <si>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</si>
  <si>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</si>
  <si>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</si>
  <si>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</si>
  <si>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</si>
  <si>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</si>
  <si>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</si>
  <si>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</si>
  <si>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</si>
  <si>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</si>
  <si>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</si>
  <si>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</si>
  <si>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</si>
  <si>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</si>
  <si>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</si>
  <si>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</si>
  <si>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</si>
  <si>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</si>
  <si>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</si>
  <si>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</si>
  <si>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</si>
  <si>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</si>
  <si>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</si>
  <si>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</si>
  <si>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</si>
  <si>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</si>
  <si>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</si>
  <si>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</si>
  <si>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</si>
  <si>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</si>
  <si>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</si>
  <si>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</si>
  <si>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</si>
  <si>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</si>
  <si>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</si>
  <si>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</si>
  <si>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</si>
  <si>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</si>
  <si>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</si>
  <si>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</si>
  <si>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</si>
  <si>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</si>
  <si>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</si>
  <si>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</si>
  <si>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</si>
  <si>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</si>
  <si>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</si>
  <si>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</si>
  <si>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</si>
  <si>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</si>
  <si>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</si>
  <si>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</si>
  <si>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</si>
  <si>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</si>
  <si>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</si>
  <si>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</si>
  <si>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</si>
  <si>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</si>
  <si>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</si>
  <si>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</si>
  <si>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</si>
  <si>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</si>
  <si>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</si>
  <si>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</si>
  <si>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</si>
  <si>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</si>
  <si>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</si>
  <si>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</si>
  <si>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</si>
  <si>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</si>
  <si>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</si>
  <si>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</si>
  <si>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</si>
  <si>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</si>
  <si>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</si>
  <si>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</si>
  <si>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</si>
  <si>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</si>
  <si>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</si>
  <si>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</si>
  <si>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</si>
  <si>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</si>
  <si>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</si>
  <si>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</si>
  <si>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</si>
  <si>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</si>
  <si>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</si>
  <si>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</si>
  <si>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</si>
  <si>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</si>
  <si>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</si>
  <si>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</si>
  <si>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</si>
  <si>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</si>
  <si>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</si>
  <si>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</si>
  <si>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</si>
  <si>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</si>
  <si>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</si>
  <si>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</si>
  <si>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</si>
  <si>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</si>
  <si>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</si>
  <si>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</si>
  <si>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</si>
  <si>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</si>
  <si>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</si>
  <si>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</si>
  <si>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</si>
  <si>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</si>
  <si>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</si>
  <si>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</si>
  <si>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</si>
  <si>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</si>
  <si>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</si>
  <si>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</si>
  <si>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</si>
  <si>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</si>
  <si>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</si>
  <si>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</si>
  <si>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</si>
  <si>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</si>
  <si>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</si>
  <si>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</si>
  <si>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</si>
  <si>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</si>
  <si>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</si>
  <si>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</si>
  <si>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</si>
  <si>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</si>
  <si>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</si>
  <si>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</si>
  <si>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</si>
  <si>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</si>
  <si>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</si>
  <si>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</si>
  <si>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</si>
  <si>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</si>
  <si>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</si>
  <si>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</si>
  <si>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</si>
  <si>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</si>
  <si>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</si>
  <si>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</si>
  <si>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</si>
  <si>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</si>
  <si>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</si>
  <si>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</si>
  <si>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</si>
  <si>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</si>
  <si>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</si>
  <si>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</si>
  <si>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</si>
  <si>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</si>
  <si>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</si>
  <si>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</si>
  <si>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</si>
  <si>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</si>
  <si>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</si>
  <si>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</si>
  <si>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</si>
  <si>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</si>
  <si>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</si>
  <si>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</si>
  <si>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</si>
  <si>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</si>
  <si>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</si>
  <si>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</si>
  <si>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</si>
  <si>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</si>
  <si>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</si>
  <si>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</si>
  <si>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</si>
  <si>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</si>
  <si>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</si>
  <si>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</si>
  <si>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</si>
  <si>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</si>
  <si>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</si>
  <si>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</si>
  <si>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</si>
  <si>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</si>
  <si>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</si>
  <si>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</si>
  <si>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</si>
  <si>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</si>
  <si>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</si>
  <si>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</si>
  <si>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</si>
  <si>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</si>
  <si>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</si>
  <si>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</si>
  <si>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</si>
  <si>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</si>
  <si>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</si>
  <si>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</si>
  <si>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</si>
  <si>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</si>
  <si>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</si>
  <si>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</si>
  <si>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</si>
  <si>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</si>
  <si>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</si>
  <si>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</si>
  <si>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</si>
  <si>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</si>
  <si>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</si>
  <si>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</si>
  <si>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</si>
  <si>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</si>
  <si>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</si>
  <si>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</si>
  <si>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</si>
  <si>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</si>
  <si>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</si>
  <si>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</si>
  <si>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</si>
  <si>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</si>
  <si>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</si>
  <si>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</si>
  <si>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</si>
  <si>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</si>
  <si>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</si>
  <si>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</si>
  <si>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</si>
  <si>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</si>
  <si>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</si>
  <si>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</si>
  <si>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</si>
  <si>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</si>
  <si>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20260702 11:51:40</t>
  </si>
  <si>
    <t>11:51:40</t>
  </si>
  <si>
    <t>RECT-4121-20260703-11_08_13</t>
  </si>
  <si>
    <t>RECT-4122-20260703-11_50_23</t>
  </si>
  <si>
    <t>-</t>
  </si>
  <si>
    <t>0: Broadleaf</t>
  </si>
  <si>
    <t>11:52:01</t>
  </si>
  <si>
    <t>2/2</t>
  </si>
  <si>
    <t>00000000</t>
  </si>
  <si>
    <t>iiiiiiii</t>
  </si>
  <si>
    <t>off</t>
  </si>
  <si>
    <t>on</t>
  </si>
  <si>
    <t>20260702 11:54:03</t>
  </si>
  <si>
    <t>11:54:03</t>
  </si>
  <si>
    <t>RECT-4123-20260703-11_52_46</t>
  </si>
  <si>
    <t>11:53:03</t>
  </si>
  <si>
    <t>20260702 11:56:06</t>
  </si>
  <si>
    <t>11:56:06</t>
  </si>
  <si>
    <t>RECT-4124-20260703-11_54_49</t>
  </si>
  <si>
    <t>11:55:01</t>
  </si>
  <si>
    <t>20260702 11:58:08</t>
  </si>
  <si>
    <t>11:58:08</t>
  </si>
  <si>
    <t>RECT-4125-20260703-11_56_51</t>
  </si>
  <si>
    <t>11:57:22</t>
  </si>
  <si>
    <t>20260702 12:00:11</t>
  </si>
  <si>
    <t>12:00:11</t>
  </si>
  <si>
    <t>RECT-4126-20260703-11_58_54</t>
  </si>
  <si>
    <t>11:59:35</t>
  </si>
  <si>
    <t>20260702 12:02:14</t>
  </si>
  <si>
    <t>12:02:14</t>
  </si>
  <si>
    <t>RECT-4127-20260703-12_00_57</t>
  </si>
  <si>
    <t>12:01:15</t>
  </si>
  <si>
    <t>20260702 12:04:16</t>
  </si>
  <si>
    <t>12:04:16</t>
  </si>
  <si>
    <t>RECT-4128-20260703-12_02_59</t>
  </si>
  <si>
    <t>12:03:27</t>
  </si>
  <si>
    <t>20260702 12:06:34</t>
  </si>
  <si>
    <t>12:06:34</t>
  </si>
  <si>
    <t>RECT-4129-20260703-12_05_17</t>
  </si>
  <si>
    <t>12:06:06</t>
  </si>
  <si>
    <t>20260702 12:09:08</t>
  </si>
  <si>
    <t>12:09:08</t>
  </si>
  <si>
    <t>RECT-4130-20260703-12_07_51</t>
  </si>
  <si>
    <t>12:08:39</t>
  </si>
  <si>
    <t>20260702 12:11:11</t>
  </si>
  <si>
    <t>12:11:11</t>
  </si>
  <si>
    <t>RECT-4131-20260703-12_09_54</t>
  </si>
  <si>
    <t>12:11:40</t>
  </si>
  <si>
    <t>20260702 12:13:50</t>
  </si>
  <si>
    <t>12:13:50</t>
  </si>
  <si>
    <t>RECT-4132-20260703-12_12_33</t>
  </si>
  <si>
    <t>12:13:02</t>
  </si>
  <si>
    <t>20260702 12:15:55</t>
  </si>
  <si>
    <t>12:15:55</t>
  </si>
  <si>
    <t>RECT-4133-20260703-12_14_38</t>
  </si>
  <si>
    <t>12:15:27</t>
  </si>
  <si>
    <t>20260702 12:18:18</t>
  </si>
  <si>
    <t>12:18:18</t>
  </si>
  <si>
    <t>RECT-4134-20260703-12_17_01</t>
  </si>
  <si>
    <t>12:17:49</t>
  </si>
  <si>
    <t>20260702 12:20:40</t>
  </si>
  <si>
    <t>12:20:40</t>
  </si>
  <si>
    <t>RECT-4135-20260703-12_19_23</t>
  </si>
  <si>
    <t>12:20:10</t>
  </si>
  <si>
    <t>20260702 12:23:12</t>
  </si>
  <si>
    <t>12:23:12</t>
  </si>
  <si>
    <t>RECT-4136-20260703-12_21_55</t>
  </si>
  <si>
    <t>12:22:43</t>
  </si>
  <si>
    <t>20260702 10:35:52</t>
  </si>
  <si>
    <t>10:35:52</t>
  </si>
  <si>
    <t>RECT-4106-20260703-10_18_30</t>
  </si>
  <si>
    <t>RECT-4107-20260703-10_34_34</t>
  </si>
  <si>
    <t>10:36:24</t>
  </si>
  <si>
    <t>20260702 10:38:37</t>
  </si>
  <si>
    <t>10:38:37</t>
  </si>
  <si>
    <t>RECT-4108-20260703-10_37_19</t>
  </si>
  <si>
    <t>10:37:30</t>
  </si>
  <si>
    <t>20260702 10:40:48</t>
  </si>
  <si>
    <t>10:40:48</t>
  </si>
  <si>
    <t>RECT-4109-20260703-10_39_31</t>
  </si>
  <si>
    <t>10:40:11</t>
  </si>
  <si>
    <t>20260702 10:42:57</t>
  </si>
  <si>
    <t>10:42:57</t>
  </si>
  <si>
    <t>RECT-4110-20260703-10_41_39</t>
  </si>
  <si>
    <t>10:42:19</t>
  </si>
  <si>
    <t>20260702 10:45:10</t>
  </si>
  <si>
    <t>10:45:10</t>
  </si>
  <si>
    <t>RECT-4111-20260703-10_43_52</t>
  </si>
  <si>
    <t>10:44:42</t>
  </si>
  <si>
    <t>20260702 10:47:12</t>
  </si>
  <si>
    <t>10:47:12</t>
  </si>
  <si>
    <t>RECT-4112-20260703-10_45_55</t>
  </si>
  <si>
    <t>10:47:39</t>
  </si>
  <si>
    <t>20260702 10:49:43</t>
  </si>
  <si>
    <t>10:49:43</t>
  </si>
  <si>
    <t>RECT-4113-20260703-10_48_26</t>
  </si>
  <si>
    <t>10:50:14</t>
  </si>
  <si>
    <t>20260702 10:52:15</t>
  </si>
  <si>
    <t>10:52:15</t>
  </si>
  <si>
    <t>RECT-4114-20260703-10_50_57</t>
  </si>
  <si>
    <t>10:52:41</t>
  </si>
  <si>
    <t>20260702 10:55:08</t>
  </si>
  <si>
    <t>10:55:08</t>
  </si>
  <si>
    <t>RECT-4115-20260703-10_53_50</t>
  </si>
  <si>
    <t>10:54:39</t>
  </si>
  <si>
    <t>20260702 10:57:10</t>
  </si>
  <si>
    <t>10:57:10</t>
  </si>
  <si>
    <t>RECT-4116-20260703-10_55_53</t>
  </si>
  <si>
    <t>10:57:39</t>
  </si>
  <si>
    <t>20260702 10:59:41</t>
  </si>
  <si>
    <t>10:59:41</t>
  </si>
  <si>
    <t>RECT-4117-20260703-10_58_23</t>
  </si>
  <si>
    <t>11:00:11</t>
  </si>
  <si>
    <t>20260702 11:02:15</t>
  </si>
  <si>
    <t>11:02:15</t>
  </si>
  <si>
    <t>RECT-4118-20260703-11_00_58</t>
  </si>
  <si>
    <t>11:01:39</t>
  </si>
  <si>
    <t>20260702 11:04:24</t>
  </si>
  <si>
    <t>11:04:24</t>
  </si>
  <si>
    <t>RECT-4119-20260703-11_03_06</t>
  </si>
  <si>
    <t>11:04:47</t>
  </si>
  <si>
    <t>20260702 11:06:48</t>
  </si>
  <si>
    <t>11:06:48</t>
  </si>
  <si>
    <t>RECT-4120-20260703-11_05_30</t>
  </si>
  <si>
    <t>11:06:12</t>
  </si>
  <si>
    <t>20260702 11:09:30</t>
  </si>
  <si>
    <t>11:09:30</t>
  </si>
  <si>
    <t>11:09:02</t>
  </si>
  <si>
    <t>20260702 09:48:57</t>
  </si>
  <si>
    <t>09:48:57</t>
  </si>
  <si>
    <t>RECT-4084-20260702-12_46_14</t>
  </si>
  <si>
    <t>RECT-4092-20260703-09_47_39</t>
  </si>
  <si>
    <t>09:48:22</t>
  </si>
  <si>
    <t>20260702 09:51:03</t>
  </si>
  <si>
    <t>09:51:03</t>
  </si>
  <si>
    <t>RECT-4093-20260703-09_49_46</t>
  </si>
  <si>
    <t>09:50:22</t>
  </si>
  <si>
    <t>20260702 09:53:06</t>
  </si>
  <si>
    <t>09:53:06</t>
  </si>
  <si>
    <t>RECT-4094-20260703-09_51_48</t>
  </si>
  <si>
    <t>09:52:30</t>
  </si>
  <si>
    <t>20260702 09:55:10</t>
  </si>
  <si>
    <t>09:55:10</t>
  </si>
  <si>
    <t>RECT-4095-20260703-09_53_53</t>
  </si>
  <si>
    <t>09:54:33</t>
  </si>
  <si>
    <t>20260702 09:57:33</t>
  </si>
  <si>
    <t>09:57:33</t>
  </si>
  <si>
    <t>RECT-4096-20260703-09_56_16</t>
  </si>
  <si>
    <t>09:56:56</t>
  </si>
  <si>
    <t>20260702 09:59:42</t>
  </si>
  <si>
    <t>09:59:42</t>
  </si>
  <si>
    <t>RECT-4097-20260703-09_58_24</t>
  </si>
  <si>
    <t>09:59:00</t>
  </si>
  <si>
    <t>20260702 10:01:59</t>
  </si>
  <si>
    <t>10:01:59</t>
  </si>
  <si>
    <t>RECT-4098-20260703-10_00_41</t>
  </si>
  <si>
    <t>10:01:19</t>
  </si>
  <si>
    <t>20260702 10:04:10</t>
  </si>
  <si>
    <t>10:04:10</t>
  </si>
  <si>
    <t>RECT-4099-20260703-10_02_53</t>
  </si>
  <si>
    <t>10:03:41</t>
  </si>
  <si>
    <t>20260702 10:06:56</t>
  </si>
  <si>
    <t>10:06:56</t>
  </si>
  <si>
    <t>RECT-4100-20260703-10_05_38</t>
  </si>
  <si>
    <t>10:06:27</t>
  </si>
  <si>
    <t>20260702 10:09:00</t>
  </si>
  <si>
    <t>10:09:00</t>
  </si>
  <si>
    <t>RECT-4101-20260703-10_07_42</t>
  </si>
  <si>
    <t>10:08:30</t>
  </si>
  <si>
    <t>20260702 10:11:09</t>
  </si>
  <si>
    <t>10:11:09</t>
  </si>
  <si>
    <t>RECT-4102-20260703-10_09_51</t>
  </si>
  <si>
    <t>10:10:39</t>
  </si>
  <si>
    <t>20260702 10:13:18</t>
  </si>
  <si>
    <t>10:13:18</t>
  </si>
  <si>
    <t>RECT-4103-20260703-10_12_01</t>
  </si>
  <si>
    <t>10:12:42</t>
  </si>
  <si>
    <t>20260702 10:15:21</t>
  </si>
  <si>
    <t>10:15:21</t>
  </si>
  <si>
    <t>RECT-4104-20260703-10_14_03</t>
  </si>
  <si>
    <t>10:14:45</t>
  </si>
  <si>
    <t>20260702 10:17:30</t>
  </si>
  <si>
    <t>10:17:30</t>
  </si>
  <si>
    <t>RECT-4105-20260703-10_16_12</t>
  </si>
  <si>
    <t>10:17:00</t>
  </si>
  <si>
    <t>20260702 10:19:48</t>
  </si>
  <si>
    <t>10:19:48</t>
  </si>
  <si>
    <t>10:19:18</t>
  </si>
  <si>
    <t>8.4542 224.929 389.647 630.539 899.385 1105.24 1265.02 1382.86</t>
  </si>
  <si>
    <t>-0.13875 222.682 383.967 592.873 806.415 1004.04 1201.05 1401.28</t>
  </si>
  <si>
    <t>ΔCO2:MN</t>
  </si>
  <si>
    <t>ΔCO2:SLP</t>
  </si>
  <si>
    <t>ΔCO2:SD</t>
  </si>
  <si>
    <t>ΔCO2:OK</t>
  </si>
  <si>
    <t>1/3</t>
  </si>
  <si>
    <t>2/3</t>
  </si>
  <si>
    <t>3/3</t>
  </si>
  <si>
    <t>20260701 12:13:03</t>
  </si>
  <si>
    <t>12:13:03</t>
  </si>
  <si>
    <t>RECT-4069-20260702-11_55_46</t>
  </si>
  <si>
    <t>RECT-4070-20260702-12_11_48</t>
  </si>
  <si>
    <t>12:13:23</t>
  </si>
  <si>
    <t>20260701 12:16:24</t>
  </si>
  <si>
    <t>12:16:24</t>
  </si>
  <si>
    <t>RECT-4071-20260702-12_15_08</t>
  </si>
  <si>
    <t>12:14:23</t>
  </si>
  <si>
    <t>0/3</t>
  </si>
  <si>
    <t>20260701 12:18:26</t>
  </si>
  <si>
    <t>12:18:26</t>
  </si>
  <si>
    <t>RECT-4072-20260702-12_17_11</t>
  </si>
  <si>
    <t>12:17:23</t>
  </si>
  <si>
    <t>20260701 12:20:50</t>
  </si>
  <si>
    <t>12:20:50</t>
  </si>
  <si>
    <t>RECT-4073-20260702-12_19_35</t>
  </si>
  <si>
    <t>12:19:45</t>
  </si>
  <si>
    <t>20260701 12:23:24</t>
  </si>
  <si>
    <t>12:23:24</t>
  </si>
  <si>
    <t>RECT-4074-20260702-12_22_09</t>
  </si>
  <si>
    <t>12:22:29</t>
  </si>
  <si>
    <t>20260701 12:25:46</t>
  </si>
  <si>
    <t>12:25:46</t>
  </si>
  <si>
    <t>RECT-4075-20260702-12_24_30</t>
  </si>
  <si>
    <t>12:24:52</t>
  </si>
  <si>
    <t>20260701 12:28:04</t>
  </si>
  <si>
    <t>12:28:04</t>
  </si>
  <si>
    <t>RECT-4076-20260702-12_26_48</t>
  </si>
  <si>
    <t>12:27:21</t>
  </si>
  <si>
    <t>20260701 12:30:44</t>
  </si>
  <si>
    <t>12:30:44</t>
  </si>
  <si>
    <t>RECT-4077-20260702-12_29_28</t>
  </si>
  <si>
    <t>12:29:50</t>
  </si>
  <si>
    <t>20260701 12:33:17</t>
  </si>
  <si>
    <t>12:33:17</t>
  </si>
  <si>
    <t>RECT-4078-20260702-12_32_02</t>
  </si>
  <si>
    <t>12:32:35</t>
  </si>
  <si>
    <t>20260701 12:35:34</t>
  </si>
  <si>
    <t>12:35:34</t>
  </si>
  <si>
    <t>RECT-4079-20260702-12_34_18</t>
  </si>
  <si>
    <t>12:34:52</t>
  </si>
  <si>
    <t>20260701 12:37:56</t>
  </si>
  <si>
    <t>12:37:56</t>
  </si>
  <si>
    <t>RECT-4080-20260702-12_36_41</t>
  </si>
  <si>
    <t>12:37:15</t>
  </si>
  <si>
    <t>20260701 12:40:07</t>
  </si>
  <si>
    <t>12:40:07</t>
  </si>
  <si>
    <t>RECT-4081-20260702-12_38_51</t>
  </si>
  <si>
    <t>12:39:30</t>
  </si>
  <si>
    <t>20260701 12:42:09</t>
  </si>
  <si>
    <t>12:42:09</t>
  </si>
  <si>
    <t>RECT-4082-20260702-12_40_54</t>
  </si>
  <si>
    <t>12:42:30</t>
  </si>
  <si>
    <t>20260701 12:44:31</t>
  </si>
  <si>
    <t>12:44:31</t>
  </si>
  <si>
    <t>RECT-4083-20260702-12_43_16</t>
  </si>
  <si>
    <t>12:44:01</t>
  </si>
  <si>
    <t>20260701 12:47:29</t>
  </si>
  <si>
    <t>12:47:29</t>
  </si>
  <si>
    <t>12:46:48</t>
  </si>
  <si>
    <t>20260701 11:19:36</t>
  </si>
  <si>
    <t>11:19:36</t>
  </si>
  <si>
    <t>RECT-4054-20260702-11_01_29</t>
  </si>
  <si>
    <t>RECT-4055-20260702-11_18_21</t>
  </si>
  <si>
    <t>11:20:05</t>
  </si>
  <si>
    <t>20260701 11:23:06</t>
  </si>
  <si>
    <t>11:23:06</t>
  </si>
  <si>
    <t>RECT-4056-20260702-11_21_51</t>
  </si>
  <si>
    <t>11:23:40</t>
  </si>
  <si>
    <t>20260701 11:26:20</t>
  </si>
  <si>
    <t>11:26:20</t>
  </si>
  <si>
    <t>RECT-4057-20260702-11_25_04</t>
  </si>
  <si>
    <t>11:25:04</t>
  </si>
  <si>
    <t>20260701 11:28:22</t>
  </si>
  <si>
    <t>11:28:22</t>
  </si>
  <si>
    <t>RECT-4058-20260702-11_27_07</t>
  </si>
  <si>
    <t>11:27:24</t>
  </si>
  <si>
    <t>20260701 11:31:22</t>
  </si>
  <si>
    <t>11:31:22</t>
  </si>
  <si>
    <t>RECT-4059-20260702-11_30_06</t>
  </si>
  <si>
    <t>11:30:30</t>
  </si>
  <si>
    <t>20260701 11:33:46</t>
  </si>
  <si>
    <t>11:33:46</t>
  </si>
  <si>
    <t>RECT-4060-20260702-11_32_30</t>
  </si>
  <si>
    <t>11:33:03</t>
  </si>
  <si>
    <t>20260701 11:36:22</t>
  </si>
  <si>
    <t>11:36:22</t>
  </si>
  <si>
    <t>RECT-4061-20260702-11_35_06</t>
  </si>
  <si>
    <t>11:35:40</t>
  </si>
  <si>
    <t>20260701 11:39:24</t>
  </si>
  <si>
    <t>11:39:24</t>
  </si>
  <si>
    <t>RECT-4062-20260702-11_38_09</t>
  </si>
  <si>
    <t>11:38:44</t>
  </si>
  <si>
    <t>20260701 11:42:12</t>
  </si>
  <si>
    <t>11:42:12</t>
  </si>
  <si>
    <t>RECT-4063-20260702-11_40_57</t>
  </si>
  <si>
    <t>11:41:30</t>
  </si>
  <si>
    <t>20260701 11:44:45</t>
  </si>
  <si>
    <t>11:44:45</t>
  </si>
  <si>
    <t>RECT-4064-20260702-11_43_30</t>
  </si>
  <si>
    <t>11:44:02</t>
  </si>
  <si>
    <t>20260701 11:47:15</t>
  </si>
  <si>
    <t>11:47:15</t>
  </si>
  <si>
    <t>RECT-4065-20260702-11_46_00</t>
  </si>
  <si>
    <t>11:46:26</t>
  </si>
  <si>
    <t>20260701 11:49:34</t>
  </si>
  <si>
    <t>11:49:34</t>
  </si>
  <si>
    <t>RECT-4066-20260702-11_48_18</t>
  </si>
  <si>
    <t>11:48:56</t>
  </si>
  <si>
    <t>20260701 11:51:59</t>
  </si>
  <si>
    <t>11:51:59</t>
  </si>
  <si>
    <t>RECT-4067-20260702-11_50_43</t>
  </si>
  <si>
    <t>11:51:27</t>
  </si>
  <si>
    <t>20260701 11:54:15</t>
  </si>
  <si>
    <t>11:54:15</t>
  </si>
  <si>
    <t>RECT-4068-20260702-11_53_00</t>
  </si>
  <si>
    <t>11:53:47</t>
  </si>
  <si>
    <t>20260701 11:57:02</t>
  </si>
  <si>
    <t>11:57:02</t>
  </si>
  <si>
    <t>11:56:21</t>
  </si>
  <si>
    <t>21</t>
  </si>
  <si>
    <t>20260701 10:26:34</t>
  </si>
  <si>
    <t>10:26:34</t>
  </si>
  <si>
    <t>RECT-4028-20260701-12_41_40</t>
  </si>
  <si>
    <t>RECT-4040-20260702-10_25_19</t>
  </si>
  <si>
    <t>10:27:06</t>
  </si>
  <si>
    <t>20260701 10:29:28</t>
  </si>
  <si>
    <t>10:29:28</t>
  </si>
  <si>
    <t>RECT-4041-20260702-10_28_12</t>
  </si>
  <si>
    <t>10:29:57</t>
  </si>
  <si>
    <t>20260701 10:32:01</t>
  </si>
  <si>
    <t>10:32:01</t>
  </si>
  <si>
    <t>RECT-4042-20260702-10_30_45</t>
  </si>
  <si>
    <t>10:31:06</t>
  </si>
  <si>
    <t>20260701 10:34:15</t>
  </si>
  <si>
    <t>10:34:15</t>
  </si>
  <si>
    <t>RECT-4043-20260702-10_33_00</t>
  </si>
  <si>
    <t>10:33:19</t>
  </si>
  <si>
    <t>20260701 10:37:03</t>
  </si>
  <si>
    <t>10:37:03</t>
  </si>
  <si>
    <t>RECT-4044-20260702-10_35_48</t>
  </si>
  <si>
    <t>10:36:20</t>
  </si>
  <si>
    <t>20260701 10:39:23</t>
  </si>
  <si>
    <t>10:39:23</t>
  </si>
  <si>
    <t>RECT-4045-20260702-10_38_07</t>
  </si>
  <si>
    <t>10:38:29</t>
  </si>
  <si>
    <t>20260701 10:42:19</t>
  </si>
  <si>
    <t>RECT-4046-20260702-10_41_04</t>
  </si>
  <si>
    <t>10:41:37</t>
  </si>
  <si>
    <t>20260701 10:44:37</t>
  </si>
  <si>
    <t>10:44:37</t>
  </si>
  <si>
    <t>RECT-4047-20260702-10_43_22</t>
  </si>
  <si>
    <t>10:44:09</t>
  </si>
  <si>
    <t>20260701 10:47:39</t>
  </si>
  <si>
    <t>RECT-4048-20260702-10_46_24</t>
  </si>
  <si>
    <t>10:46:58</t>
  </si>
  <si>
    <t>20260701 10:49:42</t>
  </si>
  <si>
    <t>10:49:42</t>
  </si>
  <si>
    <t>RECT-4049-20260702-10_48_26</t>
  </si>
  <si>
    <t>10:50:08</t>
  </si>
  <si>
    <t>20260701 10:52:44</t>
  </si>
  <si>
    <t>10:52:44</t>
  </si>
  <si>
    <t>RECT-4050-20260702-10_51_28</t>
  </si>
  <si>
    <t>10:52:01</t>
  </si>
  <si>
    <t>20260701 10:55:40</t>
  </si>
  <si>
    <t>10:55:40</t>
  </si>
  <si>
    <t>RECT-4051-20260702-10_54_24</t>
  </si>
  <si>
    <t>10:55:01</t>
  </si>
  <si>
    <t>20260701 10:57:54</t>
  </si>
  <si>
    <t>10:57:54</t>
  </si>
  <si>
    <t>RECT-4052-20260702-10_56_38</t>
  </si>
  <si>
    <t>10:57:17</t>
  </si>
  <si>
    <t>20260701 11:00:02</t>
  </si>
  <si>
    <t>11:00:02</t>
  </si>
  <si>
    <t>RECT-4053-20260702-10_58_47</t>
  </si>
  <si>
    <t>10:59:32</t>
  </si>
  <si>
    <t>20260701 11:02:45</t>
  </si>
  <si>
    <t>11:02:45</t>
  </si>
  <si>
    <t>11:01:59</t>
  </si>
  <si>
    <t>10.2086 224.855 399.113 642.275 905.766 1114 1262.08 1404.53</t>
  </si>
  <si>
    <t>0.837448 219.659 384.683 593.88 804.539 1003.77 1200.98 1401.17</t>
  </si>
  <si>
    <t>20250106 14:03:41</t>
  </si>
  <si>
    <t>14:03:41</t>
  </si>
  <si>
    <t>RECT-4013-20260701-11_46_41</t>
  </si>
  <si>
    <t>RECT-4014-20260701-12_06_43</t>
  </si>
  <si>
    <t>14:04:05</t>
  </si>
  <si>
    <t>20250106 14:06:24</t>
  </si>
  <si>
    <t>14:06:24</t>
  </si>
  <si>
    <t>RECT-4015-20260701-12_09_26</t>
  </si>
  <si>
    <t>14:06:47</t>
  </si>
  <si>
    <t>20250106 14:08:50</t>
  </si>
  <si>
    <t>14:08:50</t>
  </si>
  <si>
    <t>RECT-4016-20260701-12_11_53</t>
  </si>
  <si>
    <t>14:07:55</t>
  </si>
  <si>
    <t>20250106 14:11:03</t>
  </si>
  <si>
    <t>14:11:03</t>
  </si>
  <si>
    <t>RECT-4017-20260701-12_14_05</t>
  </si>
  <si>
    <t>14:10:11</t>
  </si>
  <si>
    <t>20250106 14:13:41</t>
  </si>
  <si>
    <t>14:13:41</t>
  </si>
  <si>
    <t>RECT-4018-20260701-12_16_44</t>
  </si>
  <si>
    <t>14:12:46</t>
  </si>
  <si>
    <t>20250106 14:16:14</t>
  </si>
  <si>
    <t>14:16:14</t>
  </si>
  <si>
    <t>RECT-4019-20260701-12_19_17</t>
  </si>
  <si>
    <t>14:15:21</t>
  </si>
  <si>
    <t>20250106 14:18:37</t>
  </si>
  <si>
    <t>14:18:37</t>
  </si>
  <si>
    <t>RECT-4020-20260701-12_21_40</t>
  </si>
  <si>
    <t>14:17:55</t>
  </si>
  <si>
    <t>20250106 14:21:38</t>
  </si>
  <si>
    <t>14:21:38</t>
  </si>
  <si>
    <t>RECT-4021-20260701-12_24_41</t>
  </si>
  <si>
    <t>14:20:45</t>
  </si>
  <si>
    <t>20250106 14:23:40</t>
  </si>
  <si>
    <t>14:23:40</t>
  </si>
  <si>
    <t>RECT-4022-20260701-12_26_43</t>
  </si>
  <si>
    <t>14:24:02</t>
  </si>
  <si>
    <t>20250106 14:26:05</t>
  </si>
  <si>
    <t>14:26:05</t>
  </si>
  <si>
    <t>RECT-4023-20260701-12_29_08</t>
  </si>
  <si>
    <t>14:26:27</t>
  </si>
  <si>
    <t>20250106 14:28:38</t>
  </si>
  <si>
    <t>14:28:38</t>
  </si>
  <si>
    <t>RECT-4024-20260701-12_31_41</t>
  </si>
  <si>
    <t>14:27:58</t>
  </si>
  <si>
    <t>20250106 14:31:06</t>
  </si>
  <si>
    <t>14:31:06</t>
  </si>
  <si>
    <t>RECT-4025-20260701-12_34_09</t>
  </si>
  <si>
    <t>14:30:27</t>
  </si>
  <si>
    <t>20250106 14:33:08</t>
  </si>
  <si>
    <t>14:33:08</t>
  </si>
  <si>
    <t>RECT-4026-20260701-12_36_11</t>
  </si>
  <si>
    <t>14:33:35</t>
  </si>
  <si>
    <t>20250106 14:35:52</t>
  </si>
  <si>
    <t>14:35:52</t>
  </si>
  <si>
    <t>RECT-4027-20260701-12_38_55</t>
  </si>
  <si>
    <t>14:35:24</t>
  </si>
  <si>
    <t>20250106 14:38:37</t>
  </si>
  <si>
    <t>14:38:37</t>
  </si>
  <si>
    <t>14:37:53</t>
  </si>
  <si>
    <t>20250106 13:07:08</t>
  </si>
  <si>
    <t>13:07:08</t>
  </si>
  <si>
    <t>RECT-3998-20260701-11_04_54</t>
  </si>
  <si>
    <t>RECT-3999-20260701-11_10_11</t>
  </si>
  <si>
    <t>13:07:29</t>
  </si>
  <si>
    <t>20250106 13:10:30</t>
  </si>
  <si>
    <t>13:10:30</t>
  </si>
  <si>
    <t>RECT-4000-20260701-11_13_33</t>
  </si>
  <si>
    <t>13:11:02</t>
  </si>
  <si>
    <t>20250106 13:14:03</t>
  </si>
  <si>
    <t>13:14:03</t>
  </si>
  <si>
    <t>RECT-4001-20260701-11_17_05</t>
  </si>
  <si>
    <t>13:13:24</t>
  </si>
  <si>
    <t>20250106 13:16:17</t>
  </si>
  <si>
    <t>13:16:17</t>
  </si>
  <si>
    <t>RECT-4002-20260701-11_19_20</t>
  </si>
  <si>
    <t>13:15:22</t>
  </si>
  <si>
    <t>20250106 13:18:20</t>
  </si>
  <si>
    <t>13:18:20</t>
  </si>
  <si>
    <t>RECT-4003-20260701-11_21_22</t>
  </si>
  <si>
    <t>13:17:38</t>
  </si>
  <si>
    <t>20250106 13:20:46</t>
  </si>
  <si>
    <t>13:20:46</t>
  </si>
  <si>
    <t>RECT-4004-20260701-11_23_48</t>
  </si>
  <si>
    <t>13:19:38</t>
  </si>
  <si>
    <t>20250106 13:23:36</t>
  </si>
  <si>
    <t>13:23:36</t>
  </si>
  <si>
    <t>RECT-4005-20260701-11_26_39</t>
  </si>
  <si>
    <t>13:22:54</t>
  </si>
  <si>
    <t>20250106 13:26:14</t>
  </si>
  <si>
    <t>13:26:14</t>
  </si>
  <si>
    <t>RECT-4006-20260701-11_29_16</t>
  </si>
  <si>
    <t>13:25:19</t>
  </si>
  <si>
    <t>20250106 13:28:47</t>
  </si>
  <si>
    <t>13:28:47</t>
  </si>
  <si>
    <t>RECT-4007-20260701-11_31_49</t>
  </si>
  <si>
    <t>13:28:04</t>
  </si>
  <si>
    <t>20250106 13:31:17</t>
  </si>
  <si>
    <t>13:31:17</t>
  </si>
  <si>
    <t>RECT-4008-20260701-11_34_20</t>
  </si>
  <si>
    <t>13:30:36</t>
  </si>
  <si>
    <t>20250106 13:33:42</t>
  </si>
  <si>
    <t>13:33:42</t>
  </si>
  <si>
    <t>RECT-4009-20260701-11_36_44</t>
  </si>
  <si>
    <t>13:33:02</t>
  </si>
  <si>
    <t>20250106 13:35:55</t>
  </si>
  <si>
    <t>13:35:55</t>
  </si>
  <si>
    <t>RECT-4010-20260701-11_38_58</t>
  </si>
  <si>
    <t>13:35:18</t>
  </si>
  <si>
    <t>20250106 13:38:22</t>
  </si>
  <si>
    <t>13:38:22</t>
  </si>
  <si>
    <t>RECT-4011-20260701-11_41_24</t>
  </si>
  <si>
    <t>13:37:40</t>
  </si>
  <si>
    <t>20250106 13:40:51</t>
  </si>
  <si>
    <t>13:40:51</t>
  </si>
  <si>
    <t>RECT-4012-20260701-11_43_54</t>
  </si>
  <si>
    <t>13:40:09</t>
  </si>
  <si>
    <t>20250106 13:43:39</t>
  </si>
  <si>
    <t>13:43:39</t>
  </si>
  <si>
    <t>13:42:56</t>
  </si>
  <si>
    <t>20250106 11:49:34</t>
  </si>
  <si>
    <t>RECT-3982-20260630-13_11_13</t>
  </si>
  <si>
    <t>RECT-3983-20260701-09_52_37</t>
  </si>
  <si>
    <t>11:47:44</t>
  </si>
  <si>
    <t>20250106 11:52:37</t>
  </si>
  <si>
    <t>11:52:37</t>
  </si>
  <si>
    <t>RECT-3984-20260701-09_55_39</t>
  </si>
  <si>
    <t>11:52:58</t>
  </si>
  <si>
    <t>20250106 11:56:00</t>
  </si>
  <si>
    <t>11:56:00</t>
  </si>
  <si>
    <t>RECT-3985-20260701-09_59_02</t>
  </si>
  <si>
    <t>11:56:33</t>
  </si>
  <si>
    <t>20250106 11:59:21</t>
  </si>
  <si>
    <t>11:59:21</t>
  </si>
  <si>
    <t>RECT-3986-20260701-10_02_24</t>
  </si>
  <si>
    <t>11:57:40</t>
  </si>
  <si>
    <t>20250106 12:01:28</t>
  </si>
  <si>
    <t>12:01:28</t>
  </si>
  <si>
    <t>RECT-3987-20260701-10_04_31</t>
  </si>
  <si>
    <t>12:00:46</t>
  </si>
  <si>
    <t>20250106 12:04:04</t>
  </si>
  <si>
    <t>12:04:04</t>
  </si>
  <si>
    <t>RECT-3988-20260701-10_07_06</t>
  </si>
  <si>
    <t>12:03:21</t>
  </si>
  <si>
    <t>20250106 12:06:49</t>
  </si>
  <si>
    <t>12:06:49</t>
  </si>
  <si>
    <t>RECT-3989-20260701-10_09_52</t>
  </si>
  <si>
    <t>12:06:22</t>
  </si>
  <si>
    <t>20250106 12:09:04</t>
  </si>
  <si>
    <t>12:09:04</t>
  </si>
  <si>
    <t>RECT-3990-20260701-10_12_06</t>
  </si>
  <si>
    <t>12:09:30</t>
  </si>
  <si>
    <t>20250106 12:12:30</t>
  </si>
  <si>
    <t>12:12:30</t>
  </si>
  <si>
    <t>RECT-3991-20260701-10_15_32</t>
  </si>
  <si>
    <t>12:11:48</t>
  </si>
  <si>
    <t>20250106 12:14:44</t>
  </si>
  <si>
    <t>12:14:44</t>
  </si>
  <si>
    <t>RECT-3992-20260701-10_17_46</t>
  </si>
  <si>
    <t>12:14:01</t>
  </si>
  <si>
    <t>20250106 12:16:53</t>
  </si>
  <si>
    <t>12:16:53</t>
  </si>
  <si>
    <t>RECT-3993-20260701-10_19_56</t>
  </si>
  <si>
    <t>12:16:12</t>
  </si>
  <si>
    <t>20250106 12:19:25</t>
  </si>
  <si>
    <t>12:19:25</t>
  </si>
  <si>
    <t>RECT-3994-20260701-10_22_27</t>
  </si>
  <si>
    <t>12:18:49</t>
  </si>
  <si>
    <t>20250106 12:21:30</t>
  </si>
  <si>
    <t>12:21:30</t>
  </si>
  <si>
    <t>RECT-3995-20260701-10_24_33</t>
  </si>
  <si>
    <t>12:20:58</t>
  </si>
  <si>
    <t>20250106 12:24:04</t>
  </si>
  <si>
    <t>12:24:04</t>
  </si>
  <si>
    <t>RECT-3996-20260701-10_27_07</t>
  </si>
  <si>
    <t>12:23:31</t>
  </si>
  <si>
    <t>20250106 12:26:29</t>
  </si>
  <si>
    <t>12:26:29</t>
  </si>
  <si>
    <t>RECT-3997-20260701-10_29_31</t>
  </si>
  <si>
    <t>9.61564 228.986 403.841 650.827 914.693 1124.96 1277.69 1397.66</t>
  </si>
  <si>
    <t>1.12499 216.886 383.791 595.707 806.369 1008.71 1201.12 1400.57</t>
  </si>
  <si>
    <t>20260630 11:18:26</t>
  </si>
  <si>
    <t>11:18:26</t>
  </si>
  <si>
    <t>RECT-3951-20260630-10_02_41</t>
  </si>
  <si>
    <t>RECT-3953-20260630-11_17_13</t>
  </si>
  <si>
    <t>11:18:53</t>
  </si>
  <si>
    <t>20260630 11:20:59</t>
  </si>
  <si>
    <t>11:20:59</t>
  </si>
  <si>
    <t>RECT-3954-20260630-11_19_45</t>
  </si>
  <si>
    <t>20260630 11:23:02</t>
  </si>
  <si>
    <t>11:23:02</t>
  </si>
  <si>
    <t>RECT-3955-20260630-11_21_48</t>
  </si>
  <si>
    <t>11:22:08</t>
  </si>
  <si>
    <t>20260630 11:25:05</t>
  </si>
  <si>
    <t>11:25:05</t>
  </si>
  <si>
    <t>RECT-3956-20260630-11_23_52</t>
  </si>
  <si>
    <t>11:24:10</t>
  </si>
  <si>
    <t>20260630 11:27:48</t>
  </si>
  <si>
    <t>11:27:48</t>
  </si>
  <si>
    <t>RECT-3957-20260630-11_26_34</t>
  </si>
  <si>
    <t>11:27:05</t>
  </si>
  <si>
    <t>20260630 11:30:02</t>
  </si>
  <si>
    <t>11:30:02</t>
  </si>
  <si>
    <t>RECT-3958-20260630-11_28_48</t>
  </si>
  <si>
    <t>11:29:07</t>
  </si>
  <si>
    <t>20260630 11:32:11</t>
  </si>
  <si>
    <t>11:32:11</t>
  </si>
  <si>
    <t>RECT-3959-20260630-11_30_57</t>
  </si>
  <si>
    <t>11:31:28</t>
  </si>
  <si>
    <t>20260630 11:34:38</t>
  </si>
  <si>
    <t>11:34:38</t>
  </si>
  <si>
    <t>RECT-3960-20260630-11_33_25</t>
  </si>
  <si>
    <t>11:33:45</t>
  </si>
  <si>
    <t>20260630 11:37:22</t>
  </si>
  <si>
    <t>11:37:22</t>
  </si>
  <si>
    <t>RECT-3961-20260630-11_36_08</t>
  </si>
  <si>
    <t>11:36:40</t>
  </si>
  <si>
    <t>20260630 11:39:55</t>
  </si>
  <si>
    <t>11:39:55</t>
  </si>
  <si>
    <t>RECT-3962-20260630-11_38_41</t>
  </si>
  <si>
    <t>11:39:11</t>
  </si>
  <si>
    <t>20260630 11:42:21</t>
  </si>
  <si>
    <t>11:42:21</t>
  </si>
  <si>
    <t>RECT-3963-20260630-11_41_08</t>
  </si>
  <si>
    <t>11:41:43</t>
  </si>
  <si>
    <t>20260630 11:45:24</t>
  </si>
  <si>
    <t>11:45:24</t>
  </si>
  <si>
    <t>RECT-3964-20260630-11_44_10</t>
  </si>
  <si>
    <t>11:44:47</t>
  </si>
  <si>
    <t>20260630 11:47:42</t>
  </si>
  <si>
    <t>11:47:42</t>
  </si>
  <si>
    <t>RECT-3965-20260630-11_46_28</t>
  </si>
  <si>
    <t>11:46:57</t>
  </si>
  <si>
    <t>20260630 11:50:17</t>
  </si>
  <si>
    <t>11:50:17</t>
  </si>
  <si>
    <t>RECT-3966-20260630-11_49_03</t>
  </si>
  <si>
    <t>11:49:48</t>
  </si>
  <si>
    <t>20260630 11:52:57</t>
  </si>
  <si>
    <t>11:52:57</t>
  </si>
  <si>
    <t>RECT-3967-20260630-11_51_43</t>
  </si>
  <si>
    <t>11:52:28</t>
  </si>
  <si>
    <t>9.80987 218.525 396.325 639.734 900.801 1107.49 1259.63 1384.06</t>
  </si>
  <si>
    <t>0.074506 216.154 386.157 595.844 805.687 1004.75 1201.1 1401.47</t>
  </si>
  <si>
    <t>20260630 09:28:55</t>
  </si>
  <si>
    <t>09:28:55</t>
  </si>
  <si>
    <t>MPF-3455-20251226-10_45_45</t>
  </si>
  <si>
    <t>RECT-3937-20260630-09_27_42</t>
  </si>
  <si>
    <t>09:29:19</t>
  </si>
  <si>
    <t>20260630 09:31:56</t>
  </si>
  <si>
    <t>09:31:56</t>
  </si>
  <si>
    <t>RECT-3938-20260630-09_30_43</t>
  </si>
  <si>
    <t>09:32:23</t>
  </si>
  <si>
    <t>20260630 09:35:21</t>
  </si>
  <si>
    <t>09:35:21</t>
  </si>
  <si>
    <t>RECT-3939-20260630-09_34_07</t>
  </si>
  <si>
    <t>09:33:26</t>
  </si>
  <si>
    <t>20260630 09:37:24</t>
  </si>
  <si>
    <t>09:37:24</t>
  </si>
  <si>
    <t>RECT-3940-20260630-09_36_10</t>
  </si>
  <si>
    <t>09:36:29</t>
  </si>
  <si>
    <t>20260630 09:39:26</t>
  </si>
  <si>
    <t>09:39:26</t>
  </si>
  <si>
    <t>RECT-3941-20260630-09_38_13</t>
  </si>
  <si>
    <t>09:38:30</t>
  </si>
  <si>
    <t>20260630 09:41:32</t>
  </si>
  <si>
    <t>09:41:32</t>
  </si>
  <si>
    <t>RECT-3942-20260630-09_40_18</t>
  </si>
  <si>
    <t>09:40:50</t>
  </si>
  <si>
    <t>20260630 09:43:41</t>
  </si>
  <si>
    <t>09:43:41</t>
  </si>
  <si>
    <t>RECT-3943-20260630-09_42_27</t>
  </si>
  <si>
    <t>09:42:48</t>
  </si>
  <si>
    <t>20260630 09:46:08</t>
  </si>
  <si>
    <t>09:46:08</t>
  </si>
  <si>
    <t>RECT-3944-20260630-09_44_54</t>
  </si>
  <si>
    <t>09:45:13</t>
  </si>
  <si>
    <t>20260630 09:49:00</t>
  </si>
  <si>
    <t>09:49:00</t>
  </si>
  <si>
    <t>RECT-3945-20260630-09_47_47</t>
  </si>
  <si>
    <t>09:48:05</t>
  </si>
  <si>
    <t>20260630 09:51:15</t>
  </si>
  <si>
    <t>09:51:15</t>
  </si>
  <si>
    <t>RECT-3946-20260630-09_50_02</t>
  </si>
  <si>
    <t>09:50:48</t>
  </si>
  <si>
    <t>20260630 09:53:42</t>
  </si>
  <si>
    <t>09:53:42</t>
  </si>
  <si>
    <t>RECT-3947-20260630-09_52_29</t>
  </si>
  <si>
    <t>09:52:52</t>
  </si>
  <si>
    <t>20260630 09:56:18</t>
  </si>
  <si>
    <t>09:56:18</t>
  </si>
  <si>
    <t>RECT-3948-20260630-09_55_05</t>
  </si>
  <si>
    <t>09:55:42</t>
  </si>
  <si>
    <t>20260630 09:58:33</t>
  </si>
  <si>
    <t>09:58:33</t>
  </si>
  <si>
    <t>RECT-3949-20260630-09_57_20</t>
  </si>
  <si>
    <t>09:58:00</t>
  </si>
  <si>
    <t>20260630 10:01:13</t>
  </si>
  <si>
    <t>10:01:13</t>
  </si>
  <si>
    <t>RECT-3950-20260630-10_00_00</t>
  </si>
  <si>
    <t>10:00:41</t>
  </si>
  <si>
    <t>20260630 10:03:54</t>
  </si>
  <si>
    <t>10:03:54</t>
  </si>
  <si>
    <t>10:03:26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</si>
</sst>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31"/>
  <sheetViews>
    <sheetView workbookViewId="0">
      <selection activeCell="G33" sqref="G32:G33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55</v>
      </c>
      <c r="G13" t="s">
        <v>56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1783011100.5999999</v>
      </c>
      <c r="C17">
        <v>0</v>
      </c>
      <c r="D17" t="s">
        <v>403</v>
      </c>
      <c r="E17" t="s">
        <v>404</v>
      </c>
      <c r="F17">
        <v>15</v>
      </c>
      <c r="H17">
        <v>1783011092.599999</v>
      </c>
      <c r="I17">
        <f t="shared" ref="I17:I31" si="0">(J17)/1000</f>
        <v>3.2051746062169884E-3</v>
      </c>
      <c r="J17">
        <f t="shared" ref="J17:J31" si="1">IF(DO17, AM17, AG17)</f>
        <v>3.2051746062169886</v>
      </c>
      <c r="K17">
        <f t="shared" ref="K17:K31" si="2">IF(DO17, AH17, AF17)</f>
        <v>28.202154825054258</v>
      </c>
      <c r="L17">
        <f t="shared" ref="L17:L31" si="3">DQ17 - IF(AT17&gt;1, K17*DK17*100/(AV17), 0)</f>
        <v>419.2553870967742</v>
      </c>
      <c r="M17">
        <f t="shared" ref="M17:M31" si="4">((S17-I17/2)*L17-K17)/(S17+I17/2)</f>
        <v>147.60431459323124</v>
      </c>
      <c r="N17">
        <f t="shared" ref="N17:N31" si="5">M17*(DX17+DY17)/1000</f>
        <v>14.44588588071751</v>
      </c>
      <c r="O17">
        <f t="shared" ref="O17:O31" si="6">(DQ17 - IF(AT17&gt;1, K17*DK17*100/(AV17), 0))*(DX17+DY17)/1000</f>
        <v>41.032103252310897</v>
      </c>
      <c r="P17">
        <f t="shared" ref="P17:P31" si="7">2/((1/R17-1/Q17)+SIGN(R17)*SQRT((1/R17-1/Q17)*(1/R17-1/Q17) + 4*DL17/((DL17+1)*(DL17+1))*(2*1/R17*1/Q17-1/Q17*1/Q17)))</f>
        <v>0.17642261105808354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2.8922550488932277</v>
      </c>
      <c r="R17">
        <f t="shared" ref="R17:R31" si="9">I17*(1000-(1000*0.61365*EXP(17.502*V17/(240.97+V17))/(DX17+DY17)+DS17)/2)/(1000*0.61365*EXP(17.502*V17/(240.97+V17))/(DX17+DY17)-DS17)</f>
        <v>0.17065473821970917</v>
      </c>
      <c r="S17">
        <f t="shared" ref="S17:S31" si="10">1/((DL17+1)/(P17/1.6)+1/(Q17/1.37)) + DL17/((DL17+1)/(P17/1.6) + DL17/(Q17/1.37))</f>
        <v>0.10716172300496574</v>
      </c>
      <c r="T17">
        <f t="shared" ref="T17:T31" si="11">(DG17*DJ17)</f>
        <v>319.77896165890797</v>
      </c>
      <c r="U17">
        <f t="shared" ref="U17:U31" si="12">(DZ17+(T17+2*0.95*0.0000000567*(((DZ17+$B$7)+273)^4-(DZ17+273)^4)-44100*I17)/(1.84*29.3*Q17+8*0.95*0.0000000567*(DZ17+273)^3))</f>
        <v>34.337422733196682</v>
      </c>
      <c r="V17">
        <f t="shared" ref="V17:V31" si="13">($C$7*EA17+$D$7*EB17+$E$7*U17)</f>
        <v>33.071996774193551</v>
      </c>
      <c r="W17">
        <f t="shared" ref="W17:W31" si="14">0.61365*EXP(17.502*V17/(240.97+V17))</f>
        <v>5.0725806051448057</v>
      </c>
      <c r="X17">
        <f t="shared" ref="X17:X31" si="15">(Y17/Z17*100)</f>
        <v>64.567579946779986</v>
      </c>
      <c r="Y17">
        <f t="shared" ref="Y17:Y31" si="16">DS17*(DX17+DY17)/1000</f>
        <v>3.3131903320793006</v>
      </c>
      <c r="Z17">
        <f t="shared" ref="Z17:Z31" si="17">0.61365*EXP(17.502*DZ17/(240.97+DZ17))</f>
        <v>5.1313528163982722</v>
      </c>
      <c r="AA17">
        <f t="shared" ref="AA17:AA31" si="18">(W17-DS17*(DX17+DY17)/1000)</f>
        <v>1.7593902730655051</v>
      </c>
      <c r="AB17">
        <f t="shared" ref="AB17:AB31" si="19">(-I17*44100)</f>
        <v>-141.34820013416919</v>
      </c>
      <c r="AC17">
        <f t="shared" ref="AC17:AC31" si="20">2*29.3*Q17*0.92*(DZ17-V17)</f>
        <v>32.008847339569023</v>
      </c>
      <c r="AD17">
        <f t="shared" ref="AD17:AD31" si="21">2*0.95*0.0000000567*(((DZ17+$B$7)+273)^4-(V17+273)^4)</f>
        <v>2.5389394235690093</v>
      </c>
      <c r="AE17">
        <f t="shared" ref="AE17:AE31" si="22">T17+AD17+AB17+AC17</f>
        <v>212.97854828787681</v>
      </c>
      <c r="AF17">
        <f t="shared" ref="AF17:AF31" si="23">DW17*AT17*(DR17-DQ17*(1000-AT17*DT17)/(1000-AT17*DS17))/(100*DK17)</f>
        <v>28.202154825054258</v>
      </c>
      <c r="AG17">
        <f t="shared" ref="AG17:AG31" si="24">1000*DW17*AT17*(DS17-DT17)/(100*DK17*(1000-AT17*DS17))</f>
        <v>3.2051746062169886</v>
      </c>
      <c r="AH17">
        <f t="shared" ref="AH17:AH31" si="25">(AI17 - AJ17 - DX17*1000/(8.314*(DZ17+273.15)) * AL17/DW17 * AK17) * DW17/(100*DK17) * (1000 - DT17)/1000</f>
        <v>28.174797538459057</v>
      </c>
      <c r="AI17">
        <v>469.22529695811022</v>
      </c>
      <c r="AJ17">
        <v>434.14657575757582</v>
      </c>
      <c r="AK17">
        <v>4.251370556330368E-2</v>
      </c>
      <c r="AL17">
        <v>67.038186533323852</v>
      </c>
      <c r="AM17">
        <f t="shared" ref="AM17:AM31" si="26">(AO17 - AN17 + DX17*1000/(8.314*(DZ17+273.15)) * AQ17/DW17 * AP17) * DW17/(100*DK17) * 1000/(1000 - AO17)</f>
        <v>3.3877167035378331</v>
      </c>
      <c r="AN17">
        <v>30.17375944706771</v>
      </c>
      <c r="AO17">
        <v>34.04066606060605</v>
      </c>
      <c r="AP17">
        <v>9.9986011604747006E-3</v>
      </c>
      <c r="AQ17">
        <v>78.025011109412532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50698.831143576026</v>
      </c>
      <c r="AW17" t="s">
        <v>405</v>
      </c>
      <c r="AX17">
        <v>5103.1499999999996</v>
      </c>
      <c r="AY17">
        <v>584.19705882352946</v>
      </c>
      <c r="AZ17">
        <v>2574.9499999999998</v>
      </c>
      <c r="BA17">
        <f t="shared" ref="BA17:BA31" si="30">1-AY17/AZ17</f>
        <v>0.77312295041708401</v>
      </c>
      <c r="BB17">
        <v>-5.1755626910525043</v>
      </c>
      <c r="BC17" t="s">
        <v>406</v>
      </c>
      <c r="BD17">
        <v>5095.71</v>
      </c>
      <c r="BE17">
        <v>821.81158823529404</v>
      </c>
      <c r="BF17">
        <v>909.65</v>
      </c>
      <c r="BG17">
        <f t="shared" ref="BG17:BG31" si="31">1-BE17/BF17</f>
        <v>9.6562866778107992E-2</v>
      </c>
      <c r="BH17">
        <v>0.5</v>
      </c>
      <c r="BI17">
        <f t="shared" ref="BI17:BI31" si="32">DH17</f>
        <v>1680.3080417754661</v>
      </c>
      <c r="BJ17">
        <f t="shared" ref="BJ17:BJ31" si="33">K17</f>
        <v>28.202154825054258</v>
      </c>
      <c r="BK17">
        <f t="shared" ref="BK17:BK31" si="34">BG17*BH17*BI17</f>
        <v>81.127680792073932</v>
      </c>
      <c r="BL17">
        <f t="shared" ref="BL17:BL31" si="35">(BJ17-BB17)/BI17</f>
        <v>1.9864046761829946E-2</v>
      </c>
      <c r="BM17">
        <f t="shared" ref="BM17:BM31" si="36">(AZ17-BF17)/BF17</f>
        <v>1.8307041169680645</v>
      </c>
      <c r="BN17">
        <f t="shared" ref="BN17:BN31" si="37">AY17/(BA17+AY17/BF17)</f>
        <v>412.75954805576163</v>
      </c>
      <c r="BO17" t="s">
        <v>407</v>
      </c>
      <c r="BP17">
        <v>0</v>
      </c>
      <c r="BQ17">
        <f t="shared" ref="BQ17:BQ31" si="38">IF(BP17&lt;&gt;0, BP17, BN17)</f>
        <v>412.75954805576163</v>
      </c>
      <c r="BR17">
        <f t="shared" ref="BR17:BR31" si="39">1-BQ17/BF17</f>
        <v>0.54624355735089147</v>
      </c>
      <c r="BS17">
        <f t="shared" ref="BS17:BS31" si="40">(BF17-BE17)/(BF17-BQ17)</f>
        <v>0.1767762117807071</v>
      </c>
      <c r="BT17">
        <f t="shared" ref="BT17:BT31" si="41">(AZ17-BF17)/(AZ17-BQ17)</f>
        <v>0.77019117280004845</v>
      </c>
      <c r="BU17">
        <f t="shared" ref="BU17:BU31" si="42">(BF17-BE17)/(BF17-AY17)</f>
        <v>0.26989589169844763</v>
      </c>
      <c r="BV17">
        <f t="shared" ref="BV17:BV31" si="43">(AZ17-BF17)/(AZ17-AY17)</f>
        <v>0.83651766402307137</v>
      </c>
      <c r="BW17">
        <f t="shared" ref="BW17:BW31" si="44">(BS17*BQ17/BE17)</f>
        <v>8.8786858601369895E-2</v>
      </c>
      <c r="BX17">
        <f t="shared" ref="BX17:BX31" si="45">(1-BW17)</f>
        <v>0.91121314139863008</v>
      </c>
      <c r="DG17">
        <f t="shared" ref="DG17:DG31" si="46">$B$11*EF17+$C$11*EG17+$F$11*ER17*(1-EU17)</f>
        <v>2000.0106451612901</v>
      </c>
      <c r="DH17">
        <f t="shared" ref="DH17:DH31" si="47">DG17*DI17</f>
        <v>1680.3080417754661</v>
      </c>
      <c r="DI17">
        <f t="shared" ref="DI17:DI31" si="48">($B$11*$D$9+$C$11*$D$9+$F$11*((FE17+EW17)/MAX(FE17+EW17+FF17, 0.1)*$I$9+FF17/MAX(FE17+EW17+FF17, 0.1)*$J$9))/($B$11+$C$11+$F$11)</f>
        <v>0.84014954912400397</v>
      </c>
      <c r="DJ17">
        <f t="shared" ref="DJ17:DJ31" si="49">($B$11*$K$9+$C$11*$K$9+$F$11*((FE17+EW17)/MAX(FE17+EW17+FF17, 0.1)*$P$9+FF17/MAX(FE17+EW17+FF17, 0.1)*$Q$9))/($B$11+$C$11+$F$11)</f>
        <v>0.15988862980932761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1783011092.599999</v>
      </c>
      <c r="DQ17">
        <v>419.2553870967742</v>
      </c>
      <c r="DR17">
        <v>454.70999999999992</v>
      </c>
      <c r="DS17">
        <v>33.853319354838717</v>
      </c>
      <c r="DT17">
        <v>30.137370967741941</v>
      </c>
      <c r="DU17">
        <v>423.48919354838699</v>
      </c>
      <c r="DV17">
        <v>33.650319354838707</v>
      </c>
      <c r="DW17">
        <v>500.00729032258062</v>
      </c>
      <c r="DX17">
        <v>97.826074193548379</v>
      </c>
      <c r="DY17">
        <v>4.292049354838709E-2</v>
      </c>
      <c r="DZ17">
        <v>33.277277419354839</v>
      </c>
      <c r="EA17">
        <v>33.071996774193551</v>
      </c>
      <c r="EB17">
        <v>999.90000000000032</v>
      </c>
      <c r="EC17">
        <v>0</v>
      </c>
      <c r="ED17">
        <v>0</v>
      </c>
      <c r="EE17">
        <v>10006.451612903231</v>
      </c>
      <c r="EF17">
        <v>0</v>
      </c>
      <c r="EG17">
        <v>530.47461290322576</v>
      </c>
      <c r="EH17">
        <v>-35.454558064516128</v>
      </c>
      <c r="EI17">
        <v>434.00461290322579</v>
      </c>
      <c r="EJ17">
        <v>468.83964516129032</v>
      </c>
      <c r="EK17">
        <v>3.8466087096774189</v>
      </c>
      <c r="EL17">
        <v>454.70999999999992</v>
      </c>
      <c r="EM17">
        <v>30.137370967741941</v>
      </c>
      <c r="EN17">
        <v>3.32451935483871</v>
      </c>
      <c r="EO17">
        <v>2.9482216129032262</v>
      </c>
      <c r="EP17">
        <v>25.749267741935491</v>
      </c>
      <c r="EQ17">
        <v>23.738322580645161</v>
      </c>
      <c r="ER17">
        <v>2000.0106451612901</v>
      </c>
      <c r="ES17">
        <v>0.99500099999999958</v>
      </c>
      <c r="ET17">
        <v>4.9987693548387089E-3</v>
      </c>
      <c r="EU17">
        <v>0</v>
      </c>
      <c r="EV17">
        <v>821.87080645161279</v>
      </c>
      <c r="EW17">
        <v>5.0010700000000003</v>
      </c>
      <c r="EX17">
        <v>19568.561290322581</v>
      </c>
      <c r="EY17">
        <v>18241.745161290321</v>
      </c>
      <c r="EZ17">
        <v>40.616870967741939</v>
      </c>
      <c r="FA17">
        <v>41.545999999999978</v>
      </c>
      <c r="FB17">
        <v>40.939096774193537</v>
      </c>
      <c r="FC17">
        <v>41.451225806451603</v>
      </c>
      <c r="FD17">
        <v>42.368870967741927</v>
      </c>
      <c r="FE17">
        <v>1985.0406451612901</v>
      </c>
      <c r="FF17">
        <v>9.970000000000006</v>
      </c>
      <c r="FG17">
        <v>0</v>
      </c>
      <c r="FH17">
        <v>2529.3000001907349</v>
      </c>
      <c r="FI17">
        <v>0</v>
      </c>
      <c r="FJ17">
        <v>821.81158823529404</v>
      </c>
      <c r="FK17">
        <v>-3.0115195887428921</v>
      </c>
      <c r="FL17">
        <v>74.264705740057238</v>
      </c>
      <c r="FM17">
        <v>19569.441176470591</v>
      </c>
      <c r="FN17">
        <v>10</v>
      </c>
      <c r="FO17">
        <v>1783011121.5999999</v>
      </c>
      <c r="FP17" t="s">
        <v>409</v>
      </c>
      <c r="FQ17">
        <v>1783008530.5</v>
      </c>
      <c r="FR17">
        <v>1783011121.5999999</v>
      </c>
      <c r="FS17">
        <v>32</v>
      </c>
      <c r="FT17">
        <v>3.6999999999999998E-2</v>
      </c>
      <c r="FU17">
        <v>-0.02</v>
      </c>
      <c r="FV17">
        <v>-4.22</v>
      </c>
      <c r="FW17">
        <v>0.20300000000000001</v>
      </c>
      <c r="FX17">
        <v>416</v>
      </c>
      <c r="FY17">
        <v>30</v>
      </c>
      <c r="FZ17">
        <v>1.61</v>
      </c>
      <c r="GA17">
        <v>0.08</v>
      </c>
      <c r="GB17">
        <v>454.67232258064507</v>
      </c>
      <c r="GC17">
        <v>3.9114193548390221</v>
      </c>
      <c r="GD17">
        <v>0.30843971409668952</v>
      </c>
      <c r="GE17">
        <v>-1</v>
      </c>
      <c r="GF17">
        <v>821.93338235294118</v>
      </c>
      <c r="GG17">
        <v>-1.833078684171243</v>
      </c>
      <c r="GH17">
        <v>0.29165965405971989</v>
      </c>
      <c r="GI17">
        <v>1</v>
      </c>
      <c r="GJ17">
        <v>3.843741707317073</v>
      </c>
      <c r="GK17">
        <v>2.4090940766558069E-2</v>
      </c>
      <c r="GL17">
        <v>1.278961714990587E-2</v>
      </c>
      <c r="GM17">
        <v>1</v>
      </c>
      <c r="GN17">
        <v>2</v>
      </c>
      <c r="GO17">
        <v>2</v>
      </c>
      <c r="GP17" t="s">
        <v>410</v>
      </c>
      <c r="GQ17">
        <v>3.1325799999999999</v>
      </c>
      <c r="GR17">
        <v>2.7193900000000002</v>
      </c>
      <c r="GS17">
        <v>9.1752200000000006E-2</v>
      </c>
      <c r="GT17">
        <v>9.7588300000000003E-2</v>
      </c>
      <c r="GU17">
        <v>0.14258699999999999</v>
      </c>
      <c r="GV17">
        <v>0.13231200000000001</v>
      </c>
      <c r="GW17">
        <v>22842.3</v>
      </c>
      <c r="GX17">
        <v>30560.9</v>
      </c>
      <c r="GY17">
        <v>27271.1</v>
      </c>
      <c r="GZ17">
        <v>34809.4</v>
      </c>
      <c r="HA17">
        <v>34231.699999999997</v>
      </c>
      <c r="HB17">
        <v>38495.800000000003</v>
      </c>
      <c r="HC17">
        <v>40275.699999999997</v>
      </c>
      <c r="HD17">
        <v>44456</v>
      </c>
      <c r="HE17">
        <v>1.9862</v>
      </c>
      <c r="HF17">
        <v>1.8331999999999999</v>
      </c>
      <c r="HG17">
        <v>8.1658400000000006E-2</v>
      </c>
      <c r="HH17">
        <v>0</v>
      </c>
      <c r="HI17">
        <v>31.777000000000001</v>
      </c>
      <c r="HJ17">
        <v>999.9</v>
      </c>
      <c r="HK17">
        <v>62.3</v>
      </c>
      <c r="HL17">
        <v>35.200000000000003</v>
      </c>
      <c r="HM17">
        <v>36.370899999999999</v>
      </c>
      <c r="HN17">
        <v>59.602899999999998</v>
      </c>
      <c r="HO17">
        <v>7.06731</v>
      </c>
      <c r="HP17">
        <v>1</v>
      </c>
      <c r="HQ17">
        <v>0.34823199999999999</v>
      </c>
      <c r="HR17">
        <v>0</v>
      </c>
      <c r="HS17">
        <v>20.281700000000001</v>
      </c>
      <c r="HT17">
        <v>5.2088999999999999</v>
      </c>
      <c r="HU17">
        <v>11.902100000000001</v>
      </c>
      <c r="HV17">
        <v>4.9843999999999999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1.86731</v>
      </c>
      <c r="IC17">
        <v>1.8627899999999999</v>
      </c>
      <c r="ID17">
        <v>1.8623400000000001</v>
      </c>
      <c r="IE17">
        <v>1.86188</v>
      </c>
      <c r="IF17">
        <v>1.86188</v>
      </c>
      <c r="IG17">
        <v>1.86252</v>
      </c>
      <c r="IH17">
        <v>1.8633999999999999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-4.234</v>
      </c>
      <c r="IX17">
        <v>0.20300000000000001</v>
      </c>
      <c r="IY17">
        <v>-2.4233428685160989</v>
      </c>
      <c r="IZ17">
        <v>-4.7754461378838441E-3</v>
      </c>
      <c r="JA17">
        <v>1.175754608921022E-6</v>
      </c>
      <c r="JB17">
        <v>1.4193218893046591E-11</v>
      </c>
      <c r="JC17">
        <v>-0.34341542690900068</v>
      </c>
      <c r="JD17">
        <v>2.7492919904454862E-4</v>
      </c>
      <c r="JE17">
        <v>8.6739513355948885E-4</v>
      </c>
      <c r="JF17">
        <v>-8.2500691715147318E-6</v>
      </c>
      <c r="JG17">
        <v>38</v>
      </c>
      <c r="JH17">
        <v>1780</v>
      </c>
      <c r="JI17">
        <v>2</v>
      </c>
      <c r="JJ17">
        <v>37</v>
      </c>
      <c r="JK17">
        <v>42.8</v>
      </c>
      <c r="JL17">
        <v>42.6</v>
      </c>
      <c r="JM17">
        <v>1.16943</v>
      </c>
      <c r="JN17">
        <v>2.5158700000000001</v>
      </c>
      <c r="JO17">
        <v>1.50024</v>
      </c>
      <c r="JP17">
        <v>2.2692899999999998</v>
      </c>
      <c r="JQ17">
        <v>1.4477500000000001</v>
      </c>
      <c r="JR17">
        <v>2.34497</v>
      </c>
      <c r="JS17">
        <v>39.068300000000001</v>
      </c>
      <c r="JT17">
        <v>14.517300000000001</v>
      </c>
      <c r="JU17">
        <v>18</v>
      </c>
      <c r="JV17">
        <v>538.63900000000001</v>
      </c>
      <c r="JW17">
        <v>454.096</v>
      </c>
      <c r="JX17">
        <v>32.1113</v>
      </c>
      <c r="JY17">
        <v>31.760200000000001</v>
      </c>
      <c r="JZ17">
        <v>30.000399999999999</v>
      </c>
      <c r="KA17">
        <v>31.643599999999999</v>
      </c>
      <c r="KB17">
        <v>31.596299999999999</v>
      </c>
      <c r="KC17">
        <v>23.391999999999999</v>
      </c>
      <c r="KD17">
        <v>30.1326</v>
      </c>
      <c r="KE17">
        <v>22.368099999999998</v>
      </c>
      <c r="KF17">
        <v>-999.9</v>
      </c>
      <c r="KG17">
        <v>455.30399999999997</v>
      </c>
      <c r="KH17">
        <v>30.133400000000002</v>
      </c>
      <c r="KI17">
        <v>100.655</v>
      </c>
      <c r="KJ17">
        <v>99.732699999999994</v>
      </c>
    </row>
    <row r="18" spans="1:296" x14ac:dyDescent="0.3">
      <c r="A18">
        <v>2</v>
      </c>
      <c r="B18">
        <v>1783011243.5999999</v>
      </c>
      <c r="C18">
        <v>143</v>
      </c>
      <c r="D18" t="s">
        <v>415</v>
      </c>
      <c r="E18" t="s">
        <v>416</v>
      </c>
      <c r="F18">
        <v>15</v>
      </c>
      <c r="H18">
        <v>1783011235.849999</v>
      </c>
      <c r="I18">
        <f t="shared" si="0"/>
        <v>3.9524676152316853E-3</v>
      </c>
      <c r="J18">
        <f t="shared" si="1"/>
        <v>3.9524676152316855</v>
      </c>
      <c r="K18">
        <f t="shared" si="2"/>
        <v>32.390767026742047</v>
      </c>
      <c r="L18">
        <f t="shared" si="3"/>
        <v>419.32016666666658</v>
      </c>
      <c r="M18">
        <f t="shared" si="4"/>
        <v>168.18515441183303</v>
      </c>
      <c r="N18">
        <f t="shared" si="5"/>
        <v>16.460123700406989</v>
      </c>
      <c r="O18">
        <f t="shared" si="6"/>
        <v>41.038472376150452</v>
      </c>
      <c r="P18">
        <f t="shared" si="7"/>
        <v>0.22151305456987846</v>
      </c>
      <c r="Q18">
        <f t="shared" si="8"/>
        <v>2.8974571573402175</v>
      </c>
      <c r="R18">
        <f t="shared" si="9"/>
        <v>0.2125165651155651</v>
      </c>
      <c r="S18">
        <f t="shared" si="10"/>
        <v>0.13360070586400605</v>
      </c>
      <c r="T18">
        <f t="shared" si="11"/>
        <v>271.90962822864623</v>
      </c>
      <c r="U18">
        <f t="shared" si="12"/>
        <v>34.126097075813703</v>
      </c>
      <c r="V18">
        <f t="shared" si="13"/>
        <v>33.245310000000003</v>
      </c>
      <c r="W18">
        <f t="shared" si="14"/>
        <v>5.1221617299321407</v>
      </c>
      <c r="X18">
        <f t="shared" si="15"/>
        <v>64.900581851005853</v>
      </c>
      <c r="Y18">
        <f t="shared" si="16"/>
        <v>3.3810267808479253</v>
      </c>
      <c r="Z18">
        <f t="shared" si="17"/>
        <v>5.2095477180926455</v>
      </c>
      <c r="AA18">
        <f t="shared" si="18"/>
        <v>1.7411349490842154</v>
      </c>
      <c r="AB18">
        <f t="shared" si="19"/>
        <v>-174.30382183171733</v>
      </c>
      <c r="AC18">
        <f t="shared" si="20"/>
        <v>47.165356037873991</v>
      </c>
      <c r="AD18">
        <f t="shared" si="21"/>
        <v>3.7425522460683625</v>
      </c>
      <c r="AE18">
        <f t="shared" si="22"/>
        <v>148.51371468087126</v>
      </c>
      <c r="AF18">
        <f t="shared" si="23"/>
        <v>32.390767026742047</v>
      </c>
      <c r="AG18">
        <f t="shared" si="24"/>
        <v>3.9524676152316855</v>
      </c>
      <c r="AH18">
        <f t="shared" si="25"/>
        <v>32.529208767414332</v>
      </c>
      <c r="AI18">
        <v>474.58853993242309</v>
      </c>
      <c r="AJ18">
        <v>434.3367090909091</v>
      </c>
      <c r="AK18">
        <v>4.2901524930325924E-3</v>
      </c>
      <c r="AL18">
        <v>67.094442120988703</v>
      </c>
      <c r="AM18">
        <f t="shared" si="26"/>
        <v>3.9475309551895226</v>
      </c>
      <c r="AN18">
        <v>29.960050980085931</v>
      </c>
      <c r="AO18">
        <v>34.524999393939389</v>
      </c>
      <c r="AP18">
        <v>1.209803457886588E-3</v>
      </c>
      <c r="AQ18">
        <v>78.252313770913233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50799.338256391937</v>
      </c>
      <c r="AW18" t="s">
        <v>405</v>
      </c>
      <c r="AX18">
        <v>5103.1499999999996</v>
      </c>
      <c r="AY18">
        <v>584.19705882352946</v>
      </c>
      <c r="AZ18">
        <v>2574.9499999999998</v>
      </c>
      <c r="BA18">
        <f t="shared" si="30"/>
        <v>0.77312295041708401</v>
      </c>
      <c r="BB18">
        <v>-5.1755626910525043</v>
      </c>
      <c r="BC18" t="s">
        <v>417</v>
      </c>
      <c r="BD18">
        <v>5096.43</v>
      </c>
      <c r="BE18">
        <v>821.20799999999997</v>
      </c>
      <c r="BF18">
        <v>958.2</v>
      </c>
      <c r="BG18">
        <f t="shared" si="31"/>
        <v>0.14296806512210403</v>
      </c>
      <c r="BH18">
        <v>0.5</v>
      </c>
      <c r="BI18">
        <f t="shared" si="32"/>
        <v>1428.3037398075892</v>
      </c>
      <c r="BJ18">
        <f t="shared" si="33"/>
        <v>32.390767026742047</v>
      </c>
      <c r="BK18">
        <f t="shared" si="34"/>
        <v>102.10091104347806</v>
      </c>
      <c r="BL18">
        <f t="shared" si="35"/>
        <v>2.6301359207289633E-2</v>
      </c>
      <c r="BM18">
        <f t="shared" si="36"/>
        <v>1.6872782300146103</v>
      </c>
      <c r="BN18">
        <f t="shared" si="37"/>
        <v>422.47257043137046</v>
      </c>
      <c r="BO18" t="s">
        <v>407</v>
      </c>
      <c r="BP18">
        <v>0</v>
      </c>
      <c r="BQ18">
        <f t="shared" si="38"/>
        <v>422.47257043137046</v>
      </c>
      <c r="BR18">
        <f t="shared" si="39"/>
        <v>0.55909771401443287</v>
      </c>
      <c r="BS18">
        <f t="shared" si="40"/>
        <v>0.25571212605318105</v>
      </c>
      <c r="BT18">
        <f t="shared" si="41"/>
        <v>0.75111124409049301</v>
      </c>
      <c r="BU18">
        <f t="shared" si="42"/>
        <v>0.36628588954160496</v>
      </c>
      <c r="BV18">
        <f t="shared" si="43"/>
        <v>0.8121299065089177</v>
      </c>
      <c r="BW18">
        <f t="shared" si="44"/>
        <v>0.13155176177552827</v>
      </c>
      <c r="BX18">
        <f t="shared" si="45"/>
        <v>0.8684482382244717</v>
      </c>
      <c r="DG18">
        <f t="shared" si="46"/>
        <v>1699.9976666666671</v>
      </c>
      <c r="DH18">
        <f t="shared" si="47"/>
        <v>1428.3037398075892</v>
      </c>
      <c r="DI18">
        <f t="shared" si="48"/>
        <v>0.84017982366304544</v>
      </c>
      <c r="DJ18">
        <f t="shared" si="49"/>
        <v>0.15994705966967768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1783011235.849999</v>
      </c>
      <c r="DQ18">
        <v>419.32016666666658</v>
      </c>
      <c r="DR18">
        <v>460.16646666666662</v>
      </c>
      <c r="DS18">
        <v>34.546430000000001</v>
      </c>
      <c r="DT18">
        <v>29.968603333333331</v>
      </c>
      <c r="DU18">
        <v>423.65596666666659</v>
      </c>
      <c r="DV18">
        <v>34.218513333333327</v>
      </c>
      <c r="DW18">
        <v>500.14003333333329</v>
      </c>
      <c r="DX18">
        <v>97.826383333333325</v>
      </c>
      <c r="DY18">
        <v>4.2681020000000007E-2</v>
      </c>
      <c r="DZ18">
        <v>33.547249999999998</v>
      </c>
      <c r="EA18">
        <v>33.245310000000003</v>
      </c>
      <c r="EB18">
        <v>999.9000000000002</v>
      </c>
      <c r="EC18">
        <v>0</v>
      </c>
      <c r="ED18">
        <v>0</v>
      </c>
      <c r="EE18">
        <v>10036.33333333333</v>
      </c>
      <c r="EF18">
        <v>0</v>
      </c>
      <c r="EG18">
        <v>526.60586666666666</v>
      </c>
      <c r="EH18">
        <v>-40.846296666666667</v>
      </c>
      <c r="EI18">
        <v>434.32446666666681</v>
      </c>
      <c r="EJ18">
        <v>474.3830333333334</v>
      </c>
      <c r="EK18">
        <v>4.5778176666666663</v>
      </c>
      <c r="EL18">
        <v>460.16646666666662</v>
      </c>
      <c r="EM18">
        <v>29.968603333333331</v>
      </c>
      <c r="EN18">
        <v>3.3795516666666661</v>
      </c>
      <c r="EO18">
        <v>2.9317209999999991</v>
      </c>
      <c r="EP18">
        <v>26.026493333333331</v>
      </c>
      <c r="EQ18">
        <v>23.645099999999999</v>
      </c>
      <c r="ER18">
        <v>1699.9976666666671</v>
      </c>
      <c r="ES18">
        <v>0.99399026666666679</v>
      </c>
      <c r="ET18">
        <v>6.0092463333333351E-3</v>
      </c>
      <c r="EU18">
        <v>0</v>
      </c>
      <c r="EV18">
        <v>821.08603333333326</v>
      </c>
      <c r="EW18">
        <v>5.0010700000000003</v>
      </c>
      <c r="EX18">
        <v>17025.83666666667</v>
      </c>
      <c r="EY18">
        <v>15492.436666666659</v>
      </c>
      <c r="EZ18">
        <v>40.928733333333319</v>
      </c>
      <c r="FA18">
        <v>42.125</v>
      </c>
      <c r="FB18">
        <v>41.436999999999983</v>
      </c>
      <c r="FC18">
        <v>42.049599999999977</v>
      </c>
      <c r="FD18">
        <v>42.791333333333313</v>
      </c>
      <c r="FE18">
        <v>1684.807666666667</v>
      </c>
      <c r="FF18">
        <v>10.19</v>
      </c>
      <c r="FG18">
        <v>0</v>
      </c>
      <c r="FH18">
        <v>142.39999985694891</v>
      </c>
      <c r="FI18">
        <v>0</v>
      </c>
      <c r="FJ18">
        <v>821.20799999999997</v>
      </c>
      <c r="FK18">
        <v>2.335294079678341</v>
      </c>
      <c r="FL18">
        <v>51.544117587216647</v>
      </c>
      <c r="FM18">
        <v>17028.599999999999</v>
      </c>
      <c r="FN18">
        <v>10</v>
      </c>
      <c r="FO18">
        <v>1783011183.5999999</v>
      </c>
      <c r="FP18" t="s">
        <v>418</v>
      </c>
      <c r="FQ18">
        <v>1783011183.5999999</v>
      </c>
      <c r="FR18">
        <v>1783011180.0999999</v>
      </c>
      <c r="FS18">
        <v>33</v>
      </c>
      <c r="FT18">
        <v>-0.10100000000000001</v>
      </c>
      <c r="FU18">
        <v>-4.0000000000000001E-3</v>
      </c>
      <c r="FV18">
        <v>-4.476</v>
      </c>
      <c r="FW18">
        <v>0.20399999999999999</v>
      </c>
      <c r="FX18">
        <v>457</v>
      </c>
      <c r="FY18">
        <v>30</v>
      </c>
      <c r="FZ18">
        <v>0.18</v>
      </c>
      <c r="GA18">
        <v>0.09</v>
      </c>
      <c r="GB18">
        <v>460.1428064516129</v>
      </c>
      <c r="GC18">
        <v>1.672741935483391</v>
      </c>
      <c r="GD18">
        <v>0.15167695284021471</v>
      </c>
      <c r="GE18">
        <v>-1</v>
      </c>
      <c r="GF18">
        <v>820.97920588235297</v>
      </c>
      <c r="GG18">
        <v>2.2003208507453329</v>
      </c>
      <c r="GH18">
        <v>0.27213283730902998</v>
      </c>
      <c r="GI18">
        <v>1</v>
      </c>
      <c r="GJ18">
        <v>4.5455114634146341</v>
      </c>
      <c r="GK18">
        <v>0.47083651567945412</v>
      </c>
      <c r="GL18">
        <v>6.6544699210232927E-2</v>
      </c>
      <c r="GM18">
        <v>1</v>
      </c>
      <c r="GN18">
        <v>2</v>
      </c>
      <c r="GO18">
        <v>2</v>
      </c>
      <c r="GP18" t="s">
        <v>410</v>
      </c>
      <c r="GQ18">
        <v>3.13286</v>
      </c>
      <c r="GR18">
        <v>2.7176999999999998</v>
      </c>
      <c r="GS18">
        <v>9.1714500000000004E-2</v>
      </c>
      <c r="GT18">
        <v>9.8350300000000002E-2</v>
      </c>
      <c r="GU18">
        <v>0.14394199999999999</v>
      </c>
      <c r="GV18">
        <v>0.13173399999999999</v>
      </c>
      <c r="GW18">
        <v>22835.599999999999</v>
      </c>
      <c r="GX18">
        <v>30523.7</v>
      </c>
      <c r="GY18">
        <v>27263</v>
      </c>
      <c r="GZ18">
        <v>34797.800000000003</v>
      </c>
      <c r="HA18">
        <v>34169.4</v>
      </c>
      <c r="HB18">
        <v>38510.800000000003</v>
      </c>
      <c r="HC18">
        <v>40264.699999999997</v>
      </c>
      <c r="HD18">
        <v>44442.8</v>
      </c>
      <c r="HE18">
        <v>1.9858</v>
      </c>
      <c r="HF18">
        <v>1.827</v>
      </c>
      <c r="HG18">
        <v>7.1078500000000003E-2</v>
      </c>
      <c r="HH18">
        <v>0</v>
      </c>
      <c r="HI18">
        <v>32.098100000000002</v>
      </c>
      <c r="HJ18">
        <v>999.9</v>
      </c>
      <c r="HK18">
        <v>62.5</v>
      </c>
      <c r="HL18">
        <v>35.299999999999997</v>
      </c>
      <c r="HM18">
        <v>36.690199999999997</v>
      </c>
      <c r="HN18">
        <v>58.742899999999999</v>
      </c>
      <c r="HO18">
        <v>6.44231</v>
      </c>
      <c r="HP18">
        <v>1</v>
      </c>
      <c r="HQ18">
        <v>0.36536600000000002</v>
      </c>
      <c r="HR18">
        <v>0</v>
      </c>
      <c r="HS18">
        <v>20.2836</v>
      </c>
      <c r="HT18">
        <v>5.2088999999999999</v>
      </c>
      <c r="HU18">
        <v>11.902100000000001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1.8672800000000001</v>
      </c>
      <c r="IC18">
        <v>1.8629500000000001</v>
      </c>
      <c r="ID18">
        <v>1.8623400000000001</v>
      </c>
      <c r="IE18">
        <v>1.86188</v>
      </c>
      <c r="IF18">
        <v>1.86188</v>
      </c>
      <c r="IG18">
        <v>1.86252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-4.335</v>
      </c>
      <c r="IX18">
        <v>0.32740000000000002</v>
      </c>
      <c r="IY18">
        <v>-2.524681567224567</v>
      </c>
      <c r="IZ18">
        <v>-4.7754461378838441E-3</v>
      </c>
      <c r="JA18">
        <v>1.175754608921022E-6</v>
      </c>
      <c r="JB18">
        <v>1.4193218893046591E-11</v>
      </c>
      <c r="JC18">
        <v>-0.36657926396764351</v>
      </c>
      <c r="JD18">
        <v>2.7492919904454862E-4</v>
      </c>
      <c r="JE18">
        <v>8.6739513355948885E-4</v>
      </c>
      <c r="JF18">
        <v>-8.2500691715147318E-6</v>
      </c>
      <c r="JG18">
        <v>38</v>
      </c>
      <c r="JH18">
        <v>1780</v>
      </c>
      <c r="JI18">
        <v>2</v>
      </c>
      <c r="JJ18">
        <v>37</v>
      </c>
      <c r="JK18">
        <v>1</v>
      </c>
      <c r="JL18">
        <v>1.1000000000000001</v>
      </c>
      <c r="JM18">
        <v>1.18042</v>
      </c>
      <c r="JN18">
        <v>2.51831</v>
      </c>
      <c r="JO18">
        <v>1.50024</v>
      </c>
      <c r="JP18">
        <v>2.2692899999999998</v>
      </c>
      <c r="JQ18">
        <v>1.4477500000000001</v>
      </c>
      <c r="JR18">
        <v>2.3730500000000001</v>
      </c>
      <c r="JS18">
        <v>39.366700000000002</v>
      </c>
      <c r="JT18">
        <v>14.517300000000001</v>
      </c>
      <c r="JU18">
        <v>18</v>
      </c>
      <c r="JV18">
        <v>539.976</v>
      </c>
      <c r="JW18">
        <v>451.565</v>
      </c>
      <c r="JX18">
        <v>32.443600000000004</v>
      </c>
      <c r="JY18">
        <v>31.970500000000001</v>
      </c>
      <c r="JZ18">
        <v>30.000800000000002</v>
      </c>
      <c r="KA18">
        <v>31.8324</v>
      </c>
      <c r="KB18">
        <v>31.786899999999999</v>
      </c>
      <c r="KC18">
        <v>23.605499999999999</v>
      </c>
      <c r="KD18">
        <v>31.123000000000001</v>
      </c>
      <c r="KE18">
        <v>22.655999999999999</v>
      </c>
      <c r="KF18">
        <v>-999.9</v>
      </c>
      <c r="KG18">
        <v>460.73099999999999</v>
      </c>
      <c r="KH18">
        <v>30.070599999999999</v>
      </c>
      <c r="KI18">
        <v>100.627</v>
      </c>
      <c r="KJ18">
        <v>99.701599999999999</v>
      </c>
    </row>
    <row r="19" spans="1:296" x14ac:dyDescent="0.3">
      <c r="A19">
        <v>3</v>
      </c>
      <c r="B19">
        <v>1783011366.0999999</v>
      </c>
      <c r="C19">
        <v>265.5</v>
      </c>
      <c r="D19" t="s">
        <v>419</v>
      </c>
      <c r="E19" t="s">
        <v>420</v>
      </c>
      <c r="F19">
        <v>15</v>
      </c>
      <c r="H19">
        <v>1783011358.349999</v>
      </c>
      <c r="I19">
        <f t="shared" si="0"/>
        <v>4.2897706903474954E-3</v>
      </c>
      <c r="J19">
        <f t="shared" si="1"/>
        <v>4.2897706903474955</v>
      </c>
      <c r="K19">
        <f t="shared" si="2"/>
        <v>34.627970812664337</v>
      </c>
      <c r="L19">
        <f t="shared" si="3"/>
        <v>419.59723333333318</v>
      </c>
      <c r="M19">
        <f t="shared" si="4"/>
        <v>169.65321158751559</v>
      </c>
      <c r="N19">
        <f t="shared" si="5"/>
        <v>16.603687264530627</v>
      </c>
      <c r="O19">
        <f t="shared" si="6"/>
        <v>41.0653071293914</v>
      </c>
      <c r="P19">
        <f t="shared" si="7"/>
        <v>0.23875605305448389</v>
      </c>
      <c r="Q19">
        <f t="shared" si="8"/>
        <v>2.891628780168205</v>
      </c>
      <c r="R19">
        <f t="shared" si="9"/>
        <v>0.22831983946601589</v>
      </c>
      <c r="S19">
        <f t="shared" si="10"/>
        <v>0.14359953563167294</v>
      </c>
      <c r="T19">
        <f t="shared" si="11"/>
        <v>255.91053549588648</v>
      </c>
      <c r="U19">
        <f t="shared" si="12"/>
        <v>34.188437944834831</v>
      </c>
      <c r="V19">
        <f t="shared" si="13"/>
        <v>33.449596666666658</v>
      </c>
      <c r="W19">
        <f t="shared" si="14"/>
        <v>5.1811445767685278</v>
      </c>
      <c r="X19">
        <f t="shared" si="15"/>
        <v>64.816588341326081</v>
      </c>
      <c r="Y19">
        <f t="shared" si="16"/>
        <v>3.4231822718689644</v>
      </c>
      <c r="Z19">
        <f t="shared" si="17"/>
        <v>5.2813367063418779</v>
      </c>
      <c r="AA19">
        <f t="shared" si="18"/>
        <v>1.7579623048995634</v>
      </c>
      <c r="AB19">
        <f t="shared" si="19"/>
        <v>-189.17888744432454</v>
      </c>
      <c r="AC19">
        <f t="shared" si="20"/>
        <v>53.381568763483841</v>
      </c>
      <c r="AD19">
        <f t="shared" si="21"/>
        <v>4.2536819059501179</v>
      </c>
      <c r="AE19">
        <f t="shared" si="22"/>
        <v>124.36689872099589</v>
      </c>
      <c r="AF19">
        <f t="shared" si="23"/>
        <v>34.627970812664337</v>
      </c>
      <c r="AG19">
        <f t="shared" si="24"/>
        <v>4.2897706903474955</v>
      </c>
      <c r="AH19">
        <f t="shared" si="25"/>
        <v>34.851145572957144</v>
      </c>
      <c r="AI19">
        <v>477.81286919848202</v>
      </c>
      <c r="AJ19">
        <v>434.80343636363642</v>
      </c>
      <c r="AK19">
        <v>-2.0006292706271651E-2</v>
      </c>
      <c r="AL19">
        <v>67.094751015527137</v>
      </c>
      <c r="AM19">
        <f t="shared" si="26"/>
        <v>4.3061331886758776</v>
      </c>
      <c r="AN19">
        <v>30.00642726058917</v>
      </c>
      <c r="AO19">
        <v>34.989405454545448</v>
      </c>
      <c r="AP19">
        <v>5.4009307161085923E-4</v>
      </c>
      <c r="AQ19">
        <v>78.253037442519584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50596.287686964861</v>
      </c>
      <c r="AW19" t="s">
        <v>405</v>
      </c>
      <c r="AX19">
        <v>5103.1499999999996</v>
      </c>
      <c r="AY19">
        <v>584.19705882352946</v>
      </c>
      <c r="AZ19">
        <v>2574.9499999999998</v>
      </c>
      <c r="BA19">
        <f t="shared" si="30"/>
        <v>0.77312295041708401</v>
      </c>
      <c r="BB19">
        <v>-5.1755626910525043</v>
      </c>
      <c r="BC19" t="s">
        <v>421</v>
      </c>
      <c r="BD19">
        <v>5096.67</v>
      </c>
      <c r="BE19">
        <v>822.90858823529402</v>
      </c>
      <c r="BF19">
        <v>989.17</v>
      </c>
      <c r="BG19">
        <f t="shared" si="31"/>
        <v>0.16808173697615769</v>
      </c>
      <c r="BH19">
        <v>0.5</v>
      </c>
      <c r="BI19">
        <f t="shared" si="32"/>
        <v>1344.2655616040861</v>
      </c>
      <c r="BJ19">
        <f t="shared" si="33"/>
        <v>34.627970812664337</v>
      </c>
      <c r="BK19">
        <f t="shared" si="34"/>
        <v>112.97324527582245</v>
      </c>
      <c r="BL19">
        <f t="shared" si="35"/>
        <v>2.9609873703987519E-2</v>
      </c>
      <c r="BM19">
        <f t="shared" si="36"/>
        <v>1.603142028165027</v>
      </c>
      <c r="BN19">
        <f t="shared" si="37"/>
        <v>428.38611680986855</v>
      </c>
      <c r="BO19" t="s">
        <v>407</v>
      </c>
      <c r="BP19">
        <v>0</v>
      </c>
      <c r="BQ19">
        <f t="shared" si="38"/>
        <v>428.38611680986855</v>
      </c>
      <c r="BR19">
        <f t="shared" si="39"/>
        <v>0.56692366649830817</v>
      </c>
      <c r="BS19">
        <f t="shared" si="40"/>
        <v>0.29648036747934803</v>
      </c>
      <c r="BT19">
        <f t="shared" si="41"/>
        <v>0.7387527631571259</v>
      </c>
      <c r="BU19">
        <f t="shared" si="42"/>
        <v>0.41054943394910942</v>
      </c>
      <c r="BV19">
        <f t="shared" si="43"/>
        <v>0.79657297859515164</v>
      </c>
      <c r="BW19">
        <f t="shared" si="44"/>
        <v>0.15434043969234329</v>
      </c>
      <c r="BX19">
        <f t="shared" si="45"/>
        <v>0.84565956030765665</v>
      </c>
      <c r="DG19">
        <f t="shared" si="46"/>
        <v>1599.9739999999999</v>
      </c>
      <c r="DH19">
        <f t="shared" si="47"/>
        <v>1344.2655616040861</v>
      </c>
      <c r="DI19">
        <f t="shared" si="48"/>
        <v>0.84017962892152387</v>
      </c>
      <c r="DJ19">
        <f t="shared" si="49"/>
        <v>0.1599466838185411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1783011358.349999</v>
      </c>
      <c r="DQ19">
        <v>419.59723333333318</v>
      </c>
      <c r="DR19">
        <v>463.30779999999987</v>
      </c>
      <c r="DS19">
        <v>34.977403333333328</v>
      </c>
      <c r="DT19">
        <v>30.010069999999999</v>
      </c>
      <c r="DU19">
        <v>423.9554333333333</v>
      </c>
      <c r="DV19">
        <v>34.64212666666667</v>
      </c>
      <c r="DW19">
        <v>500.03396666666657</v>
      </c>
      <c r="DX19">
        <v>97.824650000000005</v>
      </c>
      <c r="DY19">
        <v>4.3743466666666668E-2</v>
      </c>
      <c r="DZ19">
        <v>33.792020000000001</v>
      </c>
      <c r="EA19">
        <v>33.449596666666658</v>
      </c>
      <c r="EB19">
        <v>999.9000000000002</v>
      </c>
      <c r="EC19">
        <v>0</v>
      </c>
      <c r="ED19">
        <v>0</v>
      </c>
      <c r="EE19">
        <v>10003</v>
      </c>
      <c r="EF19">
        <v>0</v>
      </c>
      <c r="EG19">
        <v>526.4616666666667</v>
      </c>
      <c r="EH19">
        <v>-43.710569999999997</v>
      </c>
      <c r="EI19">
        <v>434.8057</v>
      </c>
      <c r="EJ19">
        <v>477.64183333333341</v>
      </c>
      <c r="EK19">
        <v>4.9673323333333341</v>
      </c>
      <c r="EL19">
        <v>463.30779999999987</v>
      </c>
      <c r="EM19">
        <v>30.010069999999999</v>
      </c>
      <c r="EN19">
        <v>3.4216530000000001</v>
      </c>
      <c r="EO19">
        <v>2.935724</v>
      </c>
      <c r="EP19">
        <v>26.235916666666679</v>
      </c>
      <c r="EQ19">
        <v>23.667776666666661</v>
      </c>
      <c r="ER19">
        <v>1599.9739999999999</v>
      </c>
      <c r="ES19">
        <v>0.99399060000000017</v>
      </c>
      <c r="ET19">
        <v>6.0090186666666668E-3</v>
      </c>
      <c r="EU19">
        <v>0</v>
      </c>
      <c r="EV19">
        <v>822.90866666666659</v>
      </c>
      <c r="EW19">
        <v>5.0010700000000003</v>
      </c>
      <c r="EX19">
        <v>16241.07666666667</v>
      </c>
      <c r="EY19">
        <v>14578.206666666671</v>
      </c>
      <c r="EZ19">
        <v>41.125</v>
      </c>
      <c r="FA19">
        <v>42.510333333333307</v>
      </c>
      <c r="FB19">
        <v>41.75</v>
      </c>
      <c r="FC19">
        <v>42.436999999999983</v>
      </c>
      <c r="FD19">
        <v>43.061999999999983</v>
      </c>
      <c r="FE19">
        <v>1585.384</v>
      </c>
      <c r="FF19">
        <v>9.58</v>
      </c>
      <c r="FG19">
        <v>0</v>
      </c>
      <c r="FH19">
        <v>121.5999999046326</v>
      </c>
      <c r="FI19">
        <v>0</v>
      </c>
      <c r="FJ19">
        <v>822.90858823529402</v>
      </c>
      <c r="FK19">
        <v>0.99313728760529041</v>
      </c>
      <c r="FL19">
        <v>32.647058785601018</v>
      </c>
      <c r="FM19">
        <v>16243.22352941176</v>
      </c>
      <c r="FN19">
        <v>10</v>
      </c>
      <c r="FO19">
        <v>1783011301.0999999</v>
      </c>
      <c r="FP19" t="s">
        <v>422</v>
      </c>
      <c r="FQ19">
        <v>1783011298.5999999</v>
      </c>
      <c r="FR19">
        <v>1783011301.0999999</v>
      </c>
      <c r="FS19">
        <v>34</v>
      </c>
      <c r="FT19">
        <v>-2.1000000000000001E-2</v>
      </c>
      <c r="FU19">
        <v>-6.0000000000000001E-3</v>
      </c>
      <c r="FV19">
        <v>-4.5140000000000002</v>
      </c>
      <c r="FW19">
        <v>0.19</v>
      </c>
      <c r="FX19">
        <v>461</v>
      </c>
      <c r="FY19">
        <v>30</v>
      </c>
      <c r="FZ19">
        <v>0.16</v>
      </c>
      <c r="GA19">
        <v>7.0000000000000007E-2</v>
      </c>
      <c r="GB19">
        <v>463.27725806451622</v>
      </c>
      <c r="GC19">
        <v>1.584677419353405</v>
      </c>
      <c r="GD19">
        <v>0.15035698761709271</v>
      </c>
      <c r="GE19">
        <v>-1</v>
      </c>
      <c r="GF19">
        <v>822.88100000000009</v>
      </c>
      <c r="GG19">
        <v>-0.13197860317397289</v>
      </c>
      <c r="GH19">
        <v>0.2098153249603896</v>
      </c>
      <c r="GI19">
        <v>1</v>
      </c>
      <c r="GJ19">
        <v>4.9604939024390244</v>
      </c>
      <c r="GK19">
        <v>0.1231622299651416</v>
      </c>
      <c r="GL19">
        <v>1.3393509144731031E-2</v>
      </c>
      <c r="GM19">
        <v>1</v>
      </c>
      <c r="GN19">
        <v>2</v>
      </c>
      <c r="GO19">
        <v>2</v>
      </c>
      <c r="GP19" t="s">
        <v>410</v>
      </c>
      <c r="GQ19">
        <v>3.1331699999999998</v>
      </c>
      <c r="GR19">
        <v>2.7203599999999999</v>
      </c>
      <c r="GS19">
        <v>9.1727000000000003E-2</v>
      </c>
      <c r="GT19">
        <v>9.8805000000000004E-2</v>
      </c>
      <c r="GU19">
        <v>0.145177</v>
      </c>
      <c r="GV19">
        <v>0.13169600000000001</v>
      </c>
      <c r="GW19">
        <v>22828.5</v>
      </c>
      <c r="GX19">
        <v>30496.400000000001</v>
      </c>
      <c r="GY19">
        <v>27255.8</v>
      </c>
      <c r="GZ19">
        <v>34785.699999999997</v>
      </c>
      <c r="HA19">
        <v>34112.6</v>
      </c>
      <c r="HB19">
        <v>38502.400000000001</v>
      </c>
      <c r="HC19">
        <v>40254.400000000001</v>
      </c>
      <c r="HD19">
        <v>44430.400000000001</v>
      </c>
      <c r="HE19">
        <v>1.9842</v>
      </c>
      <c r="HF19">
        <v>1.8242</v>
      </c>
      <c r="HG19">
        <v>6.6995600000000002E-2</v>
      </c>
      <c r="HH19">
        <v>0</v>
      </c>
      <c r="HI19">
        <v>32.372599999999998</v>
      </c>
      <c r="HJ19">
        <v>999.9</v>
      </c>
      <c r="HK19">
        <v>62.5</v>
      </c>
      <c r="HL19">
        <v>35.4</v>
      </c>
      <c r="HM19">
        <v>36.895600000000002</v>
      </c>
      <c r="HN19">
        <v>59.732900000000001</v>
      </c>
      <c r="HO19">
        <v>6.5023999999999997</v>
      </c>
      <c r="HP19">
        <v>1</v>
      </c>
      <c r="HQ19">
        <v>0.38247999999999999</v>
      </c>
      <c r="HR19">
        <v>0</v>
      </c>
      <c r="HS19">
        <v>20.284400000000002</v>
      </c>
      <c r="HT19">
        <v>5.2100999999999997</v>
      </c>
      <c r="HU19">
        <v>11.902100000000001</v>
      </c>
      <c r="HV19">
        <v>4.9851999999999999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1.86734</v>
      </c>
      <c r="IC19">
        <v>1.8629500000000001</v>
      </c>
      <c r="ID19">
        <v>1.8623400000000001</v>
      </c>
      <c r="IE19">
        <v>1.86188</v>
      </c>
      <c r="IF19">
        <v>1.86188</v>
      </c>
      <c r="IG19">
        <v>1.8626400000000001</v>
      </c>
      <c r="IH19">
        <v>1.8633999999999999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-4.359</v>
      </c>
      <c r="IX19">
        <v>0.33579999999999999</v>
      </c>
      <c r="IY19">
        <v>-2.545966064377553</v>
      </c>
      <c r="IZ19">
        <v>-4.7754461378838441E-3</v>
      </c>
      <c r="JA19">
        <v>1.175754608921022E-6</v>
      </c>
      <c r="JB19">
        <v>1.4193218893046591E-11</v>
      </c>
      <c r="JC19">
        <v>-0.37220751171385819</v>
      </c>
      <c r="JD19">
        <v>2.7492919904454862E-4</v>
      </c>
      <c r="JE19">
        <v>8.6739513355948885E-4</v>
      </c>
      <c r="JF19">
        <v>-8.2500691715147318E-6</v>
      </c>
      <c r="JG19">
        <v>38</v>
      </c>
      <c r="JH19">
        <v>1780</v>
      </c>
      <c r="JI19">
        <v>2</v>
      </c>
      <c r="JJ19">
        <v>37</v>
      </c>
      <c r="JK19">
        <v>1.1000000000000001</v>
      </c>
      <c r="JL19">
        <v>1.1000000000000001</v>
      </c>
      <c r="JM19">
        <v>1.1853</v>
      </c>
      <c r="JN19">
        <v>2.5158700000000001</v>
      </c>
      <c r="JO19">
        <v>1.50024</v>
      </c>
      <c r="JP19">
        <v>2.2705099999999998</v>
      </c>
      <c r="JQ19">
        <v>1.4477500000000001</v>
      </c>
      <c r="JR19">
        <v>2.4267599999999998</v>
      </c>
      <c r="JS19">
        <v>39.616700000000002</v>
      </c>
      <c r="JT19">
        <v>14.4998</v>
      </c>
      <c r="JU19">
        <v>18</v>
      </c>
      <c r="JV19">
        <v>540.55999999999995</v>
      </c>
      <c r="JW19">
        <v>451.17899999999997</v>
      </c>
      <c r="JX19">
        <v>32.719000000000001</v>
      </c>
      <c r="JY19">
        <v>32.178699999999999</v>
      </c>
      <c r="JZ19">
        <v>30.000800000000002</v>
      </c>
      <c r="KA19">
        <v>32.025399999999998</v>
      </c>
      <c r="KB19">
        <v>31.976099999999999</v>
      </c>
      <c r="KC19">
        <v>23.718900000000001</v>
      </c>
      <c r="KD19">
        <v>31.584399999999999</v>
      </c>
      <c r="KE19">
        <v>22.1463</v>
      </c>
      <c r="KF19">
        <v>-999.9</v>
      </c>
      <c r="KG19">
        <v>463.673</v>
      </c>
      <c r="KH19">
        <v>30.051500000000001</v>
      </c>
      <c r="KI19">
        <v>100.6</v>
      </c>
      <c r="KJ19">
        <v>99.670699999999997</v>
      </c>
    </row>
    <row r="20" spans="1:296" x14ac:dyDescent="0.3">
      <c r="A20">
        <v>4</v>
      </c>
      <c r="B20">
        <v>1783011488.5999999</v>
      </c>
      <c r="C20">
        <v>388</v>
      </c>
      <c r="D20" t="s">
        <v>423</v>
      </c>
      <c r="E20" t="s">
        <v>424</v>
      </c>
      <c r="F20">
        <v>15</v>
      </c>
      <c r="H20">
        <v>1783011480.599999</v>
      </c>
      <c r="I20">
        <f t="shared" si="0"/>
        <v>4.5680331823623925E-3</v>
      </c>
      <c r="J20">
        <f t="shared" si="1"/>
        <v>4.5680331823623925</v>
      </c>
      <c r="K20">
        <f t="shared" si="2"/>
        <v>35.607523422529852</v>
      </c>
      <c r="L20">
        <f t="shared" si="3"/>
        <v>419.43564516129032</v>
      </c>
      <c r="M20">
        <f t="shared" si="4"/>
        <v>179.55968295531562</v>
      </c>
      <c r="N20">
        <f t="shared" si="5"/>
        <v>17.574081963134397</v>
      </c>
      <c r="O20">
        <f t="shared" si="6"/>
        <v>41.05151159215977</v>
      </c>
      <c r="P20">
        <f t="shared" si="7"/>
        <v>0.25702603545034658</v>
      </c>
      <c r="Q20">
        <f t="shared" si="8"/>
        <v>2.8915788196287484</v>
      </c>
      <c r="R20">
        <f t="shared" si="9"/>
        <v>0.24497464745543857</v>
      </c>
      <c r="S20">
        <f t="shared" si="10"/>
        <v>0.15414482697619475</v>
      </c>
      <c r="T20">
        <f t="shared" si="11"/>
        <v>224.0051035680994</v>
      </c>
      <c r="U20">
        <f t="shared" si="12"/>
        <v>34.096501206742893</v>
      </c>
      <c r="V20">
        <f t="shared" si="13"/>
        <v>33.551790322580644</v>
      </c>
      <c r="W20">
        <f t="shared" si="14"/>
        <v>5.210871590411835</v>
      </c>
      <c r="X20">
        <f t="shared" si="15"/>
        <v>65.01940966895981</v>
      </c>
      <c r="Y20">
        <f t="shared" si="16"/>
        <v>3.4667390708160171</v>
      </c>
      <c r="Z20">
        <f t="shared" si="17"/>
        <v>5.3318525782786894</v>
      </c>
      <c r="AA20">
        <f t="shared" si="18"/>
        <v>1.7441325195958179</v>
      </c>
      <c r="AB20">
        <f t="shared" si="19"/>
        <v>-201.4502633421815</v>
      </c>
      <c r="AC20">
        <f t="shared" si="20"/>
        <v>64.030384943372852</v>
      </c>
      <c r="AD20">
        <f t="shared" si="21"/>
        <v>5.1091258906765384</v>
      </c>
      <c r="AE20">
        <f t="shared" si="22"/>
        <v>91.694351059967303</v>
      </c>
      <c r="AF20">
        <f t="shared" si="23"/>
        <v>35.607523422529852</v>
      </c>
      <c r="AG20">
        <f t="shared" si="24"/>
        <v>4.5680331823623925</v>
      </c>
      <c r="AH20">
        <f t="shared" si="25"/>
        <v>35.624004348153044</v>
      </c>
      <c r="AI20">
        <v>479.20195208009301</v>
      </c>
      <c r="AJ20">
        <v>434.98258181818181</v>
      </c>
      <c r="AK20">
        <v>2.7355888534321519E-2</v>
      </c>
      <c r="AL20">
        <v>67.034876142295019</v>
      </c>
      <c r="AM20">
        <f t="shared" si="26"/>
        <v>4.5692347604450161</v>
      </c>
      <c r="AN20">
        <v>30.143573878328191</v>
      </c>
      <c r="AO20">
        <v>35.429281212121197</v>
      </c>
      <c r="AP20">
        <v>5.5777987085414542E-4</v>
      </c>
      <c r="AQ20">
        <v>78.060248994944629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50566.885861799499</v>
      </c>
      <c r="AW20" t="s">
        <v>405</v>
      </c>
      <c r="AX20">
        <v>5103.1499999999996</v>
      </c>
      <c r="AY20">
        <v>584.19705882352946</v>
      </c>
      <c r="AZ20">
        <v>2574.9499999999998</v>
      </c>
      <c r="BA20">
        <f t="shared" si="30"/>
        <v>0.77312295041708401</v>
      </c>
      <c r="BB20">
        <v>-5.1755626910525043</v>
      </c>
      <c r="BC20" t="s">
        <v>425</v>
      </c>
      <c r="BD20">
        <v>5097.5200000000004</v>
      </c>
      <c r="BE20">
        <v>826.7413529411765</v>
      </c>
      <c r="BF20">
        <v>1046.72</v>
      </c>
      <c r="BG20">
        <f t="shared" si="31"/>
        <v>0.21015997311489565</v>
      </c>
      <c r="BH20">
        <v>0.5</v>
      </c>
      <c r="BI20">
        <f t="shared" si="32"/>
        <v>1176.2927997762174</v>
      </c>
      <c r="BJ20">
        <f t="shared" si="33"/>
        <v>35.607523422529852</v>
      </c>
      <c r="BK20">
        <f t="shared" si="34"/>
        <v>123.60483158810759</v>
      </c>
      <c r="BL20">
        <f t="shared" si="35"/>
        <v>3.4670862663905698E-2</v>
      </c>
      <c r="BM20">
        <f t="shared" si="36"/>
        <v>1.4600179608682358</v>
      </c>
      <c r="BN20">
        <f t="shared" si="37"/>
        <v>438.83526226022485</v>
      </c>
      <c r="BO20" t="s">
        <v>407</v>
      </c>
      <c r="BP20">
        <v>0</v>
      </c>
      <c r="BQ20">
        <f t="shared" si="38"/>
        <v>438.83526226022485</v>
      </c>
      <c r="BR20">
        <f t="shared" si="39"/>
        <v>0.5807520041078561</v>
      </c>
      <c r="BS20">
        <f t="shared" si="40"/>
        <v>0.36187558825171978</v>
      </c>
      <c r="BT20">
        <f t="shared" si="41"/>
        <v>0.71542505325206518</v>
      </c>
      <c r="BU20">
        <f t="shared" si="42"/>
        <v>0.47560591589097651</v>
      </c>
      <c r="BV20">
        <f t="shared" si="43"/>
        <v>0.76766431855520223</v>
      </c>
      <c r="BW20">
        <f t="shared" si="44"/>
        <v>0.19208397899907112</v>
      </c>
      <c r="BX20">
        <f t="shared" si="45"/>
        <v>0.80791602100092885</v>
      </c>
      <c r="DG20">
        <f t="shared" si="46"/>
        <v>1400</v>
      </c>
      <c r="DH20">
        <f t="shared" si="47"/>
        <v>1176.2927997762174</v>
      </c>
      <c r="DI20">
        <f t="shared" si="48"/>
        <v>0.84020914269729807</v>
      </c>
      <c r="DJ20">
        <f t="shared" si="49"/>
        <v>0.16000364540578529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1783011480.599999</v>
      </c>
      <c r="DQ20">
        <v>419.43564516129032</v>
      </c>
      <c r="DR20">
        <v>464.46577419354838</v>
      </c>
      <c r="DS20">
        <v>35.420716129032257</v>
      </c>
      <c r="DT20">
        <v>30.13301612903226</v>
      </c>
      <c r="DU20">
        <v>423.77851612903231</v>
      </c>
      <c r="DV20">
        <v>35.081441935483873</v>
      </c>
      <c r="DW20">
        <v>499.97883870967752</v>
      </c>
      <c r="DX20">
        <v>97.829099999999997</v>
      </c>
      <c r="DY20">
        <v>4.410669032258064E-2</v>
      </c>
      <c r="DZ20">
        <v>33.962529032258068</v>
      </c>
      <c r="EA20">
        <v>33.551790322580644</v>
      </c>
      <c r="EB20">
        <v>999.90000000000032</v>
      </c>
      <c r="EC20">
        <v>0</v>
      </c>
      <c r="ED20">
        <v>0</v>
      </c>
      <c r="EE20">
        <v>10002.258064516131</v>
      </c>
      <c r="EF20">
        <v>0</v>
      </c>
      <c r="EG20">
        <v>525.37377419354834</v>
      </c>
      <c r="EH20">
        <v>-45.030261290322571</v>
      </c>
      <c r="EI20">
        <v>434.83783870967738</v>
      </c>
      <c r="EJ20">
        <v>478.8964193548386</v>
      </c>
      <c r="EK20">
        <v>5.2877054838709689</v>
      </c>
      <c r="EL20">
        <v>464.46577419354838</v>
      </c>
      <c r="EM20">
        <v>30.13301612903226</v>
      </c>
      <c r="EN20">
        <v>3.4651758064516129</v>
      </c>
      <c r="EO20">
        <v>2.9478851612903219</v>
      </c>
      <c r="EP20">
        <v>26.45008064516129</v>
      </c>
      <c r="EQ20">
        <v>23.73642580645161</v>
      </c>
      <c r="ER20">
        <v>1400</v>
      </c>
      <c r="ES20">
        <v>0.99300200000000016</v>
      </c>
      <c r="ET20">
        <v>6.998200000000003E-3</v>
      </c>
      <c r="EU20">
        <v>0</v>
      </c>
      <c r="EV20">
        <v>826.65054838709682</v>
      </c>
      <c r="EW20">
        <v>5.0010700000000003</v>
      </c>
      <c r="EX20">
        <v>14643.06451612903</v>
      </c>
      <c r="EY20">
        <v>12745.545161290331</v>
      </c>
      <c r="EZ20">
        <v>41.186999999999983</v>
      </c>
      <c r="FA20">
        <v>42.824193548387093</v>
      </c>
      <c r="FB20">
        <v>42</v>
      </c>
      <c r="FC20">
        <v>42.864838709677407</v>
      </c>
      <c r="FD20">
        <v>43.243903225806463</v>
      </c>
      <c r="FE20">
        <v>1385.24</v>
      </c>
      <c r="FF20">
        <v>9.759999999999998</v>
      </c>
      <c r="FG20">
        <v>0</v>
      </c>
      <c r="FH20">
        <v>121.7999999523163</v>
      </c>
      <c r="FI20">
        <v>0</v>
      </c>
      <c r="FJ20">
        <v>826.7413529411765</v>
      </c>
      <c r="FK20">
        <v>-0.33700981836595773</v>
      </c>
      <c r="FL20">
        <v>67.156862784417726</v>
      </c>
      <c r="FM20">
        <v>14646.21176470588</v>
      </c>
      <c r="FN20">
        <v>10</v>
      </c>
      <c r="FO20">
        <v>1783011442.0999999</v>
      </c>
      <c r="FP20" t="s">
        <v>426</v>
      </c>
      <c r="FQ20">
        <v>1783011433.5999999</v>
      </c>
      <c r="FR20">
        <v>1783011442.0999999</v>
      </c>
      <c r="FS20">
        <v>35</v>
      </c>
      <c r="FT20">
        <v>1.4999999999999999E-2</v>
      </c>
      <c r="FU20">
        <v>-8.9999999999999993E-3</v>
      </c>
      <c r="FV20">
        <v>-4.508</v>
      </c>
      <c r="FW20">
        <v>0.189</v>
      </c>
      <c r="FX20">
        <v>464</v>
      </c>
      <c r="FY20">
        <v>30</v>
      </c>
      <c r="FZ20">
        <v>0.16</v>
      </c>
      <c r="GA20">
        <v>0.06</v>
      </c>
      <c r="GB20">
        <v>464.42590000000001</v>
      </c>
      <c r="GC20">
        <v>3.8008898776412221</v>
      </c>
      <c r="GD20">
        <v>0.30718662622798643</v>
      </c>
      <c r="GE20">
        <v>-1</v>
      </c>
      <c r="GF20">
        <v>826.63561764705889</v>
      </c>
      <c r="GG20">
        <v>0.74837280098716064</v>
      </c>
      <c r="GH20">
        <v>0.21011523654832789</v>
      </c>
      <c r="GI20">
        <v>1</v>
      </c>
      <c r="GJ20">
        <v>5.2920484999999999</v>
      </c>
      <c r="GK20">
        <v>-9.5608705440915071E-2</v>
      </c>
      <c r="GL20">
        <v>1.205115151137022E-2</v>
      </c>
      <c r="GM20">
        <v>1</v>
      </c>
      <c r="GN20">
        <v>2</v>
      </c>
      <c r="GO20">
        <v>2</v>
      </c>
      <c r="GP20" t="s">
        <v>410</v>
      </c>
      <c r="GQ20">
        <v>3.1333500000000001</v>
      </c>
      <c r="GR20">
        <v>2.7209599999999998</v>
      </c>
      <c r="GS20">
        <v>9.1682899999999998E-2</v>
      </c>
      <c r="GT20">
        <v>9.8977899999999994E-2</v>
      </c>
      <c r="GU20">
        <v>0.14635200000000001</v>
      </c>
      <c r="GV20">
        <v>0.13191800000000001</v>
      </c>
      <c r="GW20">
        <v>22821.5</v>
      </c>
      <c r="GX20">
        <v>30476.9</v>
      </c>
      <c r="GY20">
        <v>27247.200000000001</v>
      </c>
      <c r="GZ20">
        <v>34771.800000000003</v>
      </c>
      <c r="HA20">
        <v>34056.199999999997</v>
      </c>
      <c r="HB20">
        <v>38481.1</v>
      </c>
      <c r="HC20">
        <v>40241.4</v>
      </c>
      <c r="HD20">
        <v>44416.3</v>
      </c>
      <c r="HE20">
        <v>1.9823999999999999</v>
      </c>
      <c r="HF20">
        <v>1.819</v>
      </c>
      <c r="HG20">
        <v>5.8561599999999998E-2</v>
      </c>
      <c r="HH20">
        <v>0</v>
      </c>
      <c r="HI20">
        <v>32.608400000000003</v>
      </c>
      <c r="HJ20">
        <v>999.9</v>
      </c>
      <c r="HK20">
        <v>62.6</v>
      </c>
      <c r="HL20">
        <v>35.5</v>
      </c>
      <c r="HM20">
        <v>37.160400000000003</v>
      </c>
      <c r="HN20">
        <v>59.532899999999998</v>
      </c>
      <c r="HO20">
        <v>6.52644</v>
      </c>
      <c r="HP20">
        <v>1</v>
      </c>
      <c r="HQ20">
        <v>0.40122000000000002</v>
      </c>
      <c r="HR20">
        <v>0</v>
      </c>
      <c r="HS20">
        <v>20.285299999999999</v>
      </c>
      <c r="HT20">
        <v>5.2088999999999999</v>
      </c>
      <c r="HU20">
        <v>11.902100000000001</v>
      </c>
      <c r="HV20">
        <v>4.9851999999999999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1.8623400000000001</v>
      </c>
      <c r="IE20">
        <v>1.86188</v>
      </c>
      <c r="IF20">
        <v>1.86191</v>
      </c>
      <c r="IG20">
        <v>1.8626100000000001</v>
      </c>
      <c r="IH20">
        <v>1.8634299999999999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-4.3440000000000003</v>
      </c>
      <c r="IX20">
        <v>0.3397</v>
      </c>
      <c r="IY20">
        <v>-2.5313839943174048</v>
      </c>
      <c r="IZ20">
        <v>-4.7754461378838441E-3</v>
      </c>
      <c r="JA20">
        <v>1.175754608921022E-6</v>
      </c>
      <c r="JB20">
        <v>1.4193218893046591E-11</v>
      </c>
      <c r="JC20">
        <v>-0.3816796379605869</v>
      </c>
      <c r="JD20">
        <v>2.7492919904454862E-4</v>
      </c>
      <c r="JE20">
        <v>8.6739513355948885E-4</v>
      </c>
      <c r="JF20">
        <v>-8.2500691715147318E-6</v>
      </c>
      <c r="JG20">
        <v>38</v>
      </c>
      <c r="JH20">
        <v>1780</v>
      </c>
      <c r="JI20">
        <v>2</v>
      </c>
      <c r="JJ20">
        <v>37</v>
      </c>
      <c r="JK20">
        <v>0.9</v>
      </c>
      <c r="JL20">
        <v>0.8</v>
      </c>
      <c r="JM20">
        <v>1.18896</v>
      </c>
      <c r="JN20">
        <v>2.52075</v>
      </c>
      <c r="JO20">
        <v>1.50024</v>
      </c>
      <c r="JP20">
        <v>2.2705099999999998</v>
      </c>
      <c r="JQ20">
        <v>1.4477500000000001</v>
      </c>
      <c r="JR20">
        <v>2.4658199999999999</v>
      </c>
      <c r="JS20">
        <v>39.918399999999998</v>
      </c>
      <c r="JT20">
        <v>14.4823</v>
      </c>
      <c r="JU20">
        <v>18</v>
      </c>
      <c r="JV20">
        <v>541.21199999999999</v>
      </c>
      <c r="JW20">
        <v>449.43099999999998</v>
      </c>
      <c r="JX20">
        <v>32.9846</v>
      </c>
      <c r="JY20">
        <v>32.413899999999998</v>
      </c>
      <c r="JZ20">
        <v>30.000599999999999</v>
      </c>
      <c r="KA20">
        <v>32.242699999999999</v>
      </c>
      <c r="KB20">
        <v>32.188899999999997</v>
      </c>
      <c r="KC20">
        <v>23.770199999999999</v>
      </c>
      <c r="KD20">
        <v>32.036299999999997</v>
      </c>
      <c r="KE20">
        <v>21.762799999999999</v>
      </c>
      <c r="KF20">
        <v>-999.9</v>
      </c>
      <c r="KG20">
        <v>464.89800000000002</v>
      </c>
      <c r="KH20">
        <v>29.984100000000002</v>
      </c>
      <c r="KI20">
        <v>100.568</v>
      </c>
      <c r="KJ20">
        <v>99.635499999999993</v>
      </c>
    </row>
    <row r="21" spans="1:296" x14ac:dyDescent="0.3">
      <c r="A21">
        <v>5</v>
      </c>
      <c r="B21">
        <v>1783011611.0999999</v>
      </c>
      <c r="C21">
        <v>510.5</v>
      </c>
      <c r="D21" t="s">
        <v>427</v>
      </c>
      <c r="E21" t="s">
        <v>428</v>
      </c>
      <c r="F21">
        <v>15</v>
      </c>
      <c r="H21">
        <v>1783011603.349999</v>
      </c>
      <c r="I21">
        <f t="shared" si="0"/>
        <v>4.6318633673388589E-3</v>
      </c>
      <c r="J21">
        <f t="shared" si="1"/>
        <v>4.631863367338859</v>
      </c>
      <c r="K21">
        <f t="shared" si="2"/>
        <v>34.275553605290575</v>
      </c>
      <c r="L21">
        <f t="shared" si="3"/>
        <v>419.81666666666672</v>
      </c>
      <c r="M21">
        <f t="shared" si="4"/>
        <v>196.16893640241801</v>
      </c>
      <c r="N21">
        <f t="shared" si="5"/>
        <v>19.199456481026509</v>
      </c>
      <c r="O21">
        <f t="shared" si="6"/>
        <v>41.088318922938953</v>
      </c>
      <c r="P21">
        <f t="shared" si="7"/>
        <v>0.26657371412934155</v>
      </c>
      <c r="Q21">
        <f t="shared" si="8"/>
        <v>2.8932236024772013</v>
      </c>
      <c r="R21">
        <f t="shared" si="9"/>
        <v>0.25364154517999632</v>
      </c>
      <c r="S21">
        <f t="shared" si="10"/>
        <v>0.15963557572410411</v>
      </c>
      <c r="T21">
        <f t="shared" si="11"/>
        <v>176.12928954540587</v>
      </c>
      <c r="U21">
        <f t="shared" si="12"/>
        <v>33.839393919152897</v>
      </c>
      <c r="V21">
        <f t="shared" si="13"/>
        <v>33.505543333333328</v>
      </c>
      <c r="W21">
        <f t="shared" si="14"/>
        <v>5.197400521878758</v>
      </c>
      <c r="X21">
        <f t="shared" si="15"/>
        <v>65.284953794210949</v>
      </c>
      <c r="Y21">
        <f t="shared" si="16"/>
        <v>3.4894316423139049</v>
      </c>
      <c r="Z21">
        <f t="shared" si="17"/>
        <v>5.3449247330605072</v>
      </c>
      <c r="AA21">
        <f t="shared" si="18"/>
        <v>1.7079688795648531</v>
      </c>
      <c r="AB21">
        <f t="shared" si="19"/>
        <v>-204.26517449964368</v>
      </c>
      <c r="AC21">
        <f t="shared" si="20"/>
        <v>78.126997362730847</v>
      </c>
      <c r="AD21">
        <f t="shared" si="21"/>
        <v>6.2303114715097356</v>
      </c>
      <c r="AE21">
        <f t="shared" si="22"/>
        <v>56.221423880002774</v>
      </c>
      <c r="AF21">
        <f t="shared" si="23"/>
        <v>34.275553605290575</v>
      </c>
      <c r="AG21">
        <f t="shared" si="24"/>
        <v>4.631863367338859</v>
      </c>
      <c r="AH21">
        <f t="shared" si="25"/>
        <v>34.276082662864972</v>
      </c>
      <c r="AI21">
        <v>477.46531786247488</v>
      </c>
      <c r="AJ21">
        <v>435.10283030303032</v>
      </c>
      <c r="AK21">
        <v>-9.8241671061090555E-3</v>
      </c>
      <c r="AL21">
        <v>67.074285874998083</v>
      </c>
      <c r="AM21">
        <f t="shared" si="26"/>
        <v>4.6149572702329271</v>
      </c>
      <c r="AN21">
        <v>30.300245220194299</v>
      </c>
      <c r="AO21">
        <v>35.638087878787879</v>
      </c>
      <c r="AP21">
        <v>3.8960970512037492E-4</v>
      </c>
      <c r="AQ21">
        <v>78.195382672426405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50605.465639260023</v>
      </c>
      <c r="AW21" t="s">
        <v>405</v>
      </c>
      <c r="AX21">
        <v>5103.1499999999996</v>
      </c>
      <c r="AY21">
        <v>584.19705882352946</v>
      </c>
      <c r="AZ21">
        <v>2574.9499999999998</v>
      </c>
      <c r="BA21">
        <f t="shared" si="30"/>
        <v>0.77312295041708401</v>
      </c>
      <c r="BB21">
        <v>-5.1755626910525043</v>
      </c>
      <c r="BC21" t="s">
        <v>429</v>
      </c>
      <c r="BD21">
        <v>5099.47</v>
      </c>
      <c r="BE21">
        <v>838.16358823529413</v>
      </c>
      <c r="BF21">
        <v>1165.67</v>
      </c>
      <c r="BG21">
        <f t="shared" si="31"/>
        <v>0.28095980145727861</v>
      </c>
      <c r="BH21">
        <v>0.5</v>
      </c>
      <c r="BI21">
        <f t="shared" si="32"/>
        <v>924.29092971264561</v>
      </c>
      <c r="BJ21">
        <f t="shared" si="33"/>
        <v>34.275553605290575</v>
      </c>
      <c r="BK21">
        <f t="shared" si="34"/>
        <v>129.84429805041418</v>
      </c>
      <c r="BL21">
        <f t="shared" si="35"/>
        <v>4.2682574315219241E-2</v>
      </c>
      <c r="BM21">
        <f t="shared" si="36"/>
        <v>1.2089871061278061</v>
      </c>
      <c r="BN21">
        <f t="shared" si="37"/>
        <v>458.44855121853141</v>
      </c>
      <c r="BO21" t="s">
        <v>407</v>
      </c>
      <c r="BP21">
        <v>0</v>
      </c>
      <c r="BQ21">
        <f t="shared" si="38"/>
        <v>458.44855121853141</v>
      </c>
      <c r="BR21">
        <f t="shared" si="39"/>
        <v>0.60670811531691526</v>
      </c>
      <c r="BS21">
        <f t="shared" si="40"/>
        <v>0.46308891271467273</v>
      </c>
      <c r="BT21">
        <f t="shared" si="41"/>
        <v>0.66585354846384037</v>
      </c>
      <c r="BU21">
        <f t="shared" si="42"/>
        <v>0.56323585944012378</v>
      </c>
      <c r="BV21">
        <f t="shared" si="43"/>
        <v>0.70791305683926853</v>
      </c>
      <c r="BW21">
        <f t="shared" si="44"/>
        <v>0.25329475546223312</v>
      </c>
      <c r="BX21">
        <f t="shared" si="45"/>
        <v>0.74670524453776688</v>
      </c>
      <c r="DG21">
        <f t="shared" si="46"/>
        <v>1099.9946666666669</v>
      </c>
      <c r="DH21">
        <f t="shared" si="47"/>
        <v>924.29092971264561</v>
      </c>
      <c r="DI21">
        <f t="shared" si="48"/>
        <v>0.84026855558631075</v>
      </c>
      <c r="DJ21">
        <f t="shared" si="49"/>
        <v>0.16011831228157999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1783011603.349999</v>
      </c>
      <c r="DQ21">
        <v>419.81666666666672</v>
      </c>
      <c r="DR21">
        <v>463.27743333333342</v>
      </c>
      <c r="DS21">
        <v>35.652993333333328</v>
      </c>
      <c r="DT21">
        <v>30.293336666666669</v>
      </c>
      <c r="DU21">
        <v>424.22286666666679</v>
      </c>
      <c r="DV21">
        <v>35.320459999999997</v>
      </c>
      <c r="DW21">
        <v>500.03840000000002</v>
      </c>
      <c r="DX21">
        <v>97.829493333333332</v>
      </c>
      <c r="DY21">
        <v>4.2559363333333343E-2</v>
      </c>
      <c r="DZ21">
        <v>34.006423333333338</v>
      </c>
      <c r="EA21">
        <v>33.505543333333328</v>
      </c>
      <c r="EB21">
        <v>999.9000000000002</v>
      </c>
      <c r="EC21">
        <v>0</v>
      </c>
      <c r="ED21">
        <v>0</v>
      </c>
      <c r="EE21">
        <v>10011.66666666667</v>
      </c>
      <c r="EF21">
        <v>0</v>
      </c>
      <c r="EG21">
        <v>524.0707666666666</v>
      </c>
      <c r="EH21">
        <v>-43.460819999999998</v>
      </c>
      <c r="EI21">
        <v>435.33776666666671</v>
      </c>
      <c r="EJ21">
        <v>477.75009999999997</v>
      </c>
      <c r="EK21">
        <v>5.3596579999999996</v>
      </c>
      <c r="EL21">
        <v>463.27743333333342</v>
      </c>
      <c r="EM21">
        <v>30.293336666666669</v>
      </c>
      <c r="EN21">
        <v>3.487913666666667</v>
      </c>
      <c r="EO21">
        <v>2.963581</v>
      </c>
      <c r="EP21">
        <v>26.561029999999999</v>
      </c>
      <c r="EQ21">
        <v>23.824696666666672</v>
      </c>
      <c r="ER21">
        <v>1099.9946666666669</v>
      </c>
      <c r="ES21">
        <v>0.99100743333333341</v>
      </c>
      <c r="ET21">
        <v>8.9920673333333326E-3</v>
      </c>
      <c r="EU21">
        <v>0</v>
      </c>
      <c r="EV21">
        <v>838.00676666666675</v>
      </c>
      <c r="EW21">
        <v>5.0010700000000003</v>
      </c>
      <c r="EX21">
        <v>12272.76</v>
      </c>
      <c r="EY21">
        <v>9996.7486666666682</v>
      </c>
      <c r="EZ21">
        <v>41.039266666666663</v>
      </c>
      <c r="FA21">
        <v>43</v>
      </c>
      <c r="FB21">
        <v>42.061999999999983</v>
      </c>
      <c r="FC21">
        <v>43.061999999999983</v>
      </c>
      <c r="FD21">
        <v>43.218499999999977</v>
      </c>
      <c r="FE21">
        <v>1085.147666666667</v>
      </c>
      <c r="FF21">
        <v>9.846999999999996</v>
      </c>
      <c r="FG21">
        <v>0</v>
      </c>
      <c r="FH21">
        <v>121.5999999046326</v>
      </c>
      <c r="FI21">
        <v>0</v>
      </c>
      <c r="FJ21">
        <v>838.16358823529413</v>
      </c>
      <c r="FK21">
        <v>2.2982843117104812</v>
      </c>
      <c r="FL21">
        <v>108.4558826686512</v>
      </c>
      <c r="FM21">
        <v>12278.38235294118</v>
      </c>
      <c r="FN21">
        <v>10</v>
      </c>
      <c r="FO21">
        <v>1783011575.0999999</v>
      </c>
      <c r="FP21" t="s">
        <v>430</v>
      </c>
      <c r="FQ21">
        <v>1783011572.0999999</v>
      </c>
      <c r="FR21">
        <v>1783011575.0999999</v>
      </c>
      <c r="FS21">
        <v>36</v>
      </c>
      <c r="FT21">
        <v>-6.2E-2</v>
      </c>
      <c r="FU21">
        <v>-1.4E-2</v>
      </c>
      <c r="FV21">
        <v>-4.5670000000000002</v>
      </c>
      <c r="FW21">
        <v>0.17899999999999999</v>
      </c>
      <c r="FX21">
        <v>463</v>
      </c>
      <c r="FY21">
        <v>30</v>
      </c>
      <c r="FZ21">
        <v>0.2</v>
      </c>
      <c r="GA21">
        <v>0.08</v>
      </c>
      <c r="GB21">
        <v>463.32353333333339</v>
      </c>
      <c r="GC21">
        <v>-5.4085695216909198</v>
      </c>
      <c r="GD21">
        <v>0.46282586598224867</v>
      </c>
      <c r="GE21">
        <v>-1</v>
      </c>
      <c r="GF21">
        <v>837.80158823529416</v>
      </c>
      <c r="GG21">
        <v>4.0446447616987751</v>
      </c>
      <c r="GH21">
        <v>0.43729806214491468</v>
      </c>
      <c r="GI21">
        <v>1</v>
      </c>
      <c r="GJ21">
        <v>5.3849340000000003</v>
      </c>
      <c r="GK21">
        <v>-0.44582836772983497</v>
      </c>
      <c r="GL21">
        <v>4.6106247721973602E-2</v>
      </c>
      <c r="GM21">
        <v>1</v>
      </c>
      <c r="GN21">
        <v>2</v>
      </c>
      <c r="GO21">
        <v>2</v>
      </c>
      <c r="GP21" t="s">
        <v>410</v>
      </c>
      <c r="GQ21">
        <v>3.1327199999999999</v>
      </c>
      <c r="GR21">
        <v>2.7190300000000001</v>
      </c>
      <c r="GS21">
        <v>9.1628500000000002E-2</v>
      </c>
      <c r="GT21">
        <v>9.86678E-2</v>
      </c>
      <c r="GU21">
        <v>0.14688599999999999</v>
      </c>
      <c r="GV21">
        <v>0.13242899999999999</v>
      </c>
      <c r="GW21">
        <v>22816.5</v>
      </c>
      <c r="GX21">
        <v>30477.1</v>
      </c>
      <c r="GY21">
        <v>27240.5</v>
      </c>
      <c r="GZ21">
        <v>34761.4</v>
      </c>
      <c r="HA21">
        <v>34028.800000000003</v>
      </c>
      <c r="HB21">
        <v>38448.1</v>
      </c>
      <c r="HC21">
        <v>40232.300000000003</v>
      </c>
      <c r="HD21">
        <v>44403.6</v>
      </c>
      <c r="HE21">
        <v>1.9792000000000001</v>
      </c>
      <c r="HF21">
        <v>1.8148</v>
      </c>
      <c r="HG21">
        <v>5.09024E-2</v>
      </c>
      <c r="HH21">
        <v>0</v>
      </c>
      <c r="HI21">
        <v>32.678100000000001</v>
      </c>
      <c r="HJ21">
        <v>999.9</v>
      </c>
      <c r="HK21">
        <v>62.6</v>
      </c>
      <c r="HL21">
        <v>35.700000000000003</v>
      </c>
      <c r="HM21">
        <v>37.564300000000003</v>
      </c>
      <c r="HN21">
        <v>58.2729</v>
      </c>
      <c r="HO21">
        <v>6.5064099999999998</v>
      </c>
      <c r="HP21">
        <v>1</v>
      </c>
      <c r="HQ21">
        <v>0.41748000000000002</v>
      </c>
      <c r="HR21">
        <v>0</v>
      </c>
      <c r="HS21">
        <v>20.287800000000001</v>
      </c>
      <c r="HT21">
        <v>5.2088999999999999</v>
      </c>
      <c r="HU21">
        <v>11.902100000000001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1.8623700000000001</v>
      </c>
      <c r="IE21">
        <v>1.86188</v>
      </c>
      <c r="IF21">
        <v>1.86191</v>
      </c>
      <c r="IG21">
        <v>1.8626100000000001</v>
      </c>
      <c r="IH21">
        <v>1.8634299999999999</v>
      </c>
      <c r="II21">
        <v>1.86145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-4.4050000000000002</v>
      </c>
      <c r="IX21">
        <v>0.33200000000000002</v>
      </c>
      <c r="IY21">
        <v>-2.5931992996209381</v>
      </c>
      <c r="IZ21">
        <v>-4.7754461378838441E-3</v>
      </c>
      <c r="JA21">
        <v>1.175754608921022E-6</v>
      </c>
      <c r="JB21">
        <v>1.4193218893046591E-11</v>
      </c>
      <c r="JC21">
        <v>-0.39575728401158372</v>
      </c>
      <c r="JD21">
        <v>2.7492919904454862E-4</v>
      </c>
      <c r="JE21">
        <v>8.6739513355948885E-4</v>
      </c>
      <c r="JF21">
        <v>-8.2500691715147318E-6</v>
      </c>
      <c r="JG21">
        <v>38</v>
      </c>
      <c r="JH21">
        <v>1780</v>
      </c>
      <c r="JI21">
        <v>2</v>
      </c>
      <c r="JJ21">
        <v>37</v>
      </c>
      <c r="JK21">
        <v>0.7</v>
      </c>
      <c r="JL21">
        <v>0.6</v>
      </c>
      <c r="JM21">
        <v>1.18408</v>
      </c>
      <c r="JN21">
        <v>2.5354000000000001</v>
      </c>
      <c r="JO21">
        <v>1.50024</v>
      </c>
      <c r="JP21">
        <v>2.2692899999999998</v>
      </c>
      <c r="JQ21">
        <v>1.4477500000000001</v>
      </c>
      <c r="JR21">
        <v>2.323</v>
      </c>
      <c r="JS21">
        <v>40.171300000000002</v>
      </c>
      <c r="JT21">
        <v>14.456</v>
      </c>
      <c r="JU21">
        <v>18</v>
      </c>
      <c r="JV21">
        <v>540.803</v>
      </c>
      <c r="JW21">
        <v>448.19600000000003</v>
      </c>
      <c r="JX21">
        <v>33.210599999999999</v>
      </c>
      <c r="JY21">
        <v>32.627200000000002</v>
      </c>
      <c r="JZ21">
        <v>30.000399999999999</v>
      </c>
      <c r="KA21">
        <v>32.444899999999997</v>
      </c>
      <c r="KB21">
        <v>32.384900000000002</v>
      </c>
      <c r="KC21">
        <v>23.695</v>
      </c>
      <c r="KD21">
        <v>32.075699999999998</v>
      </c>
      <c r="KE21">
        <v>21.163599999999999</v>
      </c>
      <c r="KF21">
        <v>-999.9</v>
      </c>
      <c r="KG21">
        <v>463.387</v>
      </c>
      <c r="KH21">
        <v>30.169499999999999</v>
      </c>
      <c r="KI21">
        <v>100.545</v>
      </c>
      <c r="KJ21">
        <v>99.606399999999994</v>
      </c>
    </row>
    <row r="22" spans="1:296" x14ac:dyDescent="0.3">
      <c r="A22">
        <v>6</v>
      </c>
      <c r="B22">
        <v>1783011734</v>
      </c>
      <c r="C22">
        <v>633.40000009536743</v>
      </c>
      <c r="D22" t="s">
        <v>431</v>
      </c>
      <c r="E22" t="s">
        <v>432</v>
      </c>
      <c r="F22">
        <v>15</v>
      </c>
      <c r="H22">
        <v>1783011726.25</v>
      </c>
      <c r="I22">
        <f t="shared" si="0"/>
        <v>4.7463069321256775E-3</v>
      </c>
      <c r="J22">
        <f t="shared" si="1"/>
        <v>4.7463069321256777</v>
      </c>
      <c r="K22">
        <f t="shared" si="2"/>
        <v>34.278194612323269</v>
      </c>
      <c r="L22">
        <f t="shared" si="3"/>
        <v>419.77586666666662</v>
      </c>
      <c r="M22">
        <f t="shared" si="4"/>
        <v>202.84844341554242</v>
      </c>
      <c r="N22">
        <f t="shared" si="5"/>
        <v>19.853314823782448</v>
      </c>
      <c r="O22">
        <f t="shared" si="6"/>
        <v>41.084576721582586</v>
      </c>
      <c r="P22">
        <f t="shared" si="7"/>
        <v>0.27563992950479432</v>
      </c>
      <c r="Q22">
        <f t="shared" si="8"/>
        <v>2.892129852299012</v>
      </c>
      <c r="R22">
        <f t="shared" si="9"/>
        <v>0.26183267805197569</v>
      </c>
      <c r="S22">
        <f t="shared" si="10"/>
        <v>0.1648282965609999</v>
      </c>
      <c r="T22">
        <f t="shared" si="11"/>
        <v>160.17556112905407</v>
      </c>
      <c r="U22">
        <f t="shared" si="12"/>
        <v>33.729540447467727</v>
      </c>
      <c r="V22">
        <f t="shared" si="13"/>
        <v>33.448306666666653</v>
      </c>
      <c r="W22">
        <f t="shared" si="14"/>
        <v>5.1807702747329483</v>
      </c>
      <c r="X22">
        <f t="shared" si="15"/>
        <v>65.150672758581024</v>
      </c>
      <c r="Y22">
        <f t="shared" si="16"/>
        <v>3.4851527607387829</v>
      </c>
      <c r="Z22">
        <f t="shared" si="17"/>
        <v>5.3493734034845426</v>
      </c>
      <c r="AA22">
        <f t="shared" si="18"/>
        <v>1.6956175139941654</v>
      </c>
      <c r="AB22">
        <f t="shared" si="19"/>
        <v>-209.31213570674237</v>
      </c>
      <c r="AC22">
        <f t="shared" si="20"/>
        <v>89.347646484317181</v>
      </c>
      <c r="AD22">
        <f t="shared" si="21"/>
        <v>7.1263339026273105</v>
      </c>
      <c r="AE22">
        <f t="shared" si="22"/>
        <v>47.337405809256211</v>
      </c>
      <c r="AF22">
        <f t="shared" si="23"/>
        <v>34.278194612323269</v>
      </c>
      <c r="AG22">
        <f t="shared" si="24"/>
        <v>4.7463069321256777</v>
      </c>
      <c r="AH22">
        <f t="shared" si="25"/>
        <v>34.121548452386889</v>
      </c>
      <c r="AI22">
        <v>477.6649240910977</v>
      </c>
      <c r="AJ22">
        <v>435.38094545454533</v>
      </c>
      <c r="AK22">
        <v>1.415953781324754E-2</v>
      </c>
      <c r="AL22">
        <v>67.0850481493096</v>
      </c>
      <c r="AM22">
        <f t="shared" si="26"/>
        <v>4.7632197154547509</v>
      </c>
      <c r="AN22">
        <v>30.123653998554069</v>
      </c>
      <c r="AO22">
        <v>35.615997575757568</v>
      </c>
      <c r="AP22">
        <v>3.1949481955370132E-3</v>
      </c>
      <c r="AQ22">
        <v>78.232264950692525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50572.52538596902</v>
      </c>
      <c r="AW22" t="s">
        <v>405</v>
      </c>
      <c r="AX22">
        <v>5103.1499999999996</v>
      </c>
      <c r="AY22">
        <v>584.19705882352946</v>
      </c>
      <c r="AZ22">
        <v>2574.9499999999998</v>
      </c>
      <c r="BA22">
        <f t="shared" si="30"/>
        <v>0.77312295041708401</v>
      </c>
      <c r="BB22">
        <v>-5.1755626910525043</v>
      </c>
      <c r="BC22" t="s">
        <v>433</v>
      </c>
      <c r="BD22">
        <v>5101.12</v>
      </c>
      <c r="BE22">
        <v>848.01829411764709</v>
      </c>
      <c r="BF22">
        <v>1234.5</v>
      </c>
      <c r="BG22">
        <f t="shared" si="31"/>
        <v>0.31306740047173176</v>
      </c>
      <c r="BH22">
        <v>0.5</v>
      </c>
      <c r="BI22">
        <f t="shared" si="32"/>
        <v>840.29564336220415</v>
      </c>
      <c r="BJ22">
        <f t="shared" si="33"/>
        <v>34.278194612323269</v>
      </c>
      <c r="BK22">
        <f t="shared" si="34"/>
        <v>131.53458634756333</v>
      </c>
      <c r="BL22">
        <f t="shared" si="35"/>
        <v>4.6952233556171709E-2</v>
      </c>
      <c r="BM22">
        <f t="shared" si="36"/>
        <v>1.0858242203321182</v>
      </c>
      <c r="BN22">
        <f t="shared" si="37"/>
        <v>468.72685614979321</v>
      </c>
      <c r="BO22" t="s">
        <v>407</v>
      </c>
      <c r="BP22">
        <v>0</v>
      </c>
      <c r="BQ22">
        <f t="shared" si="38"/>
        <v>468.72685614979321</v>
      </c>
      <c r="BR22">
        <f t="shared" si="39"/>
        <v>0.62031036358866487</v>
      </c>
      <c r="BS22">
        <f t="shared" si="40"/>
        <v>0.50469477675747887</v>
      </c>
      <c r="BT22">
        <f t="shared" si="41"/>
        <v>0.63642354510910826</v>
      </c>
      <c r="BU22">
        <f t="shared" si="42"/>
        <v>0.59431025359221723</v>
      </c>
      <c r="BV22">
        <f t="shared" si="43"/>
        <v>0.67333819896698854</v>
      </c>
      <c r="BW22">
        <f t="shared" si="44"/>
        <v>0.27896095834924978</v>
      </c>
      <c r="BX22">
        <f t="shared" si="45"/>
        <v>0.72103904165075017</v>
      </c>
      <c r="DG22">
        <f t="shared" si="46"/>
        <v>999.99660000000006</v>
      </c>
      <c r="DH22">
        <f t="shared" si="47"/>
        <v>840.29564336220415</v>
      </c>
      <c r="DI22">
        <f t="shared" si="48"/>
        <v>0.84029850037710541</v>
      </c>
      <c r="DJ22">
        <f t="shared" si="49"/>
        <v>0.16017610572781354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1783011726.25</v>
      </c>
      <c r="DQ22">
        <v>419.77586666666662</v>
      </c>
      <c r="DR22">
        <v>463.29426666666677</v>
      </c>
      <c r="DS22">
        <v>35.609056666666667</v>
      </c>
      <c r="DT22">
        <v>30.117096666666669</v>
      </c>
      <c r="DU22">
        <v>424.20626666666669</v>
      </c>
      <c r="DV22">
        <v>35.282856666666667</v>
      </c>
      <c r="DW22">
        <v>500.07233333333329</v>
      </c>
      <c r="DX22">
        <v>97.828346666666661</v>
      </c>
      <c r="DY22">
        <v>4.4303916666666672E-2</v>
      </c>
      <c r="DZ22">
        <v>34.021339999999988</v>
      </c>
      <c r="EA22">
        <v>33.448306666666653</v>
      </c>
      <c r="EB22">
        <v>999.9000000000002</v>
      </c>
      <c r="EC22">
        <v>0</v>
      </c>
      <c r="ED22">
        <v>0</v>
      </c>
      <c r="EE22">
        <v>10005.5</v>
      </c>
      <c r="EF22">
        <v>0</v>
      </c>
      <c r="EG22">
        <v>539.60509999999999</v>
      </c>
      <c r="EH22">
        <v>-43.518556666666662</v>
      </c>
      <c r="EI22">
        <v>435.27546666666672</v>
      </c>
      <c r="EJ22">
        <v>477.6806666666667</v>
      </c>
      <c r="EK22">
        <v>5.4919453333333328</v>
      </c>
      <c r="EL22">
        <v>463.29426666666677</v>
      </c>
      <c r="EM22">
        <v>30.117096666666669</v>
      </c>
      <c r="EN22">
        <v>3.4835746666666658</v>
      </c>
      <c r="EO22">
        <v>2.946305999999999</v>
      </c>
      <c r="EP22">
        <v>26.539906666666671</v>
      </c>
      <c r="EQ22">
        <v>23.72754333333333</v>
      </c>
      <c r="ER22">
        <v>999.99660000000006</v>
      </c>
      <c r="ES22">
        <v>0.99000240000000017</v>
      </c>
      <c r="ET22">
        <v>9.9972076666666656E-3</v>
      </c>
      <c r="EU22">
        <v>0</v>
      </c>
      <c r="EV22">
        <v>847.89890000000014</v>
      </c>
      <c r="EW22">
        <v>5.0010700000000003</v>
      </c>
      <c r="EX22">
        <v>11943.28</v>
      </c>
      <c r="EY22">
        <v>9080.2580000000016</v>
      </c>
      <c r="EZ22">
        <v>40.816199999999988</v>
      </c>
      <c r="FA22">
        <v>42.970599999999983</v>
      </c>
      <c r="FB22">
        <v>41.936999999999983</v>
      </c>
      <c r="FC22">
        <v>43.061999999999983</v>
      </c>
      <c r="FD22">
        <v>43.066199999999967</v>
      </c>
      <c r="FE22">
        <v>985.0476666666666</v>
      </c>
      <c r="FF22">
        <v>9.9499999999999975</v>
      </c>
      <c r="FG22">
        <v>0</v>
      </c>
      <c r="FH22">
        <v>122.5999999046326</v>
      </c>
      <c r="FI22">
        <v>0</v>
      </c>
      <c r="FJ22">
        <v>848.01829411764709</v>
      </c>
      <c r="FK22">
        <v>0.2110294004803443</v>
      </c>
      <c r="FL22">
        <v>930.8578462943143</v>
      </c>
      <c r="FM22">
        <v>11977.770588235289</v>
      </c>
      <c r="FN22">
        <v>10</v>
      </c>
      <c r="FO22">
        <v>1783011675.5999999</v>
      </c>
      <c r="FP22" t="s">
        <v>434</v>
      </c>
      <c r="FQ22">
        <v>1783011674.0999999</v>
      </c>
      <c r="FR22">
        <v>1783011675.5999999</v>
      </c>
      <c r="FS22">
        <v>37</v>
      </c>
      <c r="FT22">
        <v>-2.4E-2</v>
      </c>
      <c r="FU22">
        <v>-5.0000000000000001E-3</v>
      </c>
      <c r="FV22">
        <v>-4.5919999999999996</v>
      </c>
      <c r="FW22">
        <v>0.16600000000000001</v>
      </c>
      <c r="FX22">
        <v>463</v>
      </c>
      <c r="FY22">
        <v>30</v>
      </c>
      <c r="FZ22">
        <v>0.19</v>
      </c>
      <c r="GA22">
        <v>0.05</v>
      </c>
      <c r="GB22">
        <v>463.28503225806458</v>
      </c>
      <c r="GC22">
        <v>0.44816129032209179</v>
      </c>
      <c r="GD22">
        <v>0.10449710101580929</v>
      </c>
      <c r="GE22">
        <v>-1</v>
      </c>
      <c r="GF22">
        <v>847.81994117647071</v>
      </c>
      <c r="GG22">
        <v>2.1466768548154311</v>
      </c>
      <c r="GH22">
        <v>0.32590037643936998</v>
      </c>
      <c r="GI22">
        <v>1</v>
      </c>
      <c r="GJ22">
        <v>5.4894280487804874</v>
      </c>
      <c r="GK22">
        <v>5.1981951219514433E-2</v>
      </c>
      <c r="GL22">
        <v>7.1634751818196972E-3</v>
      </c>
      <c r="GM22">
        <v>1</v>
      </c>
      <c r="GN22">
        <v>2</v>
      </c>
      <c r="GO22">
        <v>2</v>
      </c>
      <c r="GP22" t="s">
        <v>410</v>
      </c>
      <c r="GQ22">
        <v>3.1331199999999999</v>
      </c>
      <c r="GR22">
        <v>2.7201599999999999</v>
      </c>
      <c r="GS22">
        <v>9.1654899999999997E-2</v>
      </c>
      <c r="GT22">
        <v>9.8635100000000003E-2</v>
      </c>
      <c r="GU22">
        <v>0.14679800000000001</v>
      </c>
      <c r="GV22">
        <v>0.13189200000000001</v>
      </c>
      <c r="GW22">
        <v>22811.7</v>
      </c>
      <c r="GX22">
        <v>30472.2</v>
      </c>
      <c r="GY22">
        <v>27236.400000000001</v>
      </c>
      <c r="GZ22">
        <v>34755.699999999997</v>
      </c>
      <c r="HA22">
        <v>34028.300000000003</v>
      </c>
      <c r="HB22">
        <v>38467.4</v>
      </c>
      <c r="HC22">
        <v>40226.1</v>
      </c>
      <c r="HD22">
        <v>44397.8</v>
      </c>
      <c r="HE22">
        <v>1.9787999999999999</v>
      </c>
      <c r="HF22">
        <v>1.8106</v>
      </c>
      <c r="HG22">
        <v>5.1885800000000003E-2</v>
      </c>
      <c r="HH22">
        <v>0</v>
      </c>
      <c r="HI22">
        <v>32.617100000000001</v>
      </c>
      <c r="HJ22">
        <v>999.9</v>
      </c>
      <c r="HK22">
        <v>62.6</v>
      </c>
      <c r="HL22">
        <v>35.9</v>
      </c>
      <c r="HM22">
        <v>37.9861</v>
      </c>
      <c r="HN22">
        <v>59.9529</v>
      </c>
      <c r="HO22">
        <v>6.71875</v>
      </c>
      <c r="HP22">
        <v>1</v>
      </c>
      <c r="HQ22">
        <v>0.42804900000000001</v>
      </c>
      <c r="HR22">
        <v>0</v>
      </c>
      <c r="HS22">
        <v>20.288399999999999</v>
      </c>
      <c r="HT22">
        <v>5.2100999999999997</v>
      </c>
      <c r="HU22">
        <v>11.9033</v>
      </c>
      <c r="HV22">
        <v>4.9855999999999998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1.8629500000000001</v>
      </c>
      <c r="ID22">
        <v>1.8623700000000001</v>
      </c>
      <c r="IE22">
        <v>1.86188</v>
      </c>
      <c r="IF22">
        <v>1.86191</v>
      </c>
      <c r="IG22">
        <v>1.8626400000000001</v>
      </c>
      <c r="IH22">
        <v>1.8635600000000001</v>
      </c>
      <c r="II22">
        <v>1.86145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-4.431</v>
      </c>
      <c r="IX22">
        <v>0.3266</v>
      </c>
      <c r="IY22">
        <v>-2.6174708895353418</v>
      </c>
      <c r="IZ22">
        <v>-4.7754461378838441E-3</v>
      </c>
      <c r="JA22">
        <v>1.175754608921022E-6</v>
      </c>
      <c r="JB22">
        <v>1.4193218893046591E-11</v>
      </c>
      <c r="JC22">
        <v>-0.40093702130059272</v>
      </c>
      <c r="JD22">
        <v>2.7492919904454862E-4</v>
      </c>
      <c r="JE22">
        <v>8.6739513355948885E-4</v>
      </c>
      <c r="JF22">
        <v>-8.2500691715147318E-6</v>
      </c>
      <c r="JG22">
        <v>38</v>
      </c>
      <c r="JH22">
        <v>1780</v>
      </c>
      <c r="JI22">
        <v>2</v>
      </c>
      <c r="JJ22">
        <v>37</v>
      </c>
      <c r="JK22">
        <v>1</v>
      </c>
      <c r="JL22">
        <v>1</v>
      </c>
      <c r="JM22">
        <v>1.18408</v>
      </c>
      <c r="JN22">
        <v>2.5341800000000001</v>
      </c>
      <c r="JO22">
        <v>1.50024</v>
      </c>
      <c r="JP22">
        <v>2.2692899999999998</v>
      </c>
      <c r="JQ22">
        <v>1.4477500000000001</v>
      </c>
      <c r="JR22">
        <v>2.35107</v>
      </c>
      <c r="JS22">
        <v>40.4</v>
      </c>
      <c r="JT22">
        <v>14.4472</v>
      </c>
      <c r="JU22">
        <v>18</v>
      </c>
      <c r="JV22">
        <v>541.84199999999998</v>
      </c>
      <c r="JW22">
        <v>446.67</v>
      </c>
      <c r="JX22">
        <v>33.357500000000002</v>
      </c>
      <c r="JY22">
        <v>32.778199999999998</v>
      </c>
      <c r="JZ22">
        <v>30.000399999999999</v>
      </c>
      <c r="KA22">
        <v>32.599800000000002</v>
      </c>
      <c r="KB22">
        <v>32.541699999999999</v>
      </c>
      <c r="KC22">
        <v>23.690100000000001</v>
      </c>
      <c r="KD22">
        <v>32.932899999999997</v>
      </c>
      <c r="KE22">
        <v>20.314399999999999</v>
      </c>
      <c r="KF22">
        <v>-999.9</v>
      </c>
      <c r="KG22">
        <v>463.33699999999999</v>
      </c>
      <c r="KH22">
        <v>29.966799999999999</v>
      </c>
      <c r="KI22">
        <v>100.529</v>
      </c>
      <c r="KJ22">
        <v>99.591999999999999</v>
      </c>
    </row>
    <row r="23" spans="1:296" x14ac:dyDescent="0.3">
      <c r="A23">
        <v>7</v>
      </c>
      <c r="B23">
        <v>1783011856.5</v>
      </c>
      <c r="C23">
        <v>755.90000009536743</v>
      </c>
      <c r="D23" t="s">
        <v>435</v>
      </c>
      <c r="E23" t="s">
        <v>436</v>
      </c>
      <c r="F23">
        <v>15</v>
      </c>
      <c r="H23">
        <v>1783011848.75</v>
      </c>
      <c r="I23">
        <f t="shared" si="0"/>
        <v>4.8021103213975571E-3</v>
      </c>
      <c r="J23">
        <f t="shared" si="1"/>
        <v>4.8021103213975573</v>
      </c>
      <c r="K23">
        <f t="shared" si="2"/>
        <v>31.439742080059641</v>
      </c>
      <c r="L23">
        <f t="shared" si="3"/>
        <v>419.80326666666662</v>
      </c>
      <c r="M23">
        <f t="shared" si="4"/>
        <v>221.92462083195898</v>
      </c>
      <c r="N23">
        <f t="shared" si="5"/>
        <v>21.719790018184799</v>
      </c>
      <c r="O23">
        <f t="shared" si="6"/>
        <v>41.086197496996974</v>
      </c>
      <c r="P23">
        <f t="shared" si="7"/>
        <v>0.27886720484633248</v>
      </c>
      <c r="Q23">
        <f t="shared" si="8"/>
        <v>2.8907666067290445</v>
      </c>
      <c r="R23">
        <f t="shared" si="9"/>
        <v>0.26473734166843166</v>
      </c>
      <c r="S23">
        <f t="shared" si="10"/>
        <v>0.16667066826226379</v>
      </c>
      <c r="T23">
        <f t="shared" si="11"/>
        <v>128.27866598455955</v>
      </c>
      <c r="U23">
        <f t="shared" si="12"/>
        <v>33.572082067990394</v>
      </c>
      <c r="V23">
        <f t="shared" si="13"/>
        <v>33.469200000000001</v>
      </c>
      <c r="W23">
        <f t="shared" si="14"/>
        <v>5.186835509217298</v>
      </c>
      <c r="X23">
        <f t="shared" si="15"/>
        <v>65.07603647533756</v>
      </c>
      <c r="Y23">
        <f t="shared" si="16"/>
        <v>3.490252168993063</v>
      </c>
      <c r="Z23">
        <f t="shared" si="17"/>
        <v>5.3633447241609353</v>
      </c>
      <c r="AA23">
        <f t="shared" si="18"/>
        <v>1.696583340224235</v>
      </c>
      <c r="AB23">
        <f t="shared" si="19"/>
        <v>-211.77306517363226</v>
      </c>
      <c r="AC23">
        <f t="shared" si="20"/>
        <v>93.339371321108757</v>
      </c>
      <c r="AD23">
        <f t="shared" si="21"/>
        <v>7.4506888074722326</v>
      </c>
      <c r="AE23">
        <f t="shared" si="22"/>
        <v>17.295660939508281</v>
      </c>
      <c r="AF23">
        <f t="shared" si="23"/>
        <v>31.439742080059641</v>
      </c>
      <c r="AG23">
        <f t="shared" si="24"/>
        <v>4.8021103213975573</v>
      </c>
      <c r="AH23">
        <f t="shared" si="25"/>
        <v>31.376103031433427</v>
      </c>
      <c r="AI23">
        <v>474.3375294372222</v>
      </c>
      <c r="AJ23">
        <v>435.43581212121222</v>
      </c>
      <c r="AK23">
        <v>1.5798921428242459E-2</v>
      </c>
      <c r="AL23">
        <v>67.035336921833533</v>
      </c>
      <c r="AM23">
        <f t="shared" si="26"/>
        <v>4.8300181752497284</v>
      </c>
      <c r="AN23">
        <v>30.064013950229381</v>
      </c>
      <c r="AO23">
        <v>35.663879999999978</v>
      </c>
      <c r="AP23">
        <v>-1.7504710503870851E-3</v>
      </c>
      <c r="AQ23">
        <v>78.065517537996868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50526.807557422158</v>
      </c>
      <c r="AW23" t="s">
        <v>405</v>
      </c>
      <c r="AX23">
        <v>5103.1499999999996</v>
      </c>
      <c r="AY23">
        <v>584.19705882352946</v>
      </c>
      <c r="AZ23">
        <v>2574.9499999999998</v>
      </c>
      <c r="BA23">
        <f t="shared" si="30"/>
        <v>0.77312295041708401</v>
      </c>
      <c r="BB23">
        <v>-5.1755626910525043</v>
      </c>
      <c r="BC23" t="s">
        <v>437</v>
      </c>
      <c r="BD23">
        <v>5103.74</v>
      </c>
      <c r="BE23">
        <v>872.34676470588226</v>
      </c>
      <c r="BF23">
        <v>1387.15</v>
      </c>
      <c r="BG23">
        <f t="shared" si="31"/>
        <v>0.37112297537693673</v>
      </c>
      <c r="BH23">
        <v>0.5</v>
      </c>
      <c r="BI23">
        <f t="shared" si="32"/>
        <v>672.31503638578215</v>
      </c>
      <c r="BJ23">
        <f t="shared" si="33"/>
        <v>31.439742080059641</v>
      </c>
      <c r="BK23">
        <f t="shared" si="34"/>
        <v>124.75577834707248</v>
      </c>
      <c r="BL23">
        <f t="shared" si="35"/>
        <v>5.446152888078775E-2</v>
      </c>
      <c r="BM23">
        <f t="shared" si="36"/>
        <v>0.85628807266697882</v>
      </c>
      <c r="BN23">
        <f t="shared" si="37"/>
        <v>489.16578825585373</v>
      </c>
      <c r="BO23" t="s">
        <v>407</v>
      </c>
      <c r="BP23">
        <v>0</v>
      </c>
      <c r="BQ23">
        <f t="shared" si="38"/>
        <v>489.16578825585373</v>
      </c>
      <c r="BR23">
        <f t="shared" si="39"/>
        <v>0.64735912608163959</v>
      </c>
      <c r="BS23">
        <f t="shared" si="40"/>
        <v>0.5732876241712761</v>
      </c>
      <c r="BT23">
        <f t="shared" si="41"/>
        <v>0.5694740583958845</v>
      </c>
      <c r="BU23">
        <f t="shared" si="42"/>
        <v>0.64113749249095275</v>
      </c>
      <c r="BV23">
        <f t="shared" si="43"/>
        <v>0.59665866890446406</v>
      </c>
      <c r="BW23">
        <f t="shared" si="44"/>
        <v>0.32146928712416067</v>
      </c>
      <c r="BX23">
        <f t="shared" si="45"/>
        <v>0.67853071287583933</v>
      </c>
      <c r="DG23">
        <f t="shared" si="46"/>
        <v>800.0064000000001</v>
      </c>
      <c r="DH23">
        <f t="shared" si="47"/>
        <v>672.31503638578215</v>
      </c>
      <c r="DI23">
        <f t="shared" si="48"/>
        <v>0.84038707238564847</v>
      </c>
      <c r="DJ23">
        <f t="shared" si="49"/>
        <v>0.16034704970430178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1783011848.75</v>
      </c>
      <c r="DQ23">
        <v>419.80326666666662</v>
      </c>
      <c r="DR23">
        <v>459.9507000000001</v>
      </c>
      <c r="DS23">
        <v>35.66208000000001</v>
      </c>
      <c r="DT23">
        <v>30.104966666666659</v>
      </c>
      <c r="DU23">
        <v>424.18976666666669</v>
      </c>
      <c r="DV23">
        <v>35.337246666666672</v>
      </c>
      <c r="DW23">
        <v>499.99236666666661</v>
      </c>
      <c r="DX23">
        <v>97.825129999999987</v>
      </c>
      <c r="DY23">
        <v>4.4993363333333328E-2</v>
      </c>
      <c r="DZ23">
        <v>34.068116666666668</v>
      </c>
      <c r="EA23">
        <v>33.469200000000001</v>
      </c>
      <c r="EB23">
        <v>999.9000000000002</v>
      </c>
      <c r="EC23">
        <v>0</v>
      </c>
      <c r="ED23">
        <v>0</v>
      </c>
      <c r="EE23">
        <v>9998</v>
      </c>
      <c r="EF23">
        <v>0</v>
      </c>
      <c r="EG23">
        <v>569.6114</v>
      </c>
      <c r="EH23">
        <v>-40.14734</v>
      </c>
      <c r="EI23">
        <v>435.32796666666673</v>
      </c>
      <c r="EJ23">
        <v>474.22719999999998</v>
      </c>
      <c r="EK23">
        <v>5.557119000000001</v>
      </c>
      <c r="EL23">
        <v>459.9507000000001</v>
      </c>
      <c r="EM23">
        <v>30.104966666666659</v>
      </c>
      <c r="EN23">
        <v>3.4886469999999989</v>
      </c>
      <c r="EO23">
        <v>2.945021333333333</v>
      </c>
      <c r="EP23">
        <v>26.56459666666667</v>
      </c>
      <c r="EQ23">
        <v>23.720279999999999</v>
      </c>
      <c r="ER23">
        <v>800.0064000000001</v>
      </c>
      <c r="ES23">
        <v>0.98701756666666662</v>
      </c>
      <c r="ET23">
        <v>1.2982553333333331E-2</v>
      </c>
      <c r="EU23">
        <v>0</v>
      </c>
      <c r="EV23">
        <v>872.17746666666653</v>
      </c>
      <c r="EW23">
        <v>5.0010700000000003</v>
      </c>
      <c r="EX23">
        <v>11108.486666666669</v>
      </c>
      <c r="EY23">
        <v>7246.7290000000012</v>
      </c>
      <c r="EZ23">
        <v>40.5</v>
      </c>
      <c r="FA23">
        <v>42.895666666666664</v>
      </c>
      <c r="FB23">
        <v>41.754133333333343</v>
      </c>
      <c r="FC23">
        <v>43.004133333333343</v>
      </c>
      <c r="FD23">
        <v>42.835099999999983</v>
      </c>
      <c r="FE23">
        <v>784.68233333333342</v>
      </c>
      <c r="FF23">
        <v>10.321999999999999</v>
      </c>
      <c r="FG23">
        <v>0</v>
      </c>
      <c r="FH23">
        <v>121.7999999523163</v>
      </c>
      <c r="FI23">
        <v>0</v>
      </c>
      <c r="FJ23">
        <v>872.34676470588226</v>
      </c>
      <c r="FK23">
        <v>5.049264724196612</v>
      </c>
      <c r="FL23">
        <v>-105.2941177500855</v>
      </c>
      <c r="FM23">
        <v>11107.941176470589</v>
      </c>
      <c r="FN23">
        <v>10</v>
      </c>
      <c r="FO23">
        <v>1783011807.5</v>
      </c>
      <c r="FP23" t="s">
        <v>438</v>
      </c>
      <c r="FQ23">
        <v>1783011795.5</v>
      </c>
      <c r="FR23">
        <v>1783011807.5</v>
      </c>
      <c r="FS23">
        <v>38</v>
      </c>
      <c r="FT23">
        <v>4.3999999999999997E-2</v>
      </c>
      <c r="FU23">
        <v>-3.0000000000000001E-3</v>
      </c>
      <c r="FV23">
        <v>-4.5380000000000003</v>
      </c>
      <c r="FW23">
        <v>0.155</v>
      </c>
      <c r="FX23">
        <v>460</v>
      </c>
      <c r="FY23">
        <v>30</v>
      </c>
      <c r="FZ23">
        <v>0.18</v>
      </c>
      <c r="GA23">
        <v>0.06</v>
      </c>
      <c r="GB23">
        <v>459.90177419354842</v>
      </c>
      <c r="GC23">
        <v>2.587790322579957</v>
      </c>
      <c r="GD23">
        <v>0.22328640795890581</v>
      </c>
      <c r="GE23">
        <v>-1</v>
      </c>
      <c r="GF23">
        <v>871.9967058823529</v>
      </c>
      <c r="GG23">
        <v>2.9751260497569709</v>
      </c>
      <c r="GH23">
        <v>0.34824252277871282</v>
      </c>
      <c r="GI23">
        <v>1</v>
      </c>
      <c r="GJ23">
        <v>5.5470924390243903</v>
      </c>
      <c r="GK23">
        <v>0.20731296167247809</v>
      </c>
      <c r="GL23">
        <v>3.1135286763671149E-2</v>
      </c>
      <c r="GM23">
        <v>1</v>
      </c>
      <c r="GN23">
        <v>2</v>
      </c>
      <c r="GO23">
        <v>2</v>
      </c>
      <c r="GP23" t="s">
        <v>410</v>
      </c>
      <c r="GQ23">
        <v>3.1328100000000001</v>
      </c>
      <c r="GR23">
        <v>2.7208899999999998</v>
      </c>
      <c r="GS23">
        <v>9.1621499999999995E-2</v>
      </c>
      <c r="GT23">
        <v>9.8106399999999996E-2</v>
      </c>
      <c r="GU23">
        <v>0.146873</v>
      </c>
      <c r="GV23">
        <v>0.13167100000000001</v>
      </c>
      <c r="GW23">
        <v>22808.6</v>
      </c>
      <c r="GX23">
        <v>30487</v>
      </c>
      <c r="GY23">
        <v>27232.2</v>
      </c>
      <c r="GZ23">
        <v>34753.1</v>
      </c>
      <c r="HA23">
        <v>34021.699999999997</v>
      </c>
      <c r="HB23">
        <v>38474.300000000003</v>
      </c>
      <c r="HC23">
        <v>40220.6</v>
      </c>
      <c r="HD23">
        <v>44394.1</v>
      </c>
      <c r="HE23">
        <v>1.9782</v>
      </c>
      <c r="HF23">
        <v>1.8068</v>
      </c>
      <c r="HG23">
        <v>4.3064400000000003E-2</v>
      </c>
      <c r="HH23">
        <v>0</v>
      </c>
      <c r="HI23">
        <v>32.768300000000004</v>
      </c>
      <c r="HJ23">
        <v>999.9</v>
      </c>
      <c r="HK23">
        <v>62.5</v>
      </c>
      <c r="HL23">
        <v>36.1</v>
      </c>
      <c r="HM23">
        <v>38.343899999999998</v>
      </c>
      <c r="HN23">
        <v>59.542900000000003</v>
      </c>
      <c r="HO23">
        <v>6.6065699999999996</v>
      </c>
      <c r="HP23">
        <v>1</v>
      </c>
      <c r="HQ23">
        <v>0.43747999999999998</v>
      </c>
      <c r="HR23">
        <v>0</v>
      </c>
      <c r="HS23">
        <v>20.289400000000001</v>
      </c>
      <c r="HT23">
        <v>5.2112999999999996</v>
      </c>
      <c r="HU23">
        <v>11.902100000000001</v>
      </c>
      <c r="HV23">
        <v>4.9851999999999999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1.8629500000000001</v>
      </c>
      <c r="ID23">
        <v>1.86249</v>
      </c>
      <c r="IE23">
        <v>1.8619399999999999</v>
      </c>
      <c r="IF23">
        <v>1.8619399999999999</v>
      </c>
      <c r="IG23">
        <v>1.8626400000000001</v>
      </c>
      <c r="IH23">
        <v>1.8635600000000001</v>
      </c>
      <c r="II23">
        <v>1.86154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-4.3869999999999996</v>
      </c>
      <c r="IX23">
        <v>0.32479999999999998</v>
      </c>
      <c r="IY23">
        <v>-2.573375013832468</v>
      </c>
      <c r="IZ23">
        <v>-4.7754461378838441E-3</v>
      </c>
      <c r="JA23">
        <v>1.175754608921022E-6</v>
      </c>
      <c r="JB23">
        <v>1.4193218893046591E-11</v>
      </c>
      <c r="JC23">
        <v>-0.40396782451120838</v>
      </c>
      <c r="JD23">
        <v>2.7492919904454862E-4</v>
      </c>
      <c r="JE23">
        <v>8.6739513355948885E-4</v>
      </c>
      <c r="JF23">
        <v>-8.2500691715147318E-6</v>
      </c>
      <c r="JG23">
        <v>38</v>
      </c>
      <c r="JH23">
        <v>1780</v>
      </c>
      <c r="JI23">
        <v>2</v>
      </c>
      <c r="JJ23">
        <v>37</v>
      </c>
      <c r="JK23">
        <v>1</v>
      </c>
      <c r="JL23">
        <v>0.8</v>
      </c>
      <c r="JM23">
        <v>1.17676</v>
      </c>
      <c r="JN23">
        <v>2.5268600000000001</v>
      </c>
      <c r="JO23">
        <v>1.50024</v>
      </c>
      <c r="JP23">
        <v>2.2705099999999998</v>
      </c>
      <c r="JQ23">
        <v>1.4477500000000001</v>
      </c>
      <c r="JR23">
        <v>2.34619</v>
      </c>
      <c r="JS23">
        <v>40.6554</v>
      </c>
      <c r="JT23">
        <v>14.438499999999999</v>
      </c>
      <c r="JU23">
        <v>18</v>
      </c>
      <c r="JV23">
        <v>542.58399999999995</v>
      </c>
      <c r="JW23">
        <v>445.27699999999999</v>
      </c>
      <c r="JX23">
        <v>33.490200000000002</v>
      </c>
      <c r="JY23">
        <v>32.903799999999997</v>
      </c>
      <c r="JZ23">
        <v>30.000499999999999</v>
      </c>
      <c r="KA23">
        <v>32.735500000000002</v>
      </c>
      <c r="KB23">
        <v>32.682400000000001</v>
      </c>
      <c r="KC23">
        <v>23.5457</v>
      </c>
      <c r="KD23">
        <v>33.525599999999997</v>
      </c>
      <c r="KE23">
        <v>19.043900000000001</v>
      </c>
      <c r="KF23">
        <v>-999.9</v>
      </c>
      <c r="KG23">
        <v>460.07900000000001</v>
      </c>
      <c r="KH23">
        <v>29.9422</v>
      </c>
      <c r="KI23">
        <v>100.515</v>
      </c>
      <c r="KJ23">
        <v>99.584000000000003</v>
      </c>
    </row>
    <row r="24" spans="1:296" x14ac:dyDescent="0.3">
      <c r="A24">
        <v>8</v>
      </c>
      <c r="B24">
        <v>1783011994.5</v>
      </c>
      <c r="C24">
        <v>893.90000009536743</v>
      </c>
      <c r="D24" t="s">
        <v>439</v>
      </c>
      <c r="E24" t="s">
        <v>440</v>
      </c>
      <c r="F24">
        <v>15</v>
      </c>
      <c r="H24">
        <v>1783011986.75</v>
      </c>
      <c r="I24">
        <f t="shared" si="0"/>
        <v>5.0042403457860006E-3</v>
      </c>
      <c r="J24">
        <f t="shared" si="1"/>
        <v>5.004240345786001</v>
      </c>
      <c r="K24">
        <f t="shared" si="2"/>
        <v>27.788884383664087</v>
      </c>
      <c r="L24">
        <f t="shared" si="3"/>
        <v>419.25543333333337</v>
      </c>
      <c r="M24">
        <f t="shared" si="4"/>
        <v>251.64474257708423</v>
      </c>
      <c r="N24">
        <f t="shared" si="5"/>
        <v>24.62668683421871</v>
      </c>
      <c r="O24">
        <f t="shared" si="6"/>
        <v>41.029556804994357</v>
      </c>
      <c r="P24">
        <f t="shared" si="7"/>
        <v>0.29489968387840265</v>
      </c>
      <c r="Q24">
        <f t="shared" si="8"/>
        <v>2.8897334326793906</v>
      </c>
      <c r="R24">
        <f t="shared" si="9"/>
        <v>0.27914239825261405</v>
      </c>
      <c r="S24">
        <f t="shared" si="10"/>
        <v>0.17580953288153156</v>
      </c>
      <c r="T24">
        <f t="shared" si="11"/>
        <v>96.349122815814852</v>
      </c>
      <c r="U24">
        <f t="shared" si="12"/>
        <v>33.338480839503895</v>
      </c>
      <c r="V24">
        <f t="shared" si="13"/>
        <v>33.467446666666667</v>
      </c>
      <c r="W24">
        <f t="shared" si="14"/>
        <v>5.186326287651724</v>
      </c>
      <c r="X24">
        <f t="shared" si="15"/>
        <v>65.407901426932099</v>
      </c>
      <c r="Y24">
        <f t="shared" si="16"/>
        <v>3.5098679522053735</v>
      </c>
      <c r="Z24">
        <f t="shared" si="17"/>
        <v>5.3661222507288144</v>
      </c>
      <c r="AA24">
        <f t="shared" si="18"/>
        <v>1.6764583354463505</v>
      </c>
      <c r="AB24">
        <f t="shared" si="19"/>
        <v>-220.68699924916262</v>
      </c>
      <c r="AC24">
        <f t="shared" si="20"/>
        <v>95.025947425076495</v>
      </c>
      <c r="AD24">
        <f t="shared" si="21"/>
        <v>7.5883092394187113</v>
      </c>
      <c r="AE24">
        <f t="shared" si="22"/>
        <v>-21.723619768852572</v>
      </c>
      <c r="AF24">
        <f t="shared" si="23"/>
        <v>27.788884383664087</v>
      </c>
      <c r="AG24">
        <f t="shared" si="24"/>
        <v>5.004240345786001</v>
      </c>
      <c r="AH24">
        <f t="shared" si="25"/>
        <v>26.689514528353758</v>
      </c>
      <c r="AI24">
        <v>468.5654621212264</v>
      </c>
      <c r="AJ24">
        <v>435.69783636363621</v>
      </c>
      <c r="AK24">
        <v>-2.9532438997288302E-2</v>
      </c>
      <c r="AL24">
        <v>67.035413277555421</v>
      </c>
      <c r="AM24">
        <f t="shared" si="26"/>
        <v>4.8941229481984374</v>
      </c>
      <c r="AN24">
        <v>30.0983001072264</v>
      </c>
      <c r="AO24">
        <v>35.798282424242423</v>
      </c>
      <c r="AP24">
        <v>-6.2713837617241197E-3</v>
      </c>
      <c r="AQ24">
        <v>78.066483660717196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50496.372211216731</v>
      </c>
      <c r="AW24" t="s">
        <v>405</v>
      </c>
      <c r="AX24">
        <v>5103.1499999999996</v>
      </c>
      <c r="AY24">
        <v>584.19705882352946</v>
      </c>
      <c r="AZ24">
        <v>2574.9499999999998</v>
      </c>
      <c r="BA24">
        <f t="shared" si="30"/>
        <v>0.77312295041708401</v>
      </c>
      <c r="BB24">
        <v>-5.1755626910525043</v>
      </c>
      <c r="BC24" t="s">
        <v>441</v>
      </c>
      <c r="BD24">
        <v>5106.43</v>
      </c>
      <c r="BE24">
        <v>916.33558823529427</v>
      </c>
      <c r="BF24">
        <v>1609.02</v>
      </c>
      <c r="BG24">
        <f t="shared" si="31"/>
        <v>0.43050080904196697</v>
      </c>
      <c r="BH24">
        <v>0.5</v>
      </c>
      <c r="BI24">
        <f t="shared" si="32"/>
        <v>504.32579321026668</v>
      </c>
      <c r="BJ24">
        <f t="shared" si="33"/>
        <v>27.788884383664087</v>
      </c>
      <c r="BK24">
        <f t="shared" si="34"/>
        <v>108.55633099887577</v>
      </c>
      <c r="BL24">
        <f t="shared" si="35"/>
        <v>6.5363397070934345E-2</v>
      </c>
      <c r="BM24">
        <f t="shared" si="36"/>
        <v>0.6003219350909248</v>
      </c>
      <c r="BN24">
        <f t="shared" si="37"/>
        <v>514.16778248316416</v>
      </c>
      <c r="BO24" t="s">
        <v>407</v>
      </c>
      <c r="BP24">
        <v>0</v>
      </c>
      <c r="BQ24">
        <f t="shared" si="38"/>
        <v>514.16778248316416</v>
      </c>
      <c r="BR24">
        <f t="shared" si="39"/>
        <v>0.6804466181382679</v>
      </c>
      <c r="BS24">
        <f t="shared" si="40"/>
        <v>0.63267389030433607</v>
      </c>
      <c r="BT24">
        <f t="shared" si="41"/>
        <v>0.46872007715784192</v>
      </c>
      <c r="BU24">
        <f t="shared" si="42"/>
        <v>0.67590642630376885</v>
      </c>
      <c r="BV24">
        <f t="shared" si="43"/>
        <v>0.48520837519354187</v>
      </c>
      <c r="BW24">
        <f t="shared" si="44"/>
        <v>0.35500152497541904</v>
      </c>
      <c r="BX24">
        <f t="shared" si="45"/>
        <v>0.64499847502458096</v>
      </c>
      <c r="DG24">
        <f t="shared" si="46"/>
        <v>600.02713333333327</v>
      </c>
      <c r="DH24">
        <f t="shared" si="47"/>
        <v>504.32579321026668</v>
      </c>
      <c r="DI24">
        <f t="shared" si="48"/>
        <v>0.84050497918083045</v>
      </c>
      <c r="DJ24">
        <f t="shared" si="49"/>
        <v>0.16057460981900296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1783011986.75</v>
      </c>
      <c r="DQ24">
        <v>419.25543333333337</v>
      </c>
      <c r="DR24">
        <v>455.1183666666667</v>
      </c>
      <c r="DS24">
        <v>35.86515</v>
      </c>
      <c r="DT24">
        <v>30.075659999999999</v>
      </c>
      <c r="DU24">
        <v>423.6296333333334</v>
      </c>
      <c r="DV24">
        <v>35.544456666666669</v>
      </c>
      <c r="DW24">
        <v>500.01943333333332</v>
      </c>
      <c r="DX24">
        <v>97.81765</v>
      </c>
      <c r="DY24">
        <v>4.5260156666666669E-2</v>
      </c>
      <c r="DZ24">
        <v>34.077403333333329</v>
      </c>
      <c r="EA24">
        <v>33.467446666666667</v>
      </c>
      <c r="EB24">
        <v>999.9000000000002</v>
      </c>
      <c r="EC24">
        <v>0</v>
      </c>
      <c r="ED24">
        <v>0</v>
      </c>
      <c r="EE24">
        <v>9992.8333333333339</v>
      </c>
      <c r="EF24">
        <v>0</v>
      </c>
      <c r="EG24">
        <v>603.0465333333334</v>
      </c>
      <c r="EH24">
        <v>-35.863029999999988</v>
      </c>
      <c r="EI24">
        <v>434.85129999999998</v>
      </c>
      <c r="EJ24">
        <v>469.23083333333318</v>
      </c>
      <c r="EK24">
        <v>5.7894896666666682</v>
      </c>
      <c r="EL24">
        <v>455.1183666666667</v>
      </c>
      <c r="EM24">
        <v>30.075659999999999</v>
      </c>
      <c r="EN24">
        <v>3.5082446666666671</v>
      </c>
      <c r="EO24">
        <v>2.941930666666666</v>
      </c>
      <c r="EP24">
        <v>26.659669999999998</v>
      </c>
      <c r="EQ24">
        <v>23.702836666666659</v>
      </c>
      <c r="ER24">
        <v>600.02713333333327</v>
      </c>
      <c r="ES24">
        <v>0.98302253333333323</v>
      </c>
      <c r="ET24">
        <v>1.697748E-2</v>
      </c>
      <c r="EU24">
        <v>0</v>
      </c>
      <c r="EV24">
        <v>915.92769999999985</v>
      </c>
      <c r="EW24">
        <v>5.0010700000000003</v>
      </c>
      <c r="EX24">
        <v>10232.31333333333</v>
      </c>
      <c r="EY24">
        <v>5415.4046666666673</v>
      </c>
      <c r="EZ24">
        <v>40.125</v>
      </c>
      <c r="FA24">
        <v>42.875</v>
      </c>
      <c r="FB24">
        <v>41.606099999999977</v>
      </c>
      <c r="FC24">
        <v>42.936999999999983</v>
      </c>
      <c r="FD24">
        <v>42.568299999999979</v>
      </c>
      <c r="FE24">
        <v>584.92366666666669</v>
      </c>
      <c r="FF24">
        <v>10.1</v>
      </c>
      <c r="FG24">
        <v>0</v>
      </c>
      <c r="FH24">
        <v>137.5999999046326</v>
      </c>
      <c r="FI24">
        <v>0</v>
      </c>
      <c r="FJ24">
        <v>916.33558823529427</v>
      </c>
      <c r="FK24">
        <v>8.1720588821823217</v>
      </c>
      <c r="FL24">
        <v>815.61274851848839</v>
      </c>
      <c r="FM24">
        <v>10216.947058823531</v>
      </c>
      <c r="FN24">
        <v>10</v>
      </c>
      <c r="FO24">
        <v>1783011966.5</v>
      </c>
      <c r="FP24" t="s">
        <v>442</v>
      </c>
      <c r="FQ24">
        <v>1783011960</v>
      </c>
      <c r="FR24">
        <v>1783011966.5</v>
      </c>
      <c r="FS24">
        <v>39</v>
      </c>
      <c r="FT24">
        <v>0.01</v>
      </c>
      <c r="FU24">
        <v>-0.01</v>
      </c>
      <c r="FV24">
        <v>-4.5049999999999999</v>
      </c>
      <c r="FW24">
        <v>0.156</v>
      </c>
      <c r="FX24">
        <v>454</v>
      </c>
      <c r="FY24">
        <v>30</v>
      </c>
      <c r="FZ24">
        <v>0.2</v>
      </c>
      <c r="GA24">
        <v>0.06</v>
      </c>
      <c r="GB24">
        <v>455.13853333333338</v>
      </c>
      <c r="GC24">
        <v>-4.7393993325929378</v>
      </c>
      <c r="GD24">
        <v>0.56081914692309887</v>
      </c>
      <c r="GE24">
        <v>-1</v>
      </c>
      <c r="GF24">
        <v>915.8156470588234</v>
      </c>
      <c r="GG24">
        <v>3.7878074931908658</v>
      </c>
      <c r="GH24">
        <v>0.51766380654725952</v>
      </c>
      <c r="GI24">
        <v>1</v>
      </c>
      <c r="GJ24">
        <v>5.7705202499999997</v>
      </c>
      <c r="GK24">
        <v>7.9376622889290205E-2</v>
      </c>
      <c r="GL24">
        <v>0.22394322668354469</v>
      </c>
      <c r="GM24">
        <v>1</v>
      </c>
      <c r="GN24">
        <v>2</v>
      </c>
      <c r="GO24">
        <v>2</v>
      </c>
      <c r="GP24" t="s">
        <v>410</v>
      </c>
      <c r="GQ24">
        <v>3.133</v>
      </c>
      <c r="GR24">
        <v>2.7214900000000002</v>
      </c>
      <c r="GS24">
        <v>9.1602600000000006E-2</v>
      </c>
      <c r="GT24">
        <v>9.7110399999999999E-2</v>
      </c>
      <c r="GU24">
        <v>0.147175</v>
      </c>
      <c r="GV24">
        <v>0.13167400000000001</v>
      </c>
      <c r="GW24">
        <v>22803</v>
      </c>
      <c r="GX24">
        <v>30509.7</v>
      </c>
      <c r="GY24">
        <v>27225.8</v>
      </c>
      <c r="GZ24">
        <v>34741.800000000003</v>
      </c>
      <c r="HA24">
        <v>34002.9</v>
      </c>
      <c r="HB24">
        <v>38463.5</v>
      </c>
      <c r="HC24">
        <v>40210.9</v>
      </c>
      <c r="HD24">
        <v>44381.3</v>
      </c>
      <c r="HE24">
        <v>1.9750000000000001</v>
      </c>
      <c r="HF24">
        <v>1.8018000000000001</v>
      </c>
      <c r="HG24">
        <v>3.0696399999999999E-2</v>
      </c>
      <c r="HH24">
        <v>0</v>
      </c>
      <c r="HI24">
        <v>32.967500000000001</v>
      </c>
      <c r="HJ24">
        <v>999.9</v>
      </c>
      <c r="HK24">
        <v>62.4</v>
      </c>
      <c r="HL24">
        <v>36.299999999999997</v>
      </c>
      <c r="HM24">
        <v>38.711300000000001</v>
      </c>
      <c r="HN24">
        <v>60.172899999999998</v>
      </c>
      <c r="HO24">
        <v>6.4623400000000002</v>
      </c>
      <c r="HP24">
        <v>1</v>
      </c>
      <c r="HQ24">
        <v>0.45361800000000002</v>
      </c>
      <c r="HR24">
        <v>0</v>
      </c>
      <c r="HS24">
        <v>20.290800000000001</v>
      </c>
      <c r="HT24">
        <v>5.2112999999999996</v>
      </c>
      <c r="HU24">
        <v>11.908099999999999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1.8629500000000001</v>
      </c>
      <c r="ID24">
        <v>1.86249</v>
      </c>
      <c r="IE24">
        <v>1.8619399999999999</v>
      </c>
      <c r="IF24">
        <v>1.8620300000000001</v>
      </c>
      <c r="IG24">
        <v>1.8626400000000001</v>
      </c>
      <c r="IH24">
        <v>1.8635600000000001</v>
      </c>
      <c r="II24">
        <v>1.86151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-4.3769999999999998</v>
      </c>
      <c r="IX24">
        <v>0.31850000000000001</v>
      </c>
      <c r="IY24">
        <v>-2.5632546782983838</v>
      </c>
      <c r="IZ24">
        <v>-4.7754461378838441E-3</v>
      </c>
      <c r="JA24">
        <v>1.175754608921022E-6</v>
      </c>
      <c r="JB24">
        <v>1.4193218893046591E-11</v>
      </c>
      <c r="JC24">
        <v>-0.41446826311922752</v>
      </c>
      <c r="JD24">
        <v>2.7492919904454862E-4</v>
      </c>
      <c r="JE24">
        <v>8.6739513355948885E-4</v>
      </c>
      <c r="JF24">
        <v>-8.2500691715147318E-6</v>
      </c>
      <c r="JG24">
        <v>38</v>
      </c>
      <c r="JH24">
        <v>1780</v>
      </c>
      <c r="JI24">
        <v>2</v>
      </c>
      <c r="JJ24">
        <v>37</v>
      </c>
      <c r="JK24">
        <v>0.6</v>
      </c>
      <c r="JL24">
        <v>0.5</v>
      </c>
      <c r="JM24">
        <v>1.16333</v>
      </c>
      <c r="JN24">
        <v>2.5268600000000001</v>
      </c>
      <c r="JO24">
        <v>1.50024</v>
      </c>
      <c r="JP24">
        <v>2.2705099999999998</v>
      </c>
      <c r="JQ24">
        <v>1.4477500000000001</v>
      </c>
      <c r="JR24">
        <v>2.4597199999999999</v>
      </c>
      <c r="JS24">
        <v>41.144599999999997</v>
      </c>
      <c r="JT24">
        <v>14.4297</v>
      </c>
      <c r="JU24">
        <v>18</v>
      </c>
      <c r="JV24">
        <v>542.11699999999996</v>
      </c>
      <c r="JW24">
        <v>443.54199999999997</v>
      </c>
      <c r="JX24">
        <v>33.638300000000001</v>
      </c>
      <c r="JY24">
        <v>33.100900000000003</v>
      </c>
      <c r="JZ24">
        <v>30.000599999999999</v>
      </c>
      <c r="KA24">
        <v>32.933100000000003</v>
      </c>
      <c r="KB24">
        <v>32.881900000000002</v>
      </c>
      <c r="KC24">
        <v>23.2822</v>
      </c>
      <c r="KD24">
        <v>33.871099999999998</v>
      </c>
      <c r="KE24">
        <v>17.021699999999999</v>
      </c>
      <c r="KF24">
        <v>-999.9</v>
      </c>
      <c r="KG24">
        <v>453.86599999999999</v>
      </c>
      <c r="KH24">
        <v>30.017499999999998</v>
      </c>
      <c r="KI24">
        <v>100.491</v>
      </c>
      <c r="KJ24">
        <v>99.553700000000006</v>
      </c>
    </row>
    <row r="25" spans="1:296" x14ac:dyDescent="0.3">
      <c r="A25">
        <v>9</v>
      </c>
      <c r="B25">
        <v>1783012148.5</v>
      </c>
      <c r="C25">
        <v>1047.900000095367</v>
      </c>
      <c r="D25" t="s">
        <v>443</v>
      </c>
      <c r="E25" t="s">
        <v>444</v>
      </c>
      <c r="F25">
        <v>15</v>
      </c>
      <c r="H25">
        <v>1783012140.5</v>
      </c>
      <c r="I25">
        <f t="shared" si="0"/>
        <v>4.8045401131729219E-3</v>
      </c>
      <c r="J25">
        <f t="shared" si="1"/>
        <v>4.804540113172922</v>
      </c>
      <c r="K25">
        <f t="shared" si="2"/>
        <v>19.414749099266274</v>
      </c>
      <c r="L25">
        <f t="shared" si="3"/>
        <v>419.75593548387093</v>
      </c>
      <c r="M25">
        <f t="shared" si="4"/>
        <v>294.79017778417239</v>
      </c>
      <c r="N25">
        <f t="shared" si="5"/>
        <v>28.845968785337391</v>
      </c>
      <c r="O25">
        <f t="shared" si="6"/>
        <v>41.074186064953558</v>
      </c>
      <c r="P25">
        <f t="shared" si="7"/>
        <v>0.28310715176191065</v>
      </c>
      <c r="Q25">
        <f t="shared" si="8"/>
        <v>2.8922547623317287</v>
      </c>
      <c r="R25">
        <f t="shared" si="9"/>
        <v>0.26856347047048351</v>
      </c>
      <c r="S25">
        <f t="shared" si="10"/>
        <v>0.16909657669583605</v>
      </c>
      <c r="T25">
        <f t="shared" si="11"/>
        <v>64.411502192442526</v>
      </c>
      <c r="U25">
        <f t="shared" si="12"/>
        <v>33.180175654251798</v>
      </c>
      <c r="V25">
        <f t="shared" si="13"/>
        <v>33.404806451612913</v>
      </c>
      <c r="W25">
        <f t="shared" si="14"/>
        <v>5.1681621617797706</v>
      </c>
      <c r="X25">
        <f t="shared" si="15"/>
        <v>65.210832713822995</v>
      </c>
      <c r="Y25">
        <f t="shared" si="16"/>
        <v>3.495094003145168</v>
      </c>
      <c r="Z25">
        <f t="shared" si="17"/>
        <v>5.3596831349836442</v>
      </c>
      <c r="AA25">
        <f t="shared" si="18"/>
        <v>1.6730681586346026</v>
      </c>
      <c r="AB25">
        <f t="shared" si="19"/>
        <v>-211.88021899092587</v>
      </c>
      <c r="AC25">
        <f t="shared" si="20"/>
        <v>101.5181892549448</v>
      </c>
      <c r="AD25">
        <f t="shared" si="21"/>
        <v>8.096348815650849</v>
      </c>
      <c r="AE25">
        <f t="shared" si="22"/>
        <v>-37.854178727887685</v>
      </c>
      <c r="AF25">
        <f t="shared" si="23"/>
        <v>19.414749099266274</v>
      </c>
      <c r="AG25">
        <f t="shared" si="24"/>
        <v>4.804540113172922</v>
      </c>
      <c r="AH25">
        <f t="shared" si="25"/>
        <v>18.523031371798076</v>
      </c>
      <c r="AI25">
        <v>458.5162895424545</v>
      </c>
      <c r="AJ25">
        <v>435.73639999999978</v>
      </c>
      <c r="AK25">
        <v>-2.690032336867863E-2</v>
      </c>
      <c r="AL25">
        <v>67.078790940454695</v>
      </c>
      <c r="AM25">
        <f t="shared" si="26"/>
        <v>4.7059694783529036</v>
      </c>
      <c r="AN25">
        <v>30.18861637144251</v>
      </c>
      <c r="AO25">
        <v>35.67338727272729</v>
      </c>
      <c r="AP25">
        <v>-6.5510762841553757E-3</v>
      </c>
      <c r="AQ25">
        <v>78.209648732282545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50569.899624928781</v>
      </c>
      <c r="AW25" t="s">
        <v>405</v>
      </c>
      <c r="AX25">
        <v>5103.1499999999996</v>
      </c>
      <c r="AY25">
        <v>584.19705882352946</v>
      </c>
      <c r="AZ25">
        <v>2574.9499999999998</v>
      </c>
      <c r="BA25">
        <f t="shared" si="30"/>
        <v>0.77312295041708401</v>
      </c>
      <c r="BB25">
        <v>-5.1755626910525043</v>
      </c>
      <c r="BC25" t="s">
        <v>445</v>
      </c>
      <c r="BD25">
        <v>5108.37</v>
      </c>
      <c r="BE25">
        <v>976.5208235294117</v>
      </c>
      <c r="BF25">
        <v>1890.62</v>
      </c>
      <c r="BG25">
        <f t="shared" si="31"/>
        <v>0.48349175216097806</v>
      </c>
      <c r="BH25">
        <v>0.5</v>
      </c>
      <c r="BI25">
        <f t="shared" si="32"/>
        <v>336.29899777311903</v>
      </c>
      <c r="BJ25">
        <f t="shared" si="33"/>
        <v>19.414749099266274</v>
      </c>
      <c r="BK25">
        <f t="shared" si="34"/>
        <v>81.298895841653092</v>
      </c>
      <c r="BL25">
        <f t="shared" si="35"/>
        <v>7.3120383804736774E-2</v>
      </c>
      <c r="BM25">
        <f t="shared" si="36"/>
        <v>0.36196062667273166</v>
      </c>
      <c r="BN25">
        <f t="shared" si="37"/>
        <v>539.86319171245088</v>
      </c>
      <c r="BO25" t="s">
        <v>407</v>
      </c>
      <c r="BP25">
        <v>0</v>
      </c>
      <c r="BQ25">
        <f t="shared" si="38"/>
        <v>539.86319171245088</v>
      </c>
      <c r="BR25">
        <f t="shared" si="39"/>
        <v>0.714451771528678</v>
      </c>
      <c r="BS25">
        <f t="shared" si="40"/>
        <v>0.67673112647824218</v>
      </c>
      <c r="BT25">
        <f t="shared" si="41"/>
        <v>0.33626575397824848</v>
      </c>
      <c r="BU25">
        <f t="shared" si="42"/>
        <v>0.69969620684050171</v>
      </c>
      <c r="BV25">
        <f t="shared" si="43"/>
        <v>0.34375435838642193</v>
      </c>
      <c r="BW25">
        <f t="shared" si="44"/>
        <v>0.37412640577520917</v>
      </c>
      <c r="BX25">
        <f t="shared" si="45"/>
        <v>0.62587359422479083</v>
      </c>
      <c r="DG25">
        <f t="shared" si="46"/>
        <v>400.00380645161277</v>
      </c>
      <c r="DH25">
        <f t="shared" si="47"/>
        <v>336.29899777311903</v>
      </c>
      <c r="DI25">
        <f t="shared" si="48"/>
        <v>0.84073949384729185</v>
      </c>
      <c r="DJ25">
        <f t="shared" si="49"/>
        <v>0.1610272231252734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1783012140.5</v>
      </c>
      <c r="DQ25">
        <v>419.75593548387093</v>
      </c>
      <c r="DR25">
        <v>445.47287096774193</v>
      </c>
      <c r="DS25">
        <v>35.717967741935489</v>
      </c>
      <c r="DT25">
        <v>30.158632258064511</v>
      </c>
      <c r="DU25">
        <v>424.17148387096779</v>
      </c>
      <c r="DV25">
        <v>35.413183870967742</v>
      </c>
      <c r="DW25">
        <v>500.01641935483872</v>
      </c>
      <c r="DX25">
        <v>97.808716129032263</v>
      </c>
      <c r="DY25">
        <v>4.3827677419354838E-2</v>
      </c>
      <c r="DZ25">
        <v>34.055867741935479</v>
      </c>
      <c r="EA25">
        <v>33.404806451612913</v>
      </c>
      <c r="EB25">
        <v>999.90000000000032</v>
      </c>
      <c r="EC25">
        <v>0</v>
      </c>
      <c r="ED25">
        <v>0</v>
      </c>
      <c r="EE25">
        <v>10008.22580645161</v>
      </c>
      <c r="EF25">
        <v>0</v>
      </c>
      <c r="EG25">
        <v>520.62129032258076</v>
      </c>
      <c r="EH25">
        <v>-25.716993548387091</v>
      </c>
      <c r="EI25">
        <v>435.30412903225812</v>
      </c>
      <c r="EJ25">
        <v>459.32551612903228</v>
      </c>
      <c r="EK25">
        <v>5.5593248387096779</v>
      </c>
      <c r="EL25">
        <v>445.47287096774193</v>
      </c>
      <c r="EM25">
        <v>30.158632258064511</v>
      </c>
      <c r="EN25">
        <v>3.493527741935484</v>
      </c>
      <c r="EO25">
        <v>2.9497774193548389</v>
      </c>
      <c r="EP25">
        <v>26.588312903225798</v>
      </c>
      <c r="EQ25">
        <v>23.747096774193551</v>
      </c>
      <c r="ER25">
        <v>400.00380645161277</v>
      </c>
      <c r="ES25">
        <v>0.97503451612903236</v>
      </c>
      <c r="ET25">
        <v>2.4965496774193539E-2</v>
      </c>
      <c r="EU25">
        <v>0</v>
      </c>
      <c r="EV25">
        <v>976.35393548387117</v>
      </c>
      <c r="EW25">
        <v>5.0010700000000003</v>
      </c>
      <c r="EX25">
        <v>9243.0038709677392</v>
      </c>
      <c r="EY25">
        <v>3583.7577419354839</v>
      </c>
      <c r="EZ25">
        <v>39.811999999999983</v>
      </c>
      <c r="FA25">
        <v>42.811999999999969</v>
      </c>
      <c r="FB25">
        <v>41.479677419354843</v>
      </c>
      <c r="FC25">
        <v>42.884999999999998</v>
      </c>
      <c r="FD25">
        <v>42.375</v>
      </c>
      <c r="FE25">
        <v>385.14225806451623</v>
      </c>
      <c r="FF25">
        <v>9.860000000000003</v>
      </c>
      <c r="FG25">
        <v>0</v>
      </c>
      <c r="FH25">
        <v>153.5999999046326</v>
      </c>
      <c r="FI25">
        <v>0</v>
      </c>
      <c r="FJ25">
        <v>976.5208235294117</v>
      </c>
      <c r="FK25">
        <v>6.1468137358008343</v>
      </c>
      <c r="FL25">
        <v>-2152.1127410383542</v>
      </c>
      <c r="FM25">
        <v>9171.5017647058849</v>
      </c>
      <c r="FN25">
        <v>10</v>
      </c>
      <c r="FO25">
        <v>1783012119</v>
      </c>
      <c r="FP25" t="s">
        <v>446</v>
      </c>
      <c r="FQ25">
        <v>1783012119</v>
      </c>
      <c r="FR25">
        <v>1783012118.5</v>
      </c>
      <c r="FS25">
        <v>40</v>
      </c>
      <c r="FT25">
        <v>-3.9E-2</v>
      </c>
      <c r="FU25">
        <v>-1.2E-2</v>
      </c>
      <c r="FV25">
        <v>-4.51</v>
      </c>
      <c r="FW25">
        <v>0.13300000000000001</v>
      </c>
      <c r="FX25">
        <v>445</v>
      </c>
      <c r="FY25">
        <v>30</v>
      </c>
      <c r="FZ25">
        <v>0.36</v>
      </c>
      <c r="GA25">
        <v>7.0000000000000007E-2</v>
      </c>
      <c r="GB25">
        <v>445.5041333333333</v>
      </c>
      <c r="GC25">
        <v>-7.2123337041156832</v>
      </c>
      <c r="GD25">
        <v>0.56968568721903323</v>
      </c>
      <c r="GE25">
        <v>-1</v>
      </c>
      <c r="GF25">
        <v>976.2258823529412</v>
      </c>
      <c r="GG25">
        <v>2.642200151094984</v>
      </c>
      <c r="GH25">
        <v>0.37620228950627072</v>
      </c>
      <c r="GI25">
        <v>1</v>
      </c>
      <c r="GJ25">
        <v>5.5631377500000001</v>
      </c>
      <c r="GK25">
        <v>-0.30867928705441661</v>
      </c>
      <c r="GL25">
        <v>0.11736809311920129</v>
      </c>
      <c r="GM25">
        <v>1</v>
      </c>
      <c r="GN25">
        <v>2</v>
      </c>
      <c r="GO25">
        <v>2</v>
      </c>
      <c r="GP25" t="s">
        <v>410</v>
      </c>
      <c r="GQ25">
        <v>3.13401</v>
      </c>
      <c r="GR25">
        <v>2.7198600000000002</v>
      </c>
      <c r="GS25">
        <v>9.1515299999999994E-2</v>
      </c>
      <c r="GT25">
        <v>9.5510600000000001E-2</v>
      </c>
      <c r="GU25">
        <v>0.14677000000000001</v>
      </c>
      <c r="GV25">
        <v>0.131828</v>
      </c>
      <c r="GW25">
        <v>22793.4</v>
      </c>
      <c r="GX25">
        <v>30546.1</v>
      </c>
      <c r="GY25">
        <v>27213.1</v>
      </c>
      <c r="GZ25">
        <v>34723.800000000003</v>
      </c>
      <c r="HA25">
        <v>34006.9</v>
      </c>
      <c r="HB25">
        <v>38440</v>
      </c>
      <c r="HC25">
        <v>40193.699999999997</v>
      </c>
      <c r="HD25">
        <v>44361.1</v>
      </c>
      <c r="HE25">
        <v>1.972</v>
      </c>
      <c r="HF25">
        <v>1.7936000000000001</v>
      </c>
      <c r="HG25">
        <v>2.5332E-2</v>
      </c>
      <c r="HH25">
        <v>0</v>
      </c>
      <c r="HI25">
        <v>32.967500000000001</v>
      </c>
      <c r="HJ25">
        <v>999.9</v>
      </c>
      <c r="HK25">
        <v>62.1</v>
      </c>
      <c r="HL25">
        <v>36.700000000000003</v>
      </c>
      <c r="HM25">
        <v>39.381399999999999</v>
      </c>
      <c r="HN25">
        <v>58.302900000000001</v>
      </c>
      <c r="HO25">
        <v>6.3181099999999999</v>
      </c>
      <c r="HP25">
        <v>1</v>
      </c>
      <c r="HQ25">
        <v>0.47951199999999999</v>
      </c>
      <c r="HR25">
        <v>0</v>
      </c>
      <c r="HS25">
        <v>20.292000000000002</v>
      </c>
      <c r="HT25">
        <v>5.2112999999999996</v>
      </c>
      <c r="HU25">
        <v>11.908099999999999</v>
      </c>
      <c r="HV25">
        <v>4.984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1.86307</v>
      </c>
      <c r="ID25">
        <v>1.86249</v>
      </c>
      <c r="IE25">
        <v>1.8620300000000001</v>
      </c>
      <c r="IF25">
        <v>1.8620300000000001</v>
      </c>
      <c r="IG25">
        <v>1.8626400000000001</v>
      </c>
      <c r="IH25">
        <v>1.8635600000000001</v>
      </c>
      <c r="II25">
        <v>1.86154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-4.4160000000000004</v>
      </c>
      <c r="IX25">
        <v>0.3034</v>
      </c>
      <c r="IY25">
        <v>-2.602505345430917</v>
      </c>
      <c r="IZ25">
        <v>-4.7754461378838441E-3</v>
      </c>
      <c r="JA25">
        <v>1.175754608921022E-6</v>
      </c>
      <c r="JB25">
        <v>1.4193218893046591E-11</v>
      </c>
      <c r="JC25">
        <v>-0.42635033658924071</v>
      </c>
      <c r="JD25">
        <v>2.7492919904454862E-4</v>
      </c>
      <c r="JE25">
        <v>8.6739513355948885E-4</v>
      </c>
      <c r="JF25">
        <v>-8.2500691715147318E-6</v>
      </c>
      <c r="JG25">
        <v>38</v>
      </c>
      <c r="JH25">
        <v>1780</v>
      </c>
      <c r="JI25">
        <v>2</v>
      </c>
      <c r="JJ25">
        <v>37</v>
      </c>
      <c r="JK25">
        <v>0.5</v>
      </c>
      <c r="JL25">
        <v>0.5</v>
      </c>
      <c r="JM25">
        <v>1.1437999999999999</v>
      </c>
      <c r="JN25">
        <v>2.5293000000000001</v>
      </c>
      <c r="JO25">
        <v>1.50024</v>
      </c>
      <c r="JP25">
        <v>2.2705099999999998</v>
      </c>
      <c r="JQ25">
        <v>1.4477500000000001</v>
      </c>
      <c r="JR25">
        <v>2.4890099999999999</v>
      </c>
      <c r="JS25">
        <v>41.7699</v>
      </c>
      <c r="JT25">
        <v>14.4122</v>
      </c>
      <c r="JU25">
        <v>18</v>
      </c>
      <c r="JV25">
        <v>542.50099999999998</v>
      </c>
      <c r="JW25">
        <v>440.41300000000001</v>
      </c>
      <c r="JX25">
        <v>33.763800000000003</v>
      </c>
      <c r="JY25">
        <v>33.392099999999999</v>
      </c>
      <c r="JZ25">
        <v>30.000900000000001</v>
      </c>
      <c r="KA25">
        <v>33.2179</v>
      </c>
      <c r="KB25">
        <v>33.170400000000001</v>
      </c>
      <c r="KC25">
        <v>22.877300000000002</v>
      </c>
      <c r="KD25">
        <v>34.271599999999999</v>
      </c>
      <c r="KE25">
        <v>14.2744</v>
      </c>
      <c r="KF25">
        <v>-999.9</v>
      </c>
      <c r="KG25">
        <v>444.61399999999998</v>
      </c>
      <c r="KH25">
        <v>30.192</v>
      </c>
      <c r="KI25">
        <v>100.446</v>
      </c>
      <c r="KJ25">
        <v>99.505700000000004</v>
      </c>
    </row>
    <row r="26" spans="1:296" x14ac:dyDescent="0.3">
      <c r="A26">
        <v>10</v>
      </c>
      <c r="B26">
        <v>1783012271</v>
      </c>
      <c r="C26">
        <v>1170.400000095367</v>
      </c>
      <c r="D26" t="s">
        <v>447</v>
      </c>
      <c r="E26" t="s">
        <v>448</v>
      </c>
      <c r="F26">
        <v>15</v>
      </c>
      <c r="H26">
        <v>1783012263.25</v>
      </c>
      <c r="I26">
        <f t="shared" si="0"/>
        <v>4.3364403523514523E-3</v>
      </c>
      <c r="J26">
        <f t="shared" si="1"/>
        <v>4.3364403523514525</v>
      </c>
      <c r="K26">
        <f t="shared" si="2"/>
        <v>13.899205197170817</v>
      </c>
      <c r="L26">
        <f t="shared" si="3"/>
        <v>420.07310000000001</v>
      </c>
      <c r="M26">
        <f t="shared" si="4"/>
        <v>317.71242377204788</v>
      </c>
      <c r="N26">
        <f t="shared" si="5"/>
        <v>31.087885799309536</v>
      </c>
      <c r="O26">
        <f t="shared" si="6"/>
        <v>41.103789411558019</v>
      </c>
      <c r="P26">
        <f t="shared" si="7"/>
        <v>0.25228954243012702</v>
      </c>
      <c r="Q26">
        <f t="shared" si="8"/>
        <v>2.8904870850772331</v>
      </c>
      <c r="R26">
        <f t="shared" si="9"/>
        <v>0.24066326544988226</v>
      </c>
      <c r="S26">
        <f t="shared" si="10"/>
        <v>0.15141446136002959</v>
      </c>
      <c r="T26">
        <f t="shared" si="11"/>
        <v>48.441496104855553</v>
      </c>
      <c r="U26">
        <f t="shared" si="12"/>
        <v>33.135220261830803</v>
      </c>
      <c r="V26">
        <f t="shared" si="13"/>
        <v>33.325006666666667</v>
      </c>
      <c r="W26">
        <f t="shared" si="14"/>
        <v>5.1451023540141705</v>
      </c>
      <c r="X26">
        <f t="shared" si="15"/>
        <v>64.807276267308481</v>
      </c>
      <c r="Y26">
        <f t="shared" si="16"/>
        <v>3.4595096537178378</v>
      </c>
      <c r="Z26">
        <f t="shared" si="17"/>
        <v>5.3381500550162144</v>
      </c>
      <c r="AA26">
        <f t="shared" si="18"/>
        <v>1.6855927002963327</v>
      </c>
      <c r="AB26">
        <f t="shared" si="19"/>
        <v>-191.23701953869906</v>
      </c>
      <c r="AC26">
        <f t="shared" si="20"/>
        <v>102.64338206180742</v>
      </c>
      <c r="AD26">
        <f t="shared" si="21"/>
        <v>8.1850060324857594</v>
      </c>
      <c r="AE26">
        <f t="shared" si="22"/>
        <v>-31.967135339550339</v>
      </c>
      <c r="AF26">
        <f t="shared" si="23"/>
        <v>13.899205197170817</v>
      </c>
      <c r="AG26">
        <f t="shared" si="24"/>
        <v>4.3364403523514525</v>
      </c>
      <c r="AH26">
        <f t="shared" si="25"/>
        <v>13.863985374298618</v>
      </c>
      <c r="AI26">
        <v>452.71067759373852</v>
      </c>
      <c r="AJ26">
        <v>435.55003636363631</v>
      </c>
      <c r="AK26">
        <v>3.9811131773413998E-4</v>
      </c>
      <c r="AL26">
        <v>67.078790940454695</v>
      </c>
      <c r="AM26">
        <f t="shared" si="26"/>
        <v>4.4636045755650011</v>
      </c>
      <c r="AN26">
        <v>30.3439252068457</v>
      </c>
      <c r="AO26">
        <v>35.51186545454545</v>
      </c>
      <c r="AP26">
        <v>-2.3770011667794471E-4</v>
      </c>
      <c r="AQ26">
        <v>78.209648732282545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50532.45416072863</v>
      </c>
      <c r="AW26" t="s">
        <v>405</v>
      </c>
      <c r="AX26">
        <v>5103.1499999999996</v>
      </c>
      <c r="AY26">
        <v>584.19705882352946</v>
      </c>
      <c r="AZ26">
        <v>2574.9499999999998</v>
      </c>
      <c r="BA26">
        <f t="shared" si="30"/>
        <v>0.77312295041708401</v>
      </c>
      <c r="BB26">
        <v>-5.1755626910525043</v>
      </c>
      <c r="BC26" t="s">
        <v>449</v>
      </c>
      <c r="BD26">
        <v>5110.16</v>
      </c>
      <c r="BE26">
        <v>1004.9411764705879</v>
      </c>
      <c r="BF26">
        <v>2038.83</v>
      </c>
      <c r="BG26">
        <f t="shared" si="31"/>
        <v>0.50709908306696094</v>
      </c>
      <c r="BH26">
        <v>0.5</v>
      </c>
      <c r="BI26">
        <f t="shared" si="32"/>
        <v>252.2820953911168</v>
      </c>
      <c r="BJ26">
        <f t="shared" si="33"/>
        <v>13.899205197170817</v>
      </c>
      <c r="BK26">
        <f t="shared" si="34"/>
        <v>63.966009623523448</v>
      </c>
      <c r="BL26">
        <f t="shared" si="35"/>
        <v>7.5608884802749937E-2</v>
      </c>
      <c r="BM26">
        <f t="shared" si="36"/>
        <v>0.26295473384244883</v>
      </c>
      <c r="BN26">
        <f t="shared" si="37"/>
        <v>551.30697027240649</v>
      </c>
      <c r="BO26" t="s">
        <v>407</v>
      </c>
      <c r="BP26">
        <v>0</v>
      </c>
      <c r="BQ26">
        <f t="shared" si="38"/>
        <v>551.30697027240649</v>
      </c>
      <c r="BR26">
        <f t="shared" si="39"/>
        <v>0.7295964007433644</v>
      </c>
      <c r="BS26">
        <f t="shared" si="40"/>
        <v>0.69504054919993119</v>
      </c>
      <c r="BT26">
        <f t="shared" si="41"/>
        <v>0.26492814796104036</v>
      </c>
      <c r="BU26">
        <f t="shared" si="42"/>
        <v>0.7107558163045784</v>
      </c>
      <c r="BV26">
        <f t="shared" si="43"/>
        <v>0.26930514023662344</v>
      </c>
      <c r="BW26">
        <f t="shared" si="44"/>
        <v>0.38129664538340097</v>
      </c>
      <c r="BX26">
        <f t="shared" si="45"/>
        <v>0.61870335461659898</v>
      </c>
      <c r="DG26">
        <f t="shared" si="46"/>
        <v>299.98833333333329</v>
      </c>
      <c r="DH26">
        <f t="shared" si="47"/>
        <v>252.2820953911168</v>
      </c>
      <c r="DI26">
        <f t="shared" si="48"/>
        <v>0.84097302247681915</v>
      </c>
      <c r="DJ26">
        <f t="shared" si="49"/>
        <v>0.16147793338026109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1783012263.25</v>
      </c>
      <c r="DQ26">
        <v>420.07310000000001</v>
      </c>
      <c r="DR26">
        <v>438.93956666666668</v>
      </c>
      <c r="DS26">
        <v>35.355546666666669</v>
      </c>
      <c r="DT26">
        <v>30.33540666666666</v>
      </c>
      <c r="DU26">
        <v>424.4899666666667</v>
      </c>
      <c r="DV26">
        <v>35.222546666666673</v>
      </c>
      <c r="DW26">
        <v>499.9609333333334</v>
      </c>
      <c r="DX26">
        <v>97.802906666666658</v>
      </c>
      <c r="DY26">
        <v>4.6228190000000009E-2</v>
      </c>
      <c r="DZ26">
        <v>33.983686666666671</v>
      </c>
      <c r="EA26">
        <v>33.325006666666667</v>
      </c>
      <c r="EB26">
        <v>999.9000000000002</v>
      </c>
      <c r="EC26">
        <v>0</v>
      </c>
      <c r="ED26">
        <v>0</v>
      </c>
      <c r="EE26">
        <v>9998.6666666666661</v>
      </c>
      <c r="EF26">
        <v>0</v>
      </c>
      <c r="EG26">
        <v>442.11763333333329</v>
      </c>
      <c r="EH26">
        <v>-18.866420000000002</v>
      </c>
      <c r="EI26">
        <v>435.54446666666678</v>
      </c>
      <c r="EJ26">
        <v>452.67163333333338</v>
      </c>
      <c r="EK26">
        <v>5.1860790000000003</v>
      </c>
      <c r="EL26">
        <v>438.93956666666668</v>
      </c>
      <c r="EM26">
        <v>30.33540666666666</v>
      </c>
      <c r="EN26">
        <v>3.474104333333333</v>
      </c>
      <c r="EO26">
        <v>2.9668909999999999</v>
      </c>
      <c r="EP26">
        <v>26.493723333333339</v>
      </c>
      <c r="EQ26">
        <v>23.843236666666659</v>
      </c>
      <c r="ER26">
        <v>299.98833333333329</v>
      </c>
      <c r="ES26">
        <v>0.96702943333333335</v>
      </c>
      <c r="ET26">
        <v>3.2970533333333329E-2</v>
      </c>
      <c r="EU26">
        <v>0</v>
      </c>
      <c r="EV26">
        <v>1004.915666666667</v>
      </c>
      <c r="EW26">
        <v>5.0010700000000003</v>
      </c>
      <c r="EX26">
        <v>8216.0459999999985</v>
      </c>
      <c r="EY26">
        <v>2667.9516666666668</v>
      </c>
      <c r="EZ26">
        <v>39.625</v>
      </c>
      <c r="FA26">
        <v>42.75</v>
      </c>
      <c r="FB26">
        <v>41.375</v>
      </c>
      <c r="FC26">
        <v>42.811999999999983</v>
      </c>
      <c r="FD26">
        <v>42.197499999999977</v>
      </c>
      <c r="FE26">
        <v>285.262</v>
      </c>
      <c r="FF26">
        <v>9.73</v>
      </c>
      <c r="FG26">
        <v>0</v>
      </c>
      <c r="FH26">
        <v>121.5999999046326</v>
      </c>
      <c r="FI26">
        <v>0</v>
      </c>
      <c r="FJ26">
        <v>1004.9411764705879</v>
      </c>
      <c r="FK26">
        <v>0.59558822615124851</v>
      </c>
      <c r="FL26">
        <v>345.87011198552648</v>
      </c>
      <c r="FM26">
        <v>8200.2782352941158</v>
      </c>
      <c r="FN26">
        <v>10</v>
      </c>
      <c r="FO26">
        <v>1783012300</v>
      </c>
      <c r="FP26" t="s">
        <v>450</v>
      </c>
      <c r="FQ26">
        <v>1783012119</v>
      </c>
      <c r="FR26">
        <v>1783012300</v>
      </c>
      <c r="FS26">
        <v>41</v>
      </c>
      <c r="FT26">
        <v>-3.9E-2</v>
      </c>
      <c r="FU26">
        <v>-1.6E-2</v>
      </c>
      <c r="FV26">
        <v>-4.51</v>
      </c>
      <c r="FW26">
        <v>0.13300000000000001</v>
      </c>
      <c r="FX26">
        <v>445</v>
      </c>
      <c r="FY26">
        <v>30</v>
      </c>
      <c r="FZ26">
        <v>0.36</v>
      </c>
      <c r="GA26">
        <v>7.0000000000000007E-2</v>
      </c>
      <c r="GB26">
        <v>438.94180645161288</v>
      </c>
      <c r="GC26">
        <v>0.20482258064439529</v>
      </c>
      <c r="GD26">
        <v>0.1003289490769889</v>
      </c>
      <c r="GE26">
        <v>-1</v>
      </c>
      <c r="GF26">
        <v>1004.827647058824</v>
      </c>
      <c r="GG26">
        <v>1.062184874639539</v>
      </c>
      <c r="GH26">
        <v>0.24467335756701011</v>
      </c>
      <c r="GI26">
        <v>1</v>
      </c>
      <c r="GJ26">
        <v>5.1935139024390242</v>
      </c>
      <c r="GK26">
        <v>-0.13808278745643579</v>
      </c>
      <c r="GL26">
        <v>1.468337518155105E-2</v>
      </c>
      <c r="GM26">
        <v>1</v>
      </c>
      <c r="GN26">
        <v>2</v>
      </c>
      <c r="GO26">
        <v>2</v>
      </c>
      <c r="GP26" t="s">
        <v>410</v>
      </c>
      <c r="GQ26">
        <v>3.1341299999999999</v>
      </c>
      <c r="GR26">
        <v>2.7218499999999999</v>
      </c>
      <c r="GS26">
        <v>9.1488100000000003E-2</v>
      </c>
      <c r="GT26">
        <v>9.4508700000000001E-2</v>
      </c>
      <c r="GU26">
        <v>0.146255</v>
      </c>
      <c r="GV26">
        <v>0.13225899999999999</v>
      </c>
      <c r="GW26">
        <v>22785.200000000001</v>
      </c>
      <c r="GX26">
        <v>30565.200000000001</v>
      </c>
      <c r="GY26">
        <v>27203.599999999999</v>
      </c>
      <c r="GZ26">
        <v>34708.6</v>
      </c>
      <c r="HA26">
        <v>34017.5</v>
      </c>
      <c r="HB26">
        <v>38406.699999999997</v>
      </c>
      <c r="HC26">
        <v>40179.5</v>
      </c>
      <c r="HD26">
        <v>44344</v>
      </c>
      <c r="HE26">
        <v>1.9708000000000001</v>
      </c>
      <c r="HF26">
        <v>1.7876000000000001</v>
      </c>
      <c r="HG26">
        <v>2.80142E-2</v>
      </c>
      <c r="HH26">
        <v>0</v>
      </c>
      <c r="HI26">
        <v>32.875300000000003</v>
      </c>
      <c r="HJ26">
        <v>999.9</v>
      </c>
      <c r="HK26">
        <v>61.7</v>
      </c>
      <c r="HL26">
        <v>37</v>
      </c>
      <c r="HM26">
        <v>39.774000000000001</v>
      </c>
      <c r="HN26">
        <v>59.622999999999998</v>
      </c>
      <c r="HO26">
        <v>6.52644</v>
      </c>
      <c r="HP26">
        <v>1</v>
      </c>
      <c r="HQ26">
        <v>0.50140200000000001</v>
      </c>
      <c r="HR26">
        <v>0</v>
      </c>
      <c r="HS26">
        <v>20.2927</v>
      </c>
      <c r="HT26">
        <v>5.2112999999999996</v>
      </c>
      <c r="HU26">
        <v>11.908099999999999</v>
      </c>
      <c r="HV26">
        <v>4.9855999999999998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1.8674299999999999</v>
      </c>
      <c r="IC26">
        <v>1.86307</v>
      </c>
      <c r="ID26">
        <v>1.86252</v>
      </c>
      <c r="IE26">
        <v>1.8620300000000001</v>
      </c>
      <c r="IF26">
        <v>1.8620300000000001</v>
      </c>
      <c r="IG26">
        <v>1.86267</v>
      </c>
      <c r="IH26">
        <v>1.8635600000000001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-4.4169999999999998</v>
      </c>
      <c r="IX26">
        <v>0.13300000000000001</v>
      </c>
      <c r="IY26">
        <v>-2.602505345430917</v>
      </c>
      <c r="IZ26">
        <v>-4.7754461378838441E-3</v>
      </c>
      <c r="JA26">
        <v>1.175754608921022E-6</v>
      </c>
      <c r="JB26">
        <v>1.4193218893046591E-11</v>
      </c>
      <c r="JC26">
        <v>-0.42635033658924071</v>
      </c>
      <c r="JD26">
        <v>2.7492919904454862E-4</v>
      </c>
      <c r="JE26">
        <v>8.6739513355948885E-4</v>
      </c>
      <c r="JF26">
        <v>-8.2500691715147318E-6</v>
      </c>
      <c r="JG26">
        <v>38</v>
      </c>
      <c r="JH26">
        <v>1780</v>
      </c>
      <c r="JI26">
        <v>2</v>
      </c>
      <c r="JJ26">
        <v>37</v>
      </c>
      <c r="JK26">
        <v>2.5</v>
      </c>
      <c r="JL26">
        <v>2.5</v>
      </c>
      <c r="JM26">
        <v>1.1315900000000001</v>
      </c>
      <c r="JN26">
        <v>2.5305200000000001</v>
      </c>
      <c r="JO26">
        <v>1.50024</v>
      </c>
      <c r="JP26">
        <v>2.2705099999999998</v>
      </c>
      <c r="JQ26">
        <v>1.4477500000000001</v>
      </c>
      <c r="JR26">
        <v>2.4609399999999999</v>
      </c>
      <c r="JS26">
        <v>42.271000000000001</v>
      </c>
      <c r="JT26">
        <v>14.403499999999999</v>
      </c>
      <c r="JU26">
        <v>18</v>
      </c>
      <c r="JV26">
        <v>543.63</v>
      </c>
      <c r="JW26">
        <v>438.28399999999999</v>
      </c>
      <c r="JX26">
        <v>33.806699999999999</v>
      </c>
      <c r="JY26">
        <v>33.628799999999998</v>
      </c>
      <c r="JZ26">
        <v>30.001000000000001</v>
      </c>
      <c r="KA26">
        <v>33.450099999999999</v>
      </c>
      <c r="KB26">
        <v>33.404299999999999</v>
      </c>
      <c r="KC26">
        <v>22.625800000000002</v>
      </c>
      <c r="KD26">
        <v>34.833100000000002</v>
      </c>
      <c r="KE26">
        <v>11.2241</v>
      </c>
      <c r="KF26">
        <v>-999.9</v>
      </c>
      <c r="KG26">
        <v>438.70800000000003</v>
      </c>
      <c r="KH26">
        <v>30.367699999999999</v>
      </c>
      <c r="KI26">
        <v>100.411</v>
      </c>
      <c r="KJ26">
        <v>99.465000000000003</v>
      </c>
    </row>
    <row r="27" spans="1:296" x14ac:dyDescent="0.3">
      <c r="A27">
        <v>11</v>
      </c>
      <c r="B27">
        <v>1783012430.5</v>
      </c>
      <c r="C27">
        <v>1329.900000095367</v>
      </c>
      <c r="D27" t="s">
        <v>451</v>
      </c>
      <c r="E27" t="s">
        <v>452</v>
      </c>
      <c r="F27">
        <v>15</v>
      </c>
      <c r="H27">
        <v>1783012422.5</v>
      </c>
      <c r="I27">
        <f t="shared" si="0"/>
        <v>3.8603394691838675E-3</v>
      </c>
      <c r="J27">
        <f t="shared" si="1"/>
        <v>3.8603394691838675</v>
      </c>
      <c r="K27">
        <f t="shared" si="2"/>
        <v>8.4141576310057502</v>
      </c>
      <c r="L27">
        <f t="shared" si="3"/>
        <v>420.01764516129032</v>
      </c>
      <c r="M27">
        <f t="shared" si="4"/>
        <v>349.00954518919986</v>
      </c>
      <c r="N27">
        <f t="shared" si="5"/>
        <v>34.150076028006076</v>
      </c>
      <c r="O27">
        <f t="shared" si="6"/>
        <v>41.098115260963382</v>
      </c>
      <c r="P27">
        <f t="shared" si="7"/>
        <v>0.2315103325628341</v>
      </c>
      <c r="Q27">
        <f t="shared" si="8"/>
        <v>2.8911616676414811</v>
      </c>
      <c r="R27">
        <f t="shared" si="9"/>
        <v>0.22168241127481966</v>
      </c>
      <c r="S27">
        <f t="shared" si="10"/>
        <v>0.1393997395056214</v>
      </c>
      <c r="T27">
        <f t="shared" si="11"/>
        <v>32.487717597111029</v>
      </c>
      <c r="U27">
        <f t="shared" si="12"/>
        <v>32.919867453976998</v>
      </c>
      <c r="V27">
        <f t="shared" si="13"/>
        <v>33.046390322580649</v>
      </c>
      <c r="W27">
        <f t="shared" si="14"/>
        <v>5.0652906795442334</v>
      </c>
      <c r="X27">
        <f t="shared" si="15"/>
        <v>65.243081184623406</v>
      </c>
      <c r="Y27">
        <f t="shared" si="16"/>
        <v>3.4353875920768493</v>
      </c>
      <c r="Z27">
        <f t="shared" si="17"/>
        <v>5.2655201589199416</v>
      </c>
      <c r="AA27">
        <f t="shared" si="18"/>
        <v>1.6299030874673841</v>
      </c>
      <c r="AB27">
        <f t="shared" si="19"/>
        <v>-170.24097059100856</v>
      </c>
      <c r="AC27">
        <f t="shared" si="20"/>
        <v>107.85332700061808</v>
      </c>
      <c r="AD27">
        <f t="shared" si="21"/>
        <v>8.5764340506291656</v>
      </c>
      <c r="AE27">
        <f t="shared" si="22"/>
        <v>-21.323491942650278</v>
      </c>
      <c r="AF27">
        <f t="shared" si="23"/>
        <v>8.4141576310057502</v>
      </c>
      <c r="AG27">
        <f t="shared" si="24"/>
        <v>3.8603394691838675</v>
      </c>
      <c r="AH27">
        <f t="shared" si="25"/>
        <v>8.3573921388858601</v>
      </c>
      <c r="AI27">
        <v>445.66739585772649</v>
      </c>
      <c r="AJ27">
        <v>435.32321818181822</v>
      </c>
      <c r="AK27">
        <v>-2.9483387383789401E-4</v>
      </c>
      <c r="AL27">
        <v>67.035997125220234</v>
      </c>
      <c r="AM27">
        <f t="shared" si="26"/>
        <v>3.8301130535607499</v>
      </c>
      <c r="AN27">
        <v>30.649562632592868</v>
      </c>
      <c r="AO27">
        <v>35.089901212121177</v>
      </c>
      <c r="AP27">
        <v>-9.2794555157935013E-4</v>
      </c>
      <c r="AQ27">
        <v>78.070492491737468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50591.657693573412</v>
      </c>
      <c r="AW27" t="s">
        <v>405</v>
      </c>
      <c r="AX27">
        <v>5103.1499999999996</v>
      </c>
      <c r="AY27">
        <v>584.19705882352946</v>
      </c>
      <c r="AZ27">
        <v>2574.9499999999998</v>
      </c>
      <c r="BA27">
        <f t="shared" si="30"/>
        <v>0.77312295041708401</v>
      </c>
      <c r="BB27">
        <v>-5.1755626910525043</v>
      </c>
      <c r="BC27" t="s">
        <v>453</v>
      </c>
      <c r="BD27">
        <v>5113.04</v>
      </c>
      <c r="BE27">
        <v>1022.607647058824</v>
      </c>
      <c r="BF27">
        <v>2196.84</v>
      </c>
      <c r="BG27">
        <f t="shared" si="31"/>
        <v>0.53450972894756843</v>
      </c>
      <c r="BH27">
        <v>0.5</v>
      </c>
      <c r="BI27">
        <f t="shared" si="32"/>
        <v>168.30842085760389</v>
      </c>
      <c r="BJ27">
        <f t="shared" si="33"/>
        <v>8.4141576310057502</v>
      </c>
      <c r="BK27">
        <f t="shared" si="34"/>
        <v>44.981244206095568</v>
      </c>
      <c r="BL27">
        <f t="shared" si="35"/>
        <v>8.0742961361129628E-2</v>
      </c>
      <c r="BM27">
        <f t="shared" si="36"/>
        <v>0.17211540212304932</v>
      </c>
      <c r="BN27">
        <f t="shared" si="37"/>
        <v>562.24204956444976</v>
      </c>
      <c r="BO27" t="s">
        <v>407</v>
      </c>
      <c r="BP27">
        <v>0</v>
      </c>
      <c r="BQ27">
        <f t="shared" si="38"/>
        <v>562.24204956444976</v>
      </c>
      <c r="BR27">
        <f t="shared" si="39"/>
        <v>0.74406782033992025</v>
      </c>
      <c r="BS27">
        <f t="shared" si="40"/>
        <v>0.71836157180320293</v>
      </c>
      <c r="BT27">
        <f t="shared" si="41"/>
        <v>0.18786133374103114</v>
      </c>
      <c r="BU27">
        <f t="shared" si="42"/>
        <v>0.72814156373917394</v>
      </c>
      <c r="BV27">
        <f t="shared" si="43"/>
        <v>0.18993316155873613</v>
      </c>
      <c r="BW27">
        <f t="shared" si="44"/>
        <v>0.39496387849301806</v>
      </c>
      <c r="BX27">
        <f t="shared" si="45"/>
        <v>0.60503612150698194</v>
      </c>
      <c r="DG27">
        <f t="shared" si="46"/>
        <v>200.0188387096774</v>
      </c>
      <c r="DH27">
        <f t="shared" si="47"/>
        <v>168.30842085760389</v>
      </c>
      <c r="DI27">
        <f t="shared" si="48"/>
        <v>0.84146284391691506</v>
      </c>
      <c r="DJ27">
        <f t="shared" si="49"/>
        <v>0.16242328875964621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1783012422.5</v>
      </c>
      <c r="DQ27">
        <v>420.01764516129032</v>
      </c>
      <c r="DR27">
        <v>432.06012903225798</v>
      </c>
      <c r="DS27">
        <v>35.109235483870947</v>
      </c>
      <c r="DT27">
        <v>30.639541935483869</v>
      </c>
      <c r="DU27">
        <v>424.51422580645158</v>
      </c>
      <c r="DV27">
        <v>34.842700000000008</v>
      </c>
      <c r="DW27">
        <v>500.00822580645172</v>
      </c>
      <c r="DX27">
        <v>97.802516129032284</v>
      </c>
      <c r="DY27">
        <v>4.6028412903225811E-2</v>
      </c>
      <c r="DZ27">
        <v>33.738341935483867</v>
      </c>
      <c r="EA27">
        <v>33.046390322580649</v>
      </c>
      <c r="EB27">
        <v>999.90000000000032</v>
      </c>
      <c r="EC27">
        <v>0</v>
      </c>
      <c r="ED27">
        <v>0</v>
      </c>
      <c r="EE27">
        <v>10002.58064516129</v>
      </c>
      <c r="EF27">
        <v>0</v>
      </c>
      <c r="EG27">
        <v>393.40754838709682</v>
      </c>
      <c r="EH27">
        <v>-12.042538709677419</v>
      </c>
      <c r="EI27">
        <v>435.30067741935483</v>
      </c>
      <c r="EJ27">
        <v>445.71667741935488</v>
      </c>
      <c r="EK27">
        <v>4.4696906451612888</v>
      </c>
      <c r="EL27">
        <v>432.06012903225798</v>
      </c>
      <c r="EM27">
        <v>30.639541935483869</v>
      </c>
      <c r="EN27">
        <v>3.4337719354838709</v>
      </c>
      <c r="EO27">
        <v>2.996624838709677</v>
      </c>
      <c r="EP27">
        <v>26.29579032258064</v>
      </c>
      <c r="EQ27">
        <v>24.009164516129029</v>
      </c>
      <c r="ER27">
        <v>200.0188387096774</v>
      </c>
      <c r="ES27">
        <v>0.94999400000000001</v>
      </c>
      <c r="ET27">
        <v>5.0005748387096781E-2</v>
      </c>
      <c r="EU27">
        <v>0</v>
      </c>
      <c r="EV27">
        <v>1022.617741935484</v>
      </c>
      <c r="EW27">
        <v>5.0010700000000003</v>
      </c>
      <c r="EX27">
        <v>6838.7174193548381</v>
      </c>
      <c r="EY27">
        <v>1751.9929032258069</v>
      </c>
      <c r="EZ27">
        <v>39.23374193548387</v>
      </c>
      <c r="FA27">
        <v>42.441064516129011</v>
      </c>
      <c r="FB27">
        <v>41.061999999999983</v>
      </c>
      <c r="FC27">
        <v>42.5</v>
      </c>
      <c r="FD27">
        <v>41.858741935483863</v>
      </c>
      <c r="FE27">
        <v>185.26483870967749</v>
      </c>
      <c r="FF27">
        <v>9.7532258064516135</v>
      </c>
      <c r="FG27">
        <v>0</v>
      </c>
      <c r="FH27">
        <v>158.5999999046326</v>
      </c>
      <c r="FI27">
        <v>0</v>
      </c>
      <c r="FJ27">
        <v>1022.607647058824</v>
      </c>
      <c r="FK27">
        <v>1.828431354342027</v>
      </c>
      <c r="FL27">
        <v>-1852.083342914196</v>
      </c>
      <c r="FM27">
        <v>6849.4323529411768</v>
      </c>
      <c r="FN27">
        <v>10</v>
      </c>
      <c r="FO27">
        <v>1783012382</v>
      </c>
      <c r="FP27" t="s">
        <v>454</v>
      </c>
      <c r="FQ27">
        <v>1783012379</v>
      </c>
      <c r="FR27">
        <v>1783012382</v>
      </c>
      <c r="FS27">
        <v>42</v>
      </c>
      <c r="FT27">
        <v>-0.08</v>
      </c>
      <c r="FU27">
        <v>-5.0000000000000001E-3</v>
      </c>
      <c r="FV27">
        <v>-4.5430000000000001</v>
      </c>
      <c r="FW27">
        <v>0.13200000000000001</v>
      </c>
      <c r="FX27">
        <v>433</v>
      </c>
      <c r="FY27">
        <v>31</v>
      </c>
      <c r="FZ27">
        <v>0.63</v>
      </c>
      <c r="GA27">
        <v>0.08</v>
      </c>
      <c r="GB27">
        <v>432.05549999999988</v>
      </c>
      <c r="GC27">
        <v>0.35215127919841083</v>
      </c>
      <c r="GD27">
        <v>0.1239768123481176</v>
      </c>
      <c r="GE27">
        <v>-1</v>
      </c>
      <c r="GF27">
        <v>1022.655</v>
      </c>
      <c r="GG27">
        <v>-0.151413303925963</v>
      </c>
      <c r="GH27">
        <v>0.27486092740104989</v>
      </c>
      <c r="GI27">
        <v>1</v>
      </c>
      <c r="GJ27">
        <v>4.4918847499999996</v>
      </c>
      <c r="GK27">
        <v>-0.42268063789870353</v>
      </c>
      <c r="GL27">
        <v>4.3582843011183911E-2</v>
      </c>
      <c r="GM27">
        <v>1</v>
      </c>
      <c r="GN27">
        <v>2</v>
      </c>
      <c r="GO27">
        <v>2</v>
      </c>
      <c r="GP27" t="s">
        <v>410</v>
      </c>
      <c r="GQ27">
        <v>3.1329899999999999</v>
      </c>
      <c r="GR27">
        <v>2.7223099999999998</v>
      </c>
      <c r="GS27">
        <v>9.1420799999999997E-2</v>
      </c>
      <c r="GT27">
        <v>9.3386899999999995E-2</v>
      </c>
      <c r="GU27">
        <v>0.145062</v>
      </c>
      <c r="GV27">
        <v>0.133103</v>
      </c>
      <c r="GW27">
        <v>22780.400000000001</v>
      </c>
      <c r="GX27">
        <v>30592.7</v>
      </c>
      <c r="GY27">
        <v>27196.799999999999</v>
      </c>
      <c r="GZ27">
        <v>34698.199999999997</v>
      </c>
      <c r="HA27">
        <v>34058.5</v>
      </c>
      <c r="HB27">
        <v>38360.1</v>
      </c>
      <c r="HC27">
        <v>40169.800000000003</v>
      </c>
      <c r="HD27">
        <v>44332.800000000003</v>
      </c>
      <c r="HE27">
        <v>1.9661999999999999</v>
      </c>
      <c r="HF27">
        <v>1.7826</v>
      </c>
      <c r="HG27">
        <v>3.0249399999999999E-2</v>
      </c>
      <c r="HH27">
        <v>0</v>
      </c>
      <c r="HI27">
        <v>32.544699999999999</v>
      </c>
      <c r="HJ27">
        <v>999.9</v>
      </c>
      <c r="HK27">
        <v>61.1</v>
      </c>
      <c r="HL27">
        <v>37.5</v>
      </c>
      <c r="HM27">
        <v>40.473399999999998</v>
      </c>
      <c r="HN27">
        <v>59.323</v>
      </c>
      <c r="HO27">
        <v>6.6586499999999997</v>
      </c>
      <c r="HP27">
        <v>1</v>
      </c>
      <c r="HQ27">
        <v>0.51871900000000004</v>
      </c>
      <c r="HR27">
        <v>0</v>
      </c>
      <c r="HS27">
        <v>20.293700000000001</v>
      </c>
      <c r="HT27">
        <v>5.2100999999999997</v>
      </c>
      <c r="HU27">
        <v>11.908099999999999</v>
      </c>
      <c r="HV27">
        <v>4.9855999999999998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1.8675200000000001</v>
      </c>
      <c r="IC27">
        <v>1.8631</v>
      </c>
      <c r="ID27">
        <v>1.8625499999999999</v>
      </c>
      <c r="IE27">
        <v>1.86209</v>
      </c>
      <c r="IF27">
        <v>1.86206</v>
      </c>
      <c r="IG27">
        <v>1.8627</v>
      </c>
      <c r="IH27">
        <v>1.8635900000000001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-4.4960000000000004</v>
      </c>
      <c r="IX27">
        <v>0.26569999999999999</v>
      </c>
      <c r="IY27">
        <v>-2.68244857937079</v>
      </c>
      <c r="IZ27">
        <v>-4.7754461378838441E-3</v>
      </c>
      <c r="JA27">
        <v>1.175754608921022E-6</v>
      </c>
      <c r="JB27">
        <v>1.4193218893046591E-11</v>
      </c>
      <c r="JC27">
        <v>-0.44710405733521691</v>
      </c>
      <c r="JD27">
        <v>2.7492919904454862E-4</v>
      </c>
      <c r="JE27">
        <v>8.6739513355948885E-4</v>
      </c>
      <c r="JF27">
        <v>-8.2500691715147318E-6</v>
      </c>
      <c r="JG27">
        <v>38</v>
      </c>
      <c r="JH27">
        <v>1780</v>
      </c>
      <c r="JI27">
        <v>2</v>
      </c>
      <c r="JJ27">
        <v>37</v>
      </c>
      <c r="JK27">
        <v>0.9</v>
      </c>
      <c r="JL27">
        <v>0.8</v>
      </c>
      <c r="JM27">
        <v>1.11694</v>
      </c>
      <c r="JN27">
        <v>2.5354000000000001</v>
      </c>
      <c r="JO27">
        <v>1.50024</v>
      </c>
      <c r="JP27">
        <v>2.2717299999999998</v>
      </c>
      <c r="JQ27">
        <v>1.4477500000000001</v>
      </c>
      <c r="JR27">
        <v>2.32544</v>
      </c>
      <c r="JS27">
        <v>42.777799999999999</v>
      </c>
      <c r="JT27">
        <v>14.368399999999999</v>
      </c>
      <c r="JU27">
        <v>18</v>
      </c>
      <c r="JV27">
        <v>542.47400000000005</v>
      </c>
      <c r="JW27">
        <v>436.72</v>
      </c>
      <c r="JX27">
        <v>33.750799999999998</v>
      </c>
      <c r="JY27">
        <v>33.832599999999999</v>
      </c>
      <c r="JZ27">
        <v>30.000499999999999</v>
      </c>
      <c r="KA27">
        <v>33.680300000000003</v>
      </c>
      <c r="KB27">
        <v>33.630899999999997</v>
      </c>
      <c r="KC27">
        <v>22.338000000000001</v>
      </c>
      <c r="KD27">
        <v>34.783900000000003</v>
      </c>
      <c r="KE27">
        <v>8.2218699999999991</v>
      </c>
      <c r="KF27">
        <v>-999.9</v>
      </c>
      <c r="KG27">
        <v>432.072</v>
      </c>
      <c r="KH27">
        <v>30.645700000000001</v>
      </c>
      <c r="KI27">
        <v>100.387</v>
      </c>
      <c r="KJ27">
        <v>99.437799999999996</v>
      </c>
    </row>
    <row r="28" spans="1:296" x14ac:dyDescent="0.3">
      <c r="A28">
        <v>12</v>
      </c>
      <c r="B28">
        <v>1783012555.5</v>
      </c>
      <c r="C28">
        <v>1454.900000095367</v>
      </c>
      <c r="D28" t="s">
        <v>455</v>
      </c>
      <c r="E28" t="s">
        <v>456</v>
      </c>
      <c r="F28">
        <v>15</v>
      </c>
      <c r="H28">
        <v>1783012547.75</v>
      </c>
      <c r="I28">
        <f t="shared" si="0"/>
        <v>3.472640494094667E-3</v>
      </c>
      <c r="J28">
        <f t="shared" si="1"/>
        <v>3.4726404940946671</v>
      </c>
      <c r="K28">
        <f t="shared" si="2"/>
        <v>2.2799197982223913</v>
      </c>
      <c r="L28">
        <f t="shared" si="3"/>
        <v>420.1139</v>
      </c>
      <c r="M28">
        <f t="shared" si="4"/>
        <v>390.34770810034144</v>
      </c>
      <c r="N28">
        <f t="shared" si="5"/>
        <v>38.197222399072068</v>
      </c>
      <c r="O28">
        <f t="shared" si="6"/>
        <v>41.109973847000241</v>
      </c>
      <c r="P28">
        <f t="shared" si="7"/>
        <v>0.20485816934781095</v>
      </c>
      <c r="Q28">
        <f t="shared" si="8"/>
        <v>2.8897338682106404</v>
      </c>
      <c r="R28">
        <f t="shared" si="9"/>
        <v>0.1971185115088431</v>
      </c>
      <c r="S28">
        <f t="shared" si="10"/>
        <v>0.12387008423015164</v>
      </c>
      <c r="T28">
        <f t="shared" si="11"/>
        <v>16.508099803681009</v>
      </c>
      <c r="U28">
        <f t="shared" si="12"/>
        <v>32.831270540512911</v>
      </c>
      <c r="V28">
        <f t="shared" si="13"/>
        <v>33.013489999999997</v>
      </c>
      <c r="W28">
        <f t="shared" si="14"/>
        <v>5.0559376354581191</v>
      </c>
      <c r="X28">
        <f t="shared" si="15"/>
        <v>65.039774794006846</v>
      </c>
      <c r="Y28">
        <f t="shared" si="16"/>
        <v>3.4065778207033217</v>
      </c>
      <c r="Z28">
        <f t="shared" si="17"/>
        <v>5.2376839118717617</v>
      </c>
      <c r="AA28">
        <f t="shared" si="18"/>
        <v>1.6493598147547974</v>
      </c>
      <c r="AB28">
        <f t="shared" si="19"/>
        <v>-153.14344578957483</v>
      </c>
      <c r="AC28">
        <f t="shared" si="20"/>
        <v>98.154771004166889</v>
      </c>
      <c r="AD28">
        <f t="shared" si="21"/>
        <v>7.8041837932741576</v>
      </c>
      <c r="AE28">
        <f t="shared" si="22"/>
        <v>-30.676391188452783</v>
      </c>
      <c r="AF28">
        <f t="shared" si="23"/>
        <v>2.2799197982223913</v>
      </c>
      <c r="AG28">
        <f t="shared" si="24"/>
        <v>3.4726404940946671</v>
      </c>
      <c r="AH28">
        <f t="shared" si="25"/>
        <v>2.2167200097278204</v>
      </c>
      <c r="AI28">
        <v>437.93935864126729</v>
      </c>
      <c r="AJ28">
        <v>435.23361212121227</v>
      </c>
      <c r="AK28">
        <v>-7.5881545081866409E-3</v>
      </c>
      <c r="AL28">
        <v>67.035629012909197</v>
      </c>
      <c r="AM28">
        <f t="shared" si="26"/>
        <v>3.3807258895023558</v>
      </c>
      <c r="AN28">
        <v>30.788630378708369</v>
      </c>
      <c r="AO28">
        <v>34.742436363636372</v>
      </c>
      <c r="AP28">
        <v>-6.2811133852942336E-3</v>
      </c>
      <c r="AQ28">
        <v>78.069283365326257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50567.626729218995</v>
      </c>
      <c r="AW28" t="s">
        <v>405</v>
      </c>
      <c r="AX28">
        <v>5103.1499999999996</v>
      </c>
      <c r="AY28">
        <v>584.19705882352946</v>
      </c>
      <c r="AZ28">
        <v>2574.9499999999998</v>
      </c>
      <c r="BA28">
        <f t="shared" si="30"/>
        <v>0.77312295041708401</v>
      </c>
      <c r="BB28">
        <v>-5.1755626910525043</v>
      </c>
      <c r="BC28" t="s">
        <v>457</v>
      </c>
      <c r="BD28">
        <v>5114.45</v>
      </c>
      <c r="BE28">
        <v>1012.991764705882</v>
      </c>
      <c r="BF28">
        <v>2369.12</v>
      </c>
      <c r="BG28">
        <f t="shared" si="31"/>
        <v>0.57241855004985731</v>
      </c>
      <c r="BH28">
        <v>0.5</v>
      </c>
      <c r="BI28">
        <f t="shared" si="32"/>
        <v>84.275944424705173</v>
      </c>
      <c r="BJ28">
        <f t="shared" si="33"/>
        <v>2.2799197982223913</v>
      </c>
      <c r="BK28">
        <f t="shared" si="34"/>
        <v>24.120556955836047</v>
      </c>
      <c r="BL28">
        <f t="shared" si="35"/>
        <v>8.8465131303700345E-2</v>
      </c>
      <c r="BM28">
        <f t="shared" si="36"/>
        <v>8.68803606402377E-2</v>
      </c>
      <c r="BN28">
        <f t="shared" si="37"/>
        <v>572.90444765482528</v>
      </c>
      <c r="BO28" t="s">
        <v>407</v>
      </c>
      <c r="BP28">
        <v>0</v>
      </c>
      <c r="BQ28">
        <f t="shared" si="38"/>
        <v>572.90444765482528</v>
      </c>
      <c r="BR28">
        <f t="shared" si="39"/>
        <v>0.75817837523855891</v>
      </c>
      <c r="BS28">
        <f t="shared" si="40"/>
        <v>0.75499192372737778</v>
      </c>
      <c r="BT28">
        <f t="shared" si="41"/>
        <v>0.10280984853660941</v>
      </c>
      <c r="BU28">
        <f t="shared" si="42"/>
        <v>0.75976850541249297</v>
      </c>
      <c r="BV28">
        <f t="shared" si="43"/>
        <v>0.1033930407649485</v>
      </c>
      <c r="BW28">
        <f t="shared" si="44"/>
        <v>0.42699086618189147</v>
      </c>
      <c r="BX28">
        <f t="shared" si="45"/>
        <v>0.57300913381810847</v>
      </c>
      <c r="DG28">
        <f t="shared" si="46"/>
        <v>99.989376666666672</v>
      </c>
      <c r="DH28">
        <f t="shared" si="47"/>
        <v>84.275944424705173</v>
      </c>
      <c r="DI28">
        <f t="shared" si="48"/>
        <v>0.84284898290400223</v>
      </c>
      <c r="DJ28">
        <f t="shared" si="49"/>
        <v>0.16509853700472454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1783012547.75</v>
      </c>
      <c r="DQ28">
        <v>420.1139</v>
      </c>
      <c r="DR28">
        <v>424.60079999999999</v>
      </c>
      <c r="DS28">
        <v>34.812736666666673</v>
      </c>
      <c r="DT28">
        <v>30.79036</v>
      </c>
      <c r="DU28">
        <v>424.58603333333338</v>
      </c>
      <c r="DV28">
        <v>34.562690000000003</v>
      </c>
      <c r="DW28">
        <v>499.96536666666663</v>
      </c>
      <c r="DX28">
        <v>97.807886666666661</v>
      </c>
      <c r="DY28">
        <v>4.6466276666666667E-2</v>
      </c>
      <c r="DZ28">
        <v>33.643530000000013</v>
      </c>
      <c r="EA28">
        <v>33.013489999999997</v>
      </c>
      <c r="EB28">
        <v>999.9000000000002</v>
      </c>
      <c r="EC28">
        <v>0</v>
      </c>
      <c r="ED28">
        <v>0</v>
      </c>
      <c r="EE28">
        <v>9993.8333333333339</v>
      </c>
      <c r="EF28">
        <v>0</v>
      </c>
      <c r="EG28">
        <v>381.73633333333339</v>
      </c>
      <c r="EH28">
        <v>-4.4869946666666669</v>
      </c>
      <c r="EI28">
        <v>435.26666666666671</v>
      </c>
      <c r="EJ28">
        <v>438.08969999999988</v>
      </c>
      <c r="EK28">
        <v>4.0223779999999998</v>
      </c>
      <c r="EL28">
        <v>424.60079999999999</v>
      </c>
      <c r="EM28">
        <v>30.79036</v>
      </c>
      <c r="EN28">
        <v>3.4049596666666671</v>
      </c>
      <c r="EO28">
        <v>3.011540000000001</v>
      </c>
      <c r="EP28">
        <v>26.153133333333329</v>
      </c>
      <c r="EQ28">
        <v>24.091853333333329</v>
      </c>
      <c r="ER28">
        <v>99.989376666666672</v>
      </c>
      <c r="ES28">
        <v>0.90004823333333317</v>
      </c>
      <c r="ET28">
        <v>9.9951909999999977E-2</v>
      </c>
      <c r="EU28">
        <v>0</v>
      </c>
      <c r="EV28">
        <v>1012.855</v>
      </c>
      <c r="EW28">
        <v>5.0010700000000003</v>
      </c>
      <c r="EX28">
        <v>5784.6933333333336</v>
      </c>
      <c r="EY28">
        <v>836.49416666666696</v>
      </c>
      <c r="EZ28">
        <v>38.875</v>
      </c>
      <c r="FA28">
        <v>42.178733333333327</v>
      </c>
      <c r="FB28">
        <v>40.766533333333342</v>
      </c>
      <c r="FC28">
        <v>42.25</v>
      </c>
      <c r="FD28">
        <v>41.537199999999999</v>
      </c>
      <c r="FE28">
        <v>85.493333333333339</v>
      </c>
      <c r="FF28">
        <v>9.4956666666666667</v>
      </c>
      <c r="FG28">
        <v>0</v>
      </c>
      <c r="FH28">
        <v>124.2000000476837</v>
      </c>
      <c r="FI28">
        <v>0</v>
      </c>
      <c r="FJ28">
        <v>1012.991764705882</v>
      </c>
      <c r="FK28">
        <v>4.2720588159229909</v>
      </c>
      <c r="FL28">
        <v>65.40684973288181</v>
      </c>
      <c r="FM28">
        <v>5768.9223529411756</v>
      </c>
      <c r="FN28">
        <v>10</v>
      </c>
      <c r="FO28">
        <v>1783012527.5</v>
      </c>
      <c r="FP28" t="s">
        <v>458</v>
      </c>
      <c r="FQ28">
        <v>1783012519.5</v>
      </c>
      <c r="FR28">
        <v>1783012527.5</v>
      </c>
      <c r="FS28">
        <v>43</v>
      </c>
      <c r="FT28">
        <v>2.5000000000000001E-2</v>
      </c>
      <c r="FU28">
        <v>-8.0000000000000002E-3</v>
      </c>
      <c r="FV28">
        <v>-4.4880000000000004</v>
      </c>
      <c r="FW28">
        <v>0.129</v>
      </c>
      <c r="FX28">
        <v>424</v>
      </c>
      <c r="FY28">
        <v>31</v>
      </c>
      <c r="FZ28">
        <v>1.73</v>
      </c>
      <c r="GA28">
        <v>0.06</v>
      </c>
      <c r="GB28">
        <v>424.61323333333343</v>
      </c>
      <c r="GC28">
        <v>-1.996538375973369</v>
      </c>
      <c r="GD28">
        <v>0.1920350112754359</v>
      </c>
      <c r="GE28">
        <v>-1</v>
      </c>
      <c r="GF28">
        <v>1012.793823529412</v>
      </c>
      <c r="GG28">
        <v>2.0692131377036729</v>
      </c>
      <c r="GH28">
        <v>0.28756599964573631</v>
      </c>
      <c r="GI28">
        <v>1</v>
      </c>
      <c r="GJ28">
        <v>4.002460000000001</v>
      </c>
      <c r="GK28">
        <v>0.15487272045027459</v>
      </c>
      <c r="GL28">
        <v>0.12060825031895619</v>
      </c>
      <c r="GM28">
        <v>1</v>
      </c>
      <c r="GN28">
        <v>2</v>
      </c>
      <c r="GO28">
        <v>2</v>
      </c>
      <c r="GP28" t="s">
        <v>410</v>
      </c>
      <c r="GQ28">
        <v>3.1334</v>
      </c>
      <c r="GR28">
        <v>2.7218300000000002</v>
      </c>
      <c r="GS28">
        <v>9.1398499999999994E-2</v>
      </c>
      <c r="GT28">
        <v>9.2056499999999999E-2</v>
      </c>
      <c r="GU28">
        <v>0.14410400000000001</v>
      </c>
      <c r="GV28">
        <v>0.133488</v>
      </c>
      <c r="GW28">
        <v>22777.5</v>
      </c>
      <c r="GX28">
        <v>30633</v>
      </c>
      <c r="GY28">
        <v>27193.1</v>
      </c>
      <c r="GZ28">
        <v>34693.5</v>
      </c>
      <c r="HA28">
        <v>34093.300000000003</v>
      </c>
      <c r="HB28">
        <v>38339.599999999999</v>
      </c>
      <c r="HC28">
        <v>40165</v>
      </c>
      <c r="HD28">
        <v>44328.7</v>
      </c>
      <c r="HE28">
        <v>1.9652000000000001</v>
      </c>
      <c r="HF28">
        <v>1.7798</v>
      </c>
      <c r="HG28">
        <v>3.44217E-2</v>
      </c>
      <c r="HH28">
        <v>0</v>
      </c>
      <c r="HI28">
        <v>32.449599999999997</v>
      </c>
      <c r="HJ28">
        <v>999.9</v>
      </c>
      <c r="HK28">
        <v>60.4</v>
      </c>
      <c r="HL28">
        <v>37.799999999999997</v>
      </c>
      <c r="HM28">
        <v>40.6691</v>
      </c>
      <c r="HN28">
        <v>59.872999999999998</v>
      </c>
      <c r="HO28">
        <v>6.9150600000000004</v>
      </c>
      <c r="HP28">
        <v>1</v>
      </c>
      <c r="HQ28">
        <v>0.52542699999999998</v>
      </c>
      <c r="HR28">
        <v>0</v>
      </c>
      <c r="HS28">
        <v>20.293600000000001</v>
      </c>
      <c r="HT28">
        <v>5.2077099999999996</v>
      </c>
      <c r="HU28">
        <v>11.908099999999999</v>
      </c>
      <c r="HV28">
        <v>4.9828000000000001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1.8675200000000001</v>
      </c>
      <c r="IC28">
        <v>1.8631</v>
      </c>
      <c r="ID28">
        <v>1.8626100000000001</v>
      </c>
      <c r="IE28">
        <v>1.86206</v>
      </c>
      <c r="IF28">
        <v>1.8620300000000001</v>
      </c>
      <c r="IG28">
        <v>1.86276</v>
      </c>
      <c r="IH28">
        <v>1.8636200000000001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-4.4720000000000004</v>
      </c>
      <c r="IX28">
        <v>0.24779999999999999</v>
      </c>
      <c r="IY28">
        <v>-2.6576595001061869</v>
      </c>
      <c r="IZ28">
        <v>-4.7754461378838441E-3</v>
      </c>
      <c r="JA28">
        <v>1.175754608921022E-6</v>
      </c>
      <c r="JB28">
        <v>1.4193218893046591E-11</v>
      </c>
      <c r="JC28">
        <v>-0.4550056545088258</v>
      </c>
      <c r="JD28">
        <v>2.7492919904454862E-4</v>
      </c>
      <c r="JE28">
        <v>8.6739513355948885E-4</v>
      </c>
      <c r="JF28">
        <v>-8.2500691715147318E-6</v>
      </c>
      <c r="JG28">
        <v>38</v>
      </c>
      <c r="JH28">
        <v>1780</v>
      </c>
      <c r="JI28">
        <v>2</v>
      </c>
      <c r="JJ28">
        <v>37</v>
      </c>
      <c r="JK28">
        <v>0.6</v>
      </c>
      <c r="JL28">
        <v>0.5</v>
      </c>
      <c r="JM28">
        <v>1.10107</v>
      </c>
      <c r="JN28">
        <v>2.5415000000000001</v>
      </c>
      <c r="JO28">
        <v>1.50024</v>
      </c>
      <c r="JP28">
        <v>2.2729499999999998</v>
      </c>
      <c r="JQ28">
        <v>1.4477500000000001</v>
      </c>
      <c r="JR28">
        <v>2.4560499999999998</v>
      </c>
      <c r="JS28">
        <v>43.100900000000003</v>
      </c>
      <c r="JT28">
        <v>14.368399999999999</v>
      </c>
      <c r="JU28">
        <v>18</v>
      </c>
      <c r="JV28">
        <v>542.70699999999999</v>
      </c>
      <c r="JW28">
        <v>435.73200000000003</v>
      </c>
      <c r="JX28">
        <v>33.665900000000001</v>
      </c>
      <c r="JY28">
        <v>33.911900000000003</v>
      </c>
      <c r="JZ28">
        <v>30.0002</v>
      </c>
      <c r="KA28">
        <v>33.788899999999998</v>
      </c>
      <c r="KB28">
        <v>33.742600000000003</v>
      </c>
      <c r="KC28">
        <v>22.0214</v>
      </c>
      <c r="KD28">
        <v>34.988</v>
      </c>
      <c r="KE28">
        <v>5.5558300000000003</v>
      </c>
      <c r="KF28">
        <v>-999.9</v>
      </c>
      <c r="KG28">
        <v>424.459</v>
      </c>
      <c r="KH28">
        <v>30.864699999999999</v>
      </c>
      <c r="KI28">
        <v>100.374</v>
      </c>
      <c r="KJ28">
        <v>99.426699999999997</v>
      </c>
    </row>
    <row r="29" spans="1:296" x14ac:dyDescent="0.3">
      <c r="A29">
        <v>13</v>
      </c>
      <c r="B29">
        <v>1783012698.5</v>
      </c>
      <c r="C29">
        <v>1597.900000095367</v>
      </c>
      <c r="D29" t="s">
        <v>459</v>
      </c>
      <c r="E29" t="s">
        <v>460</v>
      </c>
      <c r="F29">
        <v>15</v>
      </c>
      <c r="H29">
        <v>1783012690.75</v>
      </c>
      <c r="I29">
        <f t="shared" si="0"/>
        <v>2.9517598549169003E-3</v>
      </c>
      <c r="J29">
        <f t="shared" si="1"/>
        <v>2.9517598549169004</v>
      </c>
      <c r="K29">
        <f t="shared" si="2"/>
        <v>-0.7916852403373591</v>
      </c>
      <c r="L29">
        <f t="shared" si="3"/>
        <v>419.96186666666659</v>
      </c>
      <c r="M29">
        <f t="shared" si="4"/>
        <v>415.69917027111956</v>
      </c>
      <c r="N29">
        <f t="shared" si="5"/>
        <v>40.679998410011592</v>
      </c>
      <c r="O29">
        <f t="shared" si="6"/>
        <v>41.097142573374057</v>
      </c>
      <c r="P29">
        <f t="shared" si="7"/>
        <v>0.17041330680218905</v>
      </c>
      <c r="Q29">
        <f t="shared" si="8"/>
        <v>2.8896751957647631</v>
      </c>
      <c r="R29">
        <f t="shared" si="9"/>
        <v>0.16502056780778035</v>
      </c>
      <c r="S29">
        <f t="shared" si="10"/>
        <v>0.10360815532150081</v>
      </c>
      <c r="T29">
        <f t="shared" si="11"/>
        <v>8.2359305857854803</v>
      </c>
      <c r="U29">
        <f t="shared" si="12"/>
        <v>32.90210444350086</v>
      </c>
      <c r="V29">
        <f t="shared" si="13"/>
        <v>33.072090000000003</v>
      </c>
      <c r="W29">
        <f t="shared" si="14"/>
        <v>5.0726071623583326</v>
      </c>
      <c r="X29">
        <f t="shared" si="15"/>
        <v>64.934733744738637</v>
      </c>
      <c r="Y29">
        <f t="shared" si="16"/>
        <v>3.397934535857011</v>
      </c>
      <c r="Z29">
        <f t="shared" si="17"/>
        <v>5.2328458744659594</v>
      </c>
      <c r="AA29">
        <f t="shared" si="18"/>
        <v>1.6746726265013216</v>
      </c>
      <c r="AB29">
        <f t="shared" si="19"/>
        <v>-130.17260960183529</v>
      </c>
      <c r="AC29">
        <f t="shared" si="20"/>
        <v>86.449451533078829</v>
      </c>
      <c r="AD29">
        <f t="shared" si="21"/>
        <v>6.8750602638416378</v>
      </c>
      <c r="AE29">
        <f t="shared" si="22"/>
        <v>-28.612167219129347</v>
      </c>
      <c r="AF29">
        <f t="shared" si="23"/>
        <v>-0.7916852403373591</v>
      </c>
      <c r="AG29">
        <f t="shared" si="24"/>
        <v>2.9517598549169004</v>
      </c>
      <c r="AH29">
        <f t="shared" si="25"/>
        <v>-0.79737940798769269</v>
      </c>
      <c r="AI29">
        <v>433.99566127396668</v>
      </c>
      <c r="AJ29">
        <v>434.96575757575738</v>
      </c>
      <c r="AK29">
        <v>3.4748581373243658E-3</v>
      </c>
      <c r="AL29">
        <v>67.035848911266385</v>
      </c>
      <c r="AM29">
        <f t="shared" si="26"/>
        <v>2.900256095382022</v>
      </c>
      <c r="AN29">
        <v>31.313791168914388</v>
      </c>
      <c r="AO29">
        <v>34.68158303030301</v>
      </c>
      <c r="AP29">
        <v>-1.258755748891919E-3</v>
      </c>
      <c r="AQ29">
        <v>78.070122856990537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50568.819168961214</v>
      </c>
      <c r="AW29" t="s">
        <v>405</v>
      </c>
      <c r="AX29">
        <v>5103.1499999999996</v>
      </c>
      <c r="AY29">
        <v>584.19705882352946</v>
      </c>
      <c r="AZ29">
        <v>2574.9499999999998</v>
      </c>
      <c r="BA29">
        <f t="shared" si="30"/>
        <v>0.77312295041708401</v>
      </c>
      <c r="BB29">
        <v>-5.1755626910525043</v>
      </c>
      <c r="BC29" t="s">
        <v>461</v>
      </c>
      <c r="BD29">
        <v>5110.79</v>
      </c>
      <c r="BE29">
        <v>964.86094117647053</v>
      </c>
      <c r="BF29">
        <v>2498.37</v>
      </c>
      <c r="BG29">
        <f t="shared" si="31"/>
        <v>0.61380382362241359</v>
      </c>
      <c r="BH29">
        <v>0.5</v>
      </c>
      <c r="BI29">
        <f t="shared" si="32"/>
        <v>42.111147001961385</v>
      </c>
      <c r="BJ29">
        <f t="shared" si="33"/>
        <v>-0.7916852403373591</v>
      </c>
      <c r="BK29">
        <f t="shared" si="34"/>
        <v>12.923991523464718</v>
      </c>
      <c r="BL29">
        <f t="shared" si="35"/>
        <v>0.10410254203028381</v>
      </c>
      <c r="BM29">
        <f t="shared" si="36"/>
        <v>3.0651985094281443E-2</v>
      </c>
      <c r="BN29">
        <f t="shared" si="37"/>
        <v>580.16247441239193</v>
      </c>
      <c r="BO29" t="s">
        <v>407</v>
      </c>
      <c r="BP29">
        <v>0</v>
      </c>
      <c r="BQ29">
        <f t="shared" si="38"/>
        <v>580.16247441239193</v>
      </c>
      <c r="BR29">
        <f t="shared" si="39"/>
        <v>0.76778360514559818</v>
      </c>
      <c r="BS29">
        <f t="shared" si="40"/>
        <v>0.79944898472534498</v>
      </c>
      <c r="BT29">
        <f t="shared" si="41"/>
        <v>3.839005358600367E-2</v>
      </c>
      <c r="BU29">
        <f t="shared" si="42"/>
        <v>0.80113401764054759</v>
      </c>
      <c r="BV29">
        <f t="shared" si="43"/>
        <v>3.8467857269493033E-2</v>
      </c>
      <c r="BW29">
        <f t="shared" si="44"/>
        <v>0.48070170669277923</v>
      </c>
      <c r="BX29">
        <f t="shared" si="45"/>
        <v>0.51929829330722077</v>
      </c>
      <c r="DG29">
        <f t="shared" si="46"/>
        <v>49.971663333333332</v>
      </c>
      <c r="DH29">
        <f t="shared" si="47"/>
        <v>42.111147001961385</v>
      </c>
      <c r="DI29">
        <f t="shared" si="48"/>
        <v>0.84270052651762284</v>
      </c>
      <c r="DJ29">
        <f t="shared" si="49"/>
        <v>0.16481201617901212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1783012690.75</v>
      </c>
      <c r="DQ29">
        <v>419.96186666666659</v>
      </c>
      <c r="DR29">
        <v>420.49950000000001</v>
      </c>
      <c r="DS29">
        <v>34.722679999999997</v>
      </c>
      <c r="DT29">
        <v>31.302900000000001</v>
      </c>
      <c r="DU29">
        <v>424.36736666666673</v>
      </c>
      <c r="DV29">
        <v>34.483993333333338</v>
      </c>
      <c r="DW29">
        <v>499.90353333333331</v>
      </c>
      <c r="DX29">
        <v>97.812746666666683</v>
      </c>
      <c r="DY29">
        <v>4.6477789999999998E-2</v>
      </c>
      <c r="DZ29">
        <v>33.627006666666666</v>
      </c>
      <c r="EA29">
        <v>33.072090000000003</v>
      </c>
      <c r="EB29">
        <v>999.9000000000002</v>
      </c>
      <c r="EC29">
        <v>0</v>
      </c>
      <c r="ED29">
        <v>0</v>
      </c>
      <c r="EE29">
        <v>9993</v>
      </c>
      <c r="EF29">
        <v>0</v>
      </c>
      <c r="EG29">
        <v>390.02853333333343</v>
      </c>
      <c r="EH29">
        <v>-0.53769336666666667</v>
      </c>
      <c r="EI29">
        <v>435.06853333333328</v>
      </c>
      <c r="EJ29">
        <v>434.08776666666671</v>
      </c>
      <c r="EK29">
        <v>3.419775</v>
      </c>
      <c r="EL29">
        <v>420.49950000000001</v>
      </c>
      <c r="EM29">
        <v>31.302900000000001</v>
      </c>
      <c r="EN29">
        <v>3.396320666666667</v>
      </c>
      <c r="EO29">
        <v>3.0618229999999991</v>
      </c>
      <c r="EP29">
        <v>26.11016333333334</v>
      </c>
      <c r="EQ29">
        <v>24.367979999999999</v>
      </c>
      <c r="ER29">
        <v>49.971663333333332</v>
      </c>
      <c r="ES29">
        <v>0.89997856666666654</v>
      </c>
      <c r="ET29">
        <v>0.1000216466666666</v>
      </c>
      <c r="EU29">
        <v>0</v>
      </c>
      <c r="EV29">
        <v>964.71276666666688</v>
      </c>
      <c r="EW29">
        <v>5.0010700000000003</v>
      </c>
      <c r="EX29">
        <v>5564.9903333333341</v>
      </c>
      <c r="EY29">
        <v>396.01260000000002</v>
      </c>
      <c r="EZ29">
        <v>38.625</v>
      </c>
      <c r="FA29">
        <v>42.061999999999983</v>
      </c>
      <c r="FB29">
        <v>40.57459999999999</v>
      </c>
      <c r="FC29">
        <v>42.125</v>
      </c>
      <c r="FD29">
        <v>41.316199999999981</v>
      </c>
      <c r="FE29">
        <v>40.472333333333339</v>
      </c>
      <c r="FF29">
        <v>4.4983333333333331</v>
      </c>
      <c r="FG29">
        <v>0</v>
      </c>
      <c r="FH29">
        <v>142.39999985694891</v>
      </c>
      <c r="FI29">
        <v>0</v>
      </c>
      <c r="FJ29">
        <v>964.86094117647053</v>
      </c>
      <c r="FK29">
        <v>3.378676479710327</v>
      </c>
      <c r="FL29">
        <v>1317.8970630058261</v>
      </c>
      <c r="FM29">
        <v>5633.2070588235292</v>
      </c>
      <c r="FN29">
        <v>10</v>
      </c>
      <c r="FO29">
        <v>1783012669.5</v>
      </c>
      <c r="FP29" t="s">
        <v>462</v>
      </c>
      <c r="FQ29">
        <v>1783012669.5</v>
      </c>
      <c r="FR29">
        <v>1783012663</v>
      </c>
      <c r="FS29">
        <v>44</v>
      </c>
      <c r="FT29">
        <v>6.6000000000000003E-2</v>
      </c>
      <c r="FU29">
        <v>-8.9999999999999993E-3</v>
      </c>
      <c r="FV29">
        <v>-4.4059999999999997</v>
      </c>
      <c r="FW29">
        <v>0.13400000000000001</v>
      </c>
      <c r="FX29">
        <v>420</v>
      </c>
      <c r="FY29">
        <v>31</v>
      </c>
      <c r="FZ29">
        <v>1.73</v>
      </c>
      <c r="GA29">
        <v>0.12</v>
      </c>
      <c r="GB29">
        <v>420.50663333333341</v>
      </c>
      <c r="GC29">
        <v>-1.2057397107905721</v>
      </c>
      <c r="GD29">
        <v>0.1546735235549018</v>
      </c>
      <c r="GE29">
        <v>-1</v>
      </c>
      <c r="GF29">
        <v>964.66205882352926</v>
      </c>
      <c r="GG29">
        <v>1.607975555927341</v>
      </c>
      <c r="GH29">
        <v>0.27195100566273112</v>
      </c>
      <c r="GI29">
        <v>1</v>
      </c>
      <c r="GJ29">
        <v>3.4200827500000002</v>
      </c>
      <c r="GK29">
        <v>-0.1247514821763568</v>
      </c>
      <c r="GL29">
        <v>6.5865351702830047E-2</v>
      </c>
      <c r="GM29">
        <v>1</v>
      </c>
      <c r="GN29">
        <v>2</v>
      </c>
      <c r="GO29">
        <v>2</v>
      </c>
      <c r="GP29" t="s">
        <v>410</v>
      </c>
      <c r="GQ29">
        <v>3.1336400000000002</v>
      </c>
      <c r="GR29">
        <v>2.7233700000000001</v>
      </c>
      <c r="GS29">
        <v>9.1347499999999998E-2</v>
      </c>
      <c r="GT29">
        <v>9.1429899999999995E-2</v>
      </c>
      <c r="GU29">
        <v>0.143927</v>
      </c>
      <c r="GV29">
        <v>0.13500400000000001</v>
      </c>
      <c r="GW29">
        <v>22774.799999999999</v>
      </c>
      <c r="GX29">
        <v>30644.6</v>
      </c>
      <c r="GY29">
        <v>27188.9</v>
      </c>
      <c r="GZ29">
        <v>34683.4</v>
      </c>
      <c r="HA29">
        <v>34096.1</v>
      </c>
      <c r="HB29">
        <v>38261.9</v>
      </c>
      <c r="HC29">
        <v>40158.9</v>
      </c>
      <c r="HD29">
        <v>44316.1</v>
      </c>
      <c r="HE29">
        <v>1.9632000000000001</v>
      </c>
      <c r="HF29">
        <v>1.7762</v>
      </c>
      <c r="HG29">
        <v>3.0994399999999998E-2</v>
      </c>
      <c r="HH29">
        <v>0</v>
      </c>
      <c r="HI29">
        <v>32.564999999999998</v>
      </c>
      <c r="HJ29">
        <v>999.9</v>
      </c>
      <c r="HK29">
        <v>59.8</v>
      </c>
      <c r="HL29">
        <v>38.200000000000003</v>
      </c>
      <c r="HM29">
        <v>41.1404</v>
      </c>
      <c r="HN29">
        <v>59.643000000000001</v>
      </c>
      <c r="HO29">
        <v>6.6265999999999998</v>
      </c>
      <c r="HP29">
        <v>1</v>
      </c>
      <c r="HQ29">
        <v>0.53737800000000002</v>
      </c>
      <c r="HR29">
        <v>0</v>
      </c>
      <c r="HS29">
        <v>20.2942</v>
      </c>
      <c r="HT29">
        <v>5.2100999999999997</v>
      </c>
      <c r="HU29">
        <v>11.908099999999999</v>
      </c>
      <c r="HV29">
        <v>4.9847999999999999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1.8675200000000001</v>
      </c>
      <c r="IC29">
        <v>1.86313</v>
      </c>
      <c r="ID29">
        <v>1.8626400000000001</v>
      </c>
      <c r="IE29">
        <v>1.86212</v>
      </c>
      <c r="IF29">
        <v>1.8621799999999999</v>
      </c>
      <c r="IG29">
        <v>1.86276</v>
      </c>
      <c r="IH29">
        <v>1.86365</v>
      </c>
      <c r="II29">
        <v>1.8616299999999999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-4.4050000000000002</v>
      </c>
      <c r="IX29">
        <v>0.23730000000000001</v>
      </c>
      <c r="IY29">
        <v>-2.5916990472191039</v>
      </c>
      <c r="IZ29">
        <v>-4.7754461378838441E-3</v>
      </c>
      <c r="JA29">
        <v>1.175754608921022E-6</v>
      </c>
      <c r="JB29">
        <v>1.4193218893046591E-11</v>
      </c>
      <c r="JC29">
        <v>-0.46395085014337961</v>
      </c>
      <c r="JD29">
        <v>2.7492919904454862E-4</v>
      </c>
      <c r="JE29">
        <v>8.6739513355948885E-4</v>
      </c>
      <c r="JF29">
        <v>-8.2500691715147318E-6</v>
      </c>
      <c r="JG29">
        <v>38</v>
      </c>
      <c r="JH29">
        <v>1780</v>
      </c>
      <c r="JI29">
        <v>2</v>
      </c>
      <c r="JJ29">
        <v>37</v>
      </c>
      <c r="JK29">
        <v>0.5</v>
      </c>
      <c r="JL29">
        <v>0.6</v>
      </c>
      <c r="JM29">
        <v>1.09253</v>
      </c>
      <c r="JN29">
        <v>2.5329600000000001</v>
      </c>
      <c r="JO29">
        <v>1.50024</v>
      </c>
      <c r="JP29">
        <v>2.2729499999999998</v>
      </c>
      <c r="JQ29">
        <v>1.4477500000000001</v>
      </c>
      <c r="JR29">
        <v>2.4841299999999999</v>
      </c>
      <c r="JS29">
        <v>43.535400000000003</v>
      </c>
      <c r="JT29">
        <v>14.3597</v>
      </c>
      <c r="JU29">
        <v>18</v>
      </c>
      <c r="JV29">
        <v>542.53099999999995</v>
      </c>
      <c r="JW29">
        <v>434.517</v>
      </c>
      <c r="JX29">
        <v>33.629300000000001</v>
      </c>
      <c r="JY29">
        <v>34.031300000000002</v>
      </c>
      <c r="JZ29">
        <v>30.000499999999999</v>
      </c>
      <c r="KA29">
        <v>33.930399999999999</v>
      </c>
      <c r="KB29">
        <v>33.893000000000001</v>
      </c>
      <c r="KC29">
        <v>21.861599999999999</v>
      </c>
      <c r="KD29">
        <v>34.557600000000001</v>
      </c>
      <c r="KE29">
        <v>2.33317</v>
      </c>
      <c r="KF29">
        <v>-999.9</v>
      </c>
      <c r="KG29">
        <v>420.53100000000001</v>
      </c>
      <c r="KH29">
        <v>31.363</v>
      </c>
      <c r="KI29">
        <v>100.358</v>
      </c>
      <c r="KJ29">
        <v>99.398200000000003</v>
      </c>
    </row>
    <row r="30" spans="1:296" x14ac:dyDescent="0.3">
      <c r="A30">
        <v>14</v>
      </c>
      <c r="B30">
        <v>1783012840</v>
      </c>
      <c r="C30">
        <v>1739.400000095367</v>
      </c>
      <c r="D30" t="s">
        <v>463</v>
      </c>
      <c r="E30" t="s">
        <v>464</v>
      </c>
      <c r="F30">
        <v>15</v>
      </c>
      <c r="H30">
        <v>1783012832.25</v>
      </c>
      <c r="I30">
        <f t="shared" si="0"/>
        <v>2.6611538324332624E-3</v>
      </c>
      <c r="J30">
        <f t="shared" si="1"/>
        <v>2.6611538324332624</v>
      </c>
      <c r="K30">
        <f t="shared" si="2"/>
        <v>-2.1196966185456314</v>
      </c>
      <c r="L30">
        <f t="shared" si="3"/>
        <v>419.96006666666671</v>
      </c>
      <c r="M30">
        <f t="shared" si="4"/>
        <v>430.83213653990606</v>
      </c>
      <c r="N30">
        <f t="shared" si="5"/>
        <v>42.157417502763252</v>
      </c>
      <c r="O30">
        <f t="shared" si="6"/>
        <v>41.093573026243071</v>
      </c>
      <c r="P30">
        <f t="shared" si="7"/>
        <v>0.1489052059025939</v>
      </c>
      <c r="Q30">
        <f t="shared" si="8"/>
        <v>2.889448772709045</v>
      </c>
      <c r="R30">
        <f t="shared" si="9"/>
        <v>0.14476971964022373</v>
      </c>
      <c r="S30">
        <f t="shared" si="10"/>
        <v>9.0843065209955887E-2</v>
      </c>
      <c r="T30">
        <f t="shared" si="11"/>
        <v>4.9357313531777685</v>
      </c>
      <c r="U30">
        <f t="shared" si="12"/>
        <v>33.098959297933412</v>
      </c>
      <c r="V30">
        <f t="shared" si="13"/>
        <v>33.307736666666671</v>
      </c>
      <c r="W30">
        <f t="shared" si="14"/>
        <v>5.1401236266529944</v>
      </c>
      <c r="X30">
        <f t="shared" si="15"/>
        <v>64.847879112469556</v>
      </c>
      <c r="Y30">
        <f t="shared" si="16"/>
        <v>3.4201029759112425</v>
      </c>
      <c r="Z30">
        <f t="shared" si="17"/>
        <v>5.2740398340237977</v>
      </c>
      <c r="AA30">
        <f t="shared" si="18"/>
        <v>1.7200206507417519</v>
      </c>
      <c r="AB30">
        <f t="shared" si="19"/>
        <v>-117.35688401030687</v>
      </c>
      <c r="AC30">
        <f t="shared" si="20"/>
        <v>71.584766431939045</v>
      </c>
      <c r="AD30">
        <f t="shared" si="21"/>
        <v>5.703847683771615</v>
      </c>
      <c r="AE30">
        <f t="shared" si="22"/>
        <v>-35.132538541418441</v>
      </c>
      <c r="AF30">
        <f t="shared" si="23"/>
        <v>-2.1196966185456314</v>
      </c>
      <c r="AG30">
        <f t="shared" si="24"/>
        <v>2.6611538324332624</v>
      </c>
      <c r="AH30">
        <f t="shared" si="25"/>
        <v>-2.1450780395994635</v>
      </c>
      <c r="AI30">
        <v>432.52673513049729</v>
      </c>
      <c r="AJ30">
        <v>435.11892121212122</v>
      </c>
      <c r="AK30">
        <v>1.299571035525721E-2</v>
      </c>
      <c r="AL30">
        <v>67.094753116344378</v>
      </c>
      <c r="AM30">
        <f t="shared" si="26"/>
        <v>2.634554043958528</v>
      </c>
      <c r="AN30">
        <v>31.85992593848794</v>
      </c>
      <c r="AO30">
        <v>34.917864848484861</v>
      </c>
      <c r="AP30">
        <v>-1.105686524457708E-3</v>
      </c>
      <c r="AQ30">
        <v>78.259202475355153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50539.226573699758</v>
      </c>
      <c r="AW30" t="s">
        <v>405</v>
      </c>
      <c r="AX30">
        <v>5103.1499999999996</v>
      </c>
      <c r="AY30">
        <v>584.19705882352946</v>
      </c>
      <c r="AZ30">
        <v>2574.9499999999998</v>
      </c>
      <c r="BA30">
        <f t="shared" si="30"/>
        <v>0.77312295041708401</v>
      </c>
      <c r="BB30">
        <v>-5.1755626910525043</v>
      </c>
      <c r="BC30" t="s">
        <v>465</v>
      </c>
      <c r="BD30">
        <v>5108.87</v>
      </c>
      <c r="BE30">
        <v>915.0328823529411</v>
      </c>
      <c r="BF30">
        <v>2575.88</v>
      </c>
      <c r="BG30">
        <f t="shared" si="31"/>
        <v>0.64476882372123656</v>
      </c>
      <c r="BH30">
        <v>0.5</v>
      </c>
      <c r="BI30">
        <f t="shared" si="32"/>
        <v>25.292337090765685</v>
      </c>
      <c r="BJ30">
        <f t="shared" si="33"/>
        <v>-2.1196966185456314</v>
      </c>
      <c r="BK30">
        <f t="shared" si="34"/>
        <v>8.1538552175869956</v>
      </c>
      <c r="BL30">
        <f t="shared" si="35"/>
        <v>0.12082181498453062</v>
      </c>
      <c r="BM30">
        <f t="shared" si="36"/>
        <v>-3.6104166343163926E-4</v>
      </c>
      <c r="BN30">
        <f t="shared" si="37"/>
        <v>584.24491553241455</v>
      </c>
      <c r="BO30" t="s">
        <v>407</v>
      </c>
      <c r="BP30">
        <v>0</v>
      </c>
      <c r="BQ30">
        <f t="shared" si="38"/>
        <v>584.24491553241455</v>
      </c>
      <c r="BR30">
        <f t="shared" si="39"/>
        <v>0.77318628370404885</v>
      </c>
      <c r="BS30">
        <f t="shared" si="40"/>
        <v>0.83391135785853332</v>
      </c>
      <c r="BT30">
        <f t="shared" si="41"/>
        <v>-4.6717115822759845E-4</v>
      </c>
      <c r="BU30">
        <f t="shared" si="42"/>
        <v>0.83389132040565161</v>
      </c>
      <c r="BV30">
        <f t="shared" si="43"/>
        <v>-4.6715992766570584E-4</v>
      </c>
      <c r="BW30">
        <f t="shared" si="44"/>
        <v>0.5324491395115315</v>
      </c>
      <c r="BX30">
        <f t="shared" si="45"/>
        <v>0.4675508604884685</v>
      </c>
      <c r="DG30">
        <f t="shared" si="46"/>
        <v>30.020853333333338</v>
      </c>
      <c r="DH30">
        <f t="shared" si="47"/>
        <v>25.292337090765685</v>
      </c>
      <c r="DI30">
        <f t="shared" si="48"/>
        <v>0.84249227728255827</v>
      </c>
      <c r="DJ30">
        <f t="shared" si="49"/>
        <v>0.16441009515533761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1783012832.25</v>
      </c>
      <c r="DQ30">
        <v>419.96006666666671</v>
      </c>
      <c r="DR30">
        <v>418.75743333333332</v>
      </c>
      <c r="DS30">
        <v>34.952100000000002</v>
      </c>
      <c r="DT30">
        <v>31.870096666666662</v>
      </c>
      <c r="DU30">
        <v>424.33626666666669</v>
      </c>
      <c r="DV30">
        <v>34.712263333333333</v>
      </c>
      <c r="DW30">
        <v>499.96199999999988</v>
      </c>
      <c r="DX30">
        <v>97.804919999999981</v>
      </c>
      <c r="DY30">
        <v>4.6224163333333332E-2</v>
      </c>
      <c r="DZ30">
        <v>33.767273333333343</v>
      </c>
      <c r="EA30">
        <v>33.307736666666671</v>
      </c>
      <c r="EB30">
        <v>999.9000000000002</v>
      </c>
      <c r="EC30">
        <v>0</v>
      </c>
      <c r="ED30">
        <v>0</v>
      </c>
      <c r="EE30">
        <v>9992.5</v>
      </c>
      <c r="EF30">
        <v>0</v>
      </c>
      <c r="EG30">
        <v>474.0523</v>
      </c>
      <c r="EH30">
        <v>1.2026249</v>
      </c>
      <c r="EI30">
        <v>435.17029999999988</v>
      </c>
      <c r="EJ30">
        <v>432.54259999999988</v>
      </c>
      <c r="EK30">
        <v>3.082013666666668</v>
      </c>
      <c r="EL30">
        <v>418.75743333333332</v>
      </c>
      <c r="EM30">
        <v>31.870096666666662</v>
      </c>
      <c r="EN30">
        <v>3.4184883333333338</v>
      </c>
      <c r="EO30">
        <v>3.1170520000000002</v>
      </c>
      <c r="EP30">
        <v>26.220263333333332</v>
      </c>
      <c r="EQ30">
        <v>24.666746666666668</v>
      </c>
      <c r="ER30">
        <v>30.020853333333338</v>
      </c>
      <c r="ES30">
        <v>0.90032180000000028</v>
      </c>
      <c r="ET30">
        <v>9.967811666666665E-2</v>
      </c>
      <c r="EU30">
        <v>0</v>
      </c>
      <c r="EV30">
        <v>915.23159999999996</v>
      </c>
      <c r="EW30">
        <v>5.0010700000000003</v>
      </c>
      <c r="EX30">
        <v>5573.0163333333339</v>
      </c>
      <c r="EY30">
        <v>220.35576666666671</v>
      </c>
      <c r="EZ30">
        <v>38.436999999999991</v>
      </c>
      <c r="FA30">
        <v>42.045466666666648</v>
      </c>
      <c r="FB30">
        <v>40.436999999999983</v>
      </c>
      <c r="FC30">
        <v>42.125</v>
      </c>
      <c r="FD30">
        <v>41.186999999999983</v>
      </c>
      <c r="FE30">
        <v>22.52566666666667</v>
      </c>
      <c r="FF30">
        <v>2.4939999999999989</v>
      </c>
      <c r="FG30">
        <v>0</v>
      </c>
      <c r="FH30">
        <v>140.79999995231631</v>
      </c>
      <c r="FI30">
        <v>0</v>
      </c>
      <c r="FJ30">
        <v>915.0328823529411</v>
      </c>
      <c r="FK30">
        <v>-3.225980381779916</v>
      </c>
      <c r="FL30">
        <v>-465.25490227746627</v>
      </c>
      <c r="FM30">
        <v>5568.5811764705886</v>
      </c>
      <c r="FN30">
        <v>10</v>
      </c>
      <c r="FO30">
        <v>1783012810</v>
      </c>
      <c r="FP30" t="s">
        <v>466</v>
      </c>
      <c r="FQ30">
        <v>1783012803</v>
      </c>
      <c r="FR30">
        <v>1783012810</v>
      </c>
      <c r="FS30">
        <v>45</v>
      </c>
      <c r="FT30">
        <v>2.9000000000000001E-2</v>
      </c>
      <c r="FU30">
        <v>-6.0000000000000001E-3</v>
      </c>
      <c r="FV30">
        <v>-4.3710000000000004</v>
      </c>
      <c r="FW30">
        <v>0.14199999999999999</v>
      </c>
      <c r="FX30">
        <v>419</v>
      </c>
      <c r="FY30">
        <v>32</v>
      </c>
      <c r="FZ30">
        <v>1.82</v>
      </c>
      <c r="GA30">
        <v>0.08</v>
      </c>
      <c r="GB30">
        <v>418.75412903225811</v>
      </c>
      <c r="GC30">
        <v>-0.21662903225820351</v>
      </c>
      <c r="GD30">
        <v>8.3240321314925023E-2</v>
      </c>
      <c r="GE30">
        <v>-1</v>
      </c>
      <c r="GF30">
        <v>915.43058823529407</v>
      </c>
      <c r="GG30">
        <v>-3.5590221566026821</v>
      </c>
      <c r="GH30">
        <v>0.41963297111860459</v>
      </c>
      <c r="GI30">
        <v>1</v>
      </c>
      <c r="GJ30">
        <v>3.053043902439025</v>
      </c>
      <c r="GK30">
        <v>0.38536620209059469</v>
      </c>
      <c r="GL30">
        <v>6.3847951621288396E-2</v>
      </c>
      <c r="GM30">
        <v>1</v>
      </c>
      <c r="GN30">
        <v>2</v>
      </c>
      <c r="GO30">
        <v>2</v>
      </c>
      <c r="GP30" t="s">
        <v>410</v>
      </c>
      <c r="GQ30">
        <v>3.13435</v>
      </c>
      <c r="GR30">
        <v>2.7206299999999999</v>
      </c>
      <c r="GS30">
        <v>9.1279399999999997E-2</v>
      </c>
      <c r="GT30">
        <v>9.1120099999999996E-2</v>
      </c>
      <c r="GU30">
        <v>0.144538</v>
      </c>
      <c r="GV30">
        <v>0.13653399999999999</v>
      </c>
      <c r="GW30">
        <v>22769.8</v>
      </c>
      <c r="GX30">
        <v>30647.5</v>
      </c>
      <c r="GY30">
        <v>27181.599999999999</v>
      </c>
      <c r="GZ30">
        <v>34675.9</v>
      </c>
      <c r="HA30">
        <v>34064.5</v>
      </c>
      <c r="HB30">
        <v>38187.199999999997</v>
      </c>
      <c r="HC30">
        <v>40148.800000000003</v>
      </c>
      <c r="HD30">
        <v>44307.4</v>
      </c>
      <c r="HE30">
        <v>1.9632000000000001</v>
      </c>
      <c r="HF30">
        <v>1.7704</v>
      </c>
      <c r="HG30">
        <v>3.3587199999999998E-2</v>
      </c>
      <c r="HH30">
        <v>0</v>
      </c>
      <c r="HI30">
        <v>32.812100000000001</v>
      </c>
      <c r="HJ30">
        <v>999.9</v>
      </c>
      <c r="HK30">
        <v>59.3</v>
      </c>
      <c r="HL30">
        <v>38.700000000000003</v>
      </c>
      <c r="HM30">
        <v>41.923200000000001</v>
      </c>
      <c r="HN30">
        <v>59.933</v>
      </c>
      <c r="HO30">
        <v>6.5745199999999997</v>
      </c>
      <c r="HP30">
        <v>1</v>
      </c>
      <c r="HQ30">
        <v>0.55243900000000001</v>
      </c>
      <c r="HR30">
        <v>0</v>
      </c>
      <c r="HS30">
        <v>20.292100000000001</v>
      </c>
      <c r="HT30">
        <v>5.1969200000000004</v>
      </c>
      <c r="HU30">
        <v>11.908099999999999</v>
      </c>
      <c r="HV30">
        <v>4.9800000000000004</v>
      </c>
      <c r="HW30">
        <v>3.2682000000000002</v>
      </c>
      <c r="HX30">
        <v>9999</v>
      </c>
      <c r="HY30">
        <v>9999</v>
      </c>
      <c r="HZ30">
        <v>9999</v>
      </c>
      <c r="IA30">
        <v>999.9</v>
      </c>
      <c r="IB30">
        <v>1.8675200000000001</v>
      </c>
      <c r="IC30">
        <v>1.86313</v>
      </c>
      <c r="ID30">
        <v>1.8626400000000001</v>
      </c>
      <c r="IE30">
        <v>1.8621799999999999</v>
      </c>
      <c r="IF30">
        <v>1.86215</v>
      </c>
      <c r="IG30">
        <v>1.8627899999999999</v>
      </c>
      <c r="IH30">
        <v>1.86371</v>
      </c>
      <c r="II30">
        <v>1.8616299999999999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-4.3760000000000003</v>
      </c>
      <c r="IX30">
        <v>0.2389</v>
      </c>
      <c r="IY30">
        <v>-2.5626819998886758</v>
      </c>
      <c r="IZ30">
        <v>-4.7754461378838441E-3</v>
      </c>
      <c r="JA30">
        <v>1.175754608921022E-6</v>
      </c>
      <c r="JB30">
        <v>1.4193218893046591E-11</v>
      </c>
      <c r="JC30">
        <v>-0.46977906488020388</v>
      </c>
      <c r="JD30">
        <v>2.7492919904454862E-4</v>
      </c>
      <c r="JE30">
        <v>8.6739513355948885E-4</v>
      </c>
      <c r="JF30">
        <v>-8.2500691715147318E-6</v>
      </c>
      <c r="JG30">
        <v>38</v>
      </c>
      <c r="JH30">
        <v>1780</v>
      </c>
      <c r="JI30">
        <v>2</v>
      </c>
      <c r="JJ30">
        <v>37</v>
      </c>
      <c r="JK30">
        <v>0.6</v>
      </c>
      <c r="JL30">
        <v>0.5</v>
      </c>
      <c r="JM30">
        <v>1.09009</v>
      </c>
      <c r="JN30">
        <v>2.5366200000000001</v>
      </c>
      <c r="JO30">
        <v>1.50024</v>
      </c>
      <c r="JP30">
        <v>2.2741699999999998</v>
      </c>
      <c r="JQ30">
        <v>1.4477500000000001</v>
      </c>
      <c r="JR30">
        <v>2.47559</v>
      </c>
      <c r="JS30">
        <v>43.974299999999999</v>
      </c>
      <c r="JT30">
        <v>14.350899999999999</v>
      </c>
      <c r="JU30">
        <v>18</v>
      </c>
      <c r="JV30">
        <v>543.92700000000002</v>
      </c>
      <c r="JW30">
        <v>432.077</v>
      </c>
      <c r="JX30">
        <v>33.698900000000002</v>
      </c>
      <c r="JY30">
        <v>34.197800000000001</v>
      </c>
      <c r="JZ30">
        <v>30.000599999999999</v>
      </c>
      <c r="KA30">
        <v>34.099600000000002</v>
      </c>
      <c r="KB30">
        <v>34.066299999999998</v>
      </c>
      <c r="KC30">
        <v>21.794499999999999</v>
      </c>
      <c r="KD30">
        <v>34.102800000000002</v>
      </c>
      <c r="KE30">
        <v>0</v>
      </c>
      <c r="KF30">
        <v>-999.9</v>
      </c>
      <c r="KG30">
        <v>418.87700000000001</v>
      </c>
      <c r="KH30">
        <v>32.011400000000002</v>
      </c>
      <c r="KI30">
        <v>100.333</v>
      </c>
      <c r="KJ30">
        <v>99.377899999999997</v>
      </c>
    </row>
    <row r="31" spans="1:296" x14ac:dyDescent="0.3">
      <c r="A31">
        <v>15</v>
      </c>
      <c r="B31">
        <v>1783012992.5</v>
      </c>
      <c r="C31">
        <v>1891.900000095367</v>
      </c>
      <c r="D31" t="s">
        <v>467</v>
      </c>
      <c r="E31" t="s">
        <v>468</v>
      </c>
      <c r="F31">
        <v>15</v>
      </c>
      <c r="H31">
        <v>1783012984.5</v>
      </c>
      <c r="I31">
        <f t="shared" si="0"/>
        <v>2.3237091410671824E-3</v>
      </c>
      <c r="J31">
        <f t="shared" si="1"/>
        <v>2.3237091410671824</v>
      </c>
      <c r="K31">
        <f t="shared" si="2"/>
        <v>-4.7374107809501558</v>
      </c>
      <c r="L31">
        <f t="shared" si="3"/>
        <v>420.15412903225808</v>
      </c>
      <c r="M31">
        <f t="shared" si="4"/>
        <v>465.92712879900472</v>
      </c>
      <c r="N31">
        <f t="shared" si="5"/>
        <v>45.588754473789692</v>
      </c>
      <c r="O31">
        <f t="shared" si="6"/>
        <v>41.110084057508267</v>
      </c>
      <c r="P31">
        <f t="shared" si="7"/>
        <v>0.13243087295547828</v>
      </c>
      <c r="Q31">
        <f t="shared" si="8"/>
        <v>2.8900488188729678</v>
      </c>
      <c r="R31">
        <f t="shared" si="9"/>
        <v>0.12914963996580528</v>
      </c>
      <c r="S31">
        <f t="shared" si="10"/>
        <v>8.1006559337814851E-2</v>
      </c>
      <c r="T31">
        <f t="shared" si="11"/>
        <v>1.5966703903835998E-4</v>
      </c>
      <c r="U31">
        <f t="shared" si="12"/>
        <v>33.133730017361515</v>
      </c>
      <c r="V31">
        <f t="shared" si="13"/>
        <v>33.235138709677408</v>
      </c>
      <c r="W31">
        <f t="shared" si="14"/>
        <v>5.119240344702769</v>
      </c>
      <c r="X31">
        <f t="shared" si="15"/>
        <v>65.233355908655994</v>
      </c>
      <c r="Y31">
        <f t="shared" si="16"/>
        <v>3.4357338602121614</v>
      </c>
      <c r="Z31">
        <f t="shared" si="17"/>
        <v>5.2668359803887768</v>
      </c>
      <c r="AA31">
        <f t="shared" si="18"/>
        <v>1.6835064844906076</v>
      </c>
      <c r="AB31">
        <f t="shared" si="19"/>
        <v>-102.47557312106275</v>
      </c>
      <c r="AC31">
        <f t="shared" si="20"/>
        <v>79.09985910368529</v>
      </c>
      <c r="AD31">
        <f t="shared" si="21"/>
        <v>6.298347382474808</v>
      </c>
      <c r="AE31">
        <f t="shared" si="22"/>
        <v>-17.077206967863617</v>
      </c>
      <c r="AF31">
        <f t="shared" si="23"/>
        <v>-4.7374107809501558</v>
      </c>
      <c r="AG31">
        <f t="shared" si="24"/>
        <v>2.3237091410671824</v>
      </c>
      <c r="AH31">
        <f t="shared" si="25"/>
        <v>-4.5442607671714716</v>
      </c>
      <c r="AI31">
        <v>429.71187581769379</v>
      </c>
      <c r="AJ31">
        <v>435.29007272727267</v>
      </c>
      <c r="AK31">
        <v>1.125695358227579E-2</v>
      </c>
      <c r="AL31">
        <v>67.094063528935749</v>
      </c>
      <c r="AM31">
        <f t="shared" si="26"/>
        <v>2.2822627129351902</v>
      </c>
      <c r="AN31">
        <v>32.430724028723738</v>
      </c>
      <c r="AO31">
        <v>35.077420606060613</v>
      </c>
      <c r="AP31">
        <v>-6.5503040803605494E-4</v>
      </c>
      <c r="AQ31">
        <v>78.259053974547456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50559.831796804894</v>
      </c>
      <c r="AW31" t="s">
        <v>469</v>
      </c>
      <c r="AX31">
        <v>5103.58</v>
      </c>
      <c r="AY31">
        <v>629.08823529411768</v>
      </c>
      <c r="AZ31">
        <v>2707.55</v>
      </c>
      <c r="BA31">
        <f t="shared" si="30"/>
        <v>0.76765406537492653</v>
      </c>
      <c r="BB31">
        <v>-4.7374107809501558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-4.7374107809501558</v>
      </c>
      <c r="BK31" t="e">
        <f t="shared" si="34"/>
        <v>#DIV/0!</v>
      </c>
      <c r="BL31">
        <f t="shared" si="35"/>
        <v>0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1.3026701024654828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1783012984.5</v>
      </c>
      <c r="DQ31">
        <v>420.15412903225808</v>
      </c>
      <c r="DR31">
        <v>415.64061290322581</v>
      </c>
      <c r="DS31">
        <v>35.113958064516133</v>
      </c>
      <c r="DT31">
        <v>32.423299999999998</v>
      </c>
      <c r="DU31">
        <v>424.53861290322573</v>
      </c>
      <c r="DV31">
        <v>34.882045161290321</v>
      </c>
      <c r="DW31">
        <v>499.97758064516131</v>
      </c>
      <c r="DX31">
        <v>97.798380645161302</v>
      </c>
      <c r="DY31">
        <v>4.6865222580645169E-2</v>
      </c>
      <c r="DZ31">
        <v>33.742812903225797</v>
      </c>
      <c r="EA31">
        <v>33.235138709677408</v>
      </c>
      <c r="EB31">
        <v>999.90000000000032</v>
      </c>
      <c r="EC31">
        <v>0</v>
      </c>
      <c r="ED31">
        <v>0</v>
      </c>
      <c r="EE31">
        <v>9996.6129032258068</v>
      </c>
      <c r="EF31">
        <v>0</v>
      </c>
      <c r="EG31">
        <v>374.94583870967739</v>
      </c>
      <c r="EH31">
        <v>4.5134725806451614</v>
      </c>
      <c r="EI31">
        <v>435.44441935483871</v>
      </c>
      <c r="EJ31">
        <v>429.56870967741941</v>
      </c>
      <c r="EK31">
        <v>2.6906516129032259</v>
      </c>
      <c r="EL31">
        <v>415.64061290322581</v>
      </c>
      <c r="EM31">
        <v>32.423299999999998</v>
      </c>
      <c r="EN31">
        <v>3.4340883870967751</v>
      </c>
      <c r="EO31">
        <v>3.1709470967741931</v>
      </c>
      <c r="EP31">
        <v>26.297358064516128</v>
      </c>
      <c r="EQ31">
        <v>24.95388387096774</v>
      </c>
      <c r="ER31">
        <v>1.00021E-2</v>
      </c>
      <c r="ES31">
        <v>0</v>
      </c>
      <c r="ET31">
        <v>0</v>
      </c>
      <c r="EU31">
        <v>0</v>
      </c>
      <c r="EV31">
        <v>630.0338709677419</v>
      </c>
      <c r="EW31">
        <v>1.00021E-2</v>
      </c>
      <c r="EX31">
        <v>4999.4048387096782</v>
      </c>
      <c r="EY31">
        <v>5.7096774193548399</v>
      </c>
      <c r="EZ31">
        <v>38.414999999999999</v>
      </c>
      <c r="FA31">
        <v>42.074193548387072</v>
      </c>
      <c r="FB31">
        <v>40.436999999999983</v>
      </c>
      <c r="FC31">
        <v>42.008000000000003</v>
      </c>
      <c r="FD31">
        <v>40.979677419354822</v>
      </c>
      <c r="FE31">
        <v>0</v>
      </c>
      <c r="FF31">
        <v>0</v>
      </c>
      <c r="FG31">
        <v>0</v>
      </c>
      <c r="FH31">
        <v>152.0999999046326</v>
      </c>
      <c r="FI31">
        <v>0</v>
      </c>
      <c r="FJ31">
        <v>629.08823529411768</v>
      </c>
      <c r="FK31">
        <v>-9.8774512055770334</v>
      </c>
      <c r="FL31">
        <v>1527.879907890529</v>
      </c>
      <c r="FM31">
        <v>5073.4941176470584</v>
      </c>
      <c r="FN31">
        <v>10</v>
      </c>
      <c r="FO31">
        <v>1783012963</v>
      </c>
      <c r="FP31" t="s">
        <v>470</v>
      </c>
      <c r="FQ31">
        <v>1783012963</v>
      </c>
      <c r="FR31">
        <v>1783012954</v>
      </c>
      <c r="FS31">
        <v>46</v>
      </c>
      <c r="FT31">
        <v>-8.0000000000000002E-3</v>
      </c>
      <c r="FU31">
        <v>-1.2999999999999999E-2</v>
      </c>
      <c r="FV31">
        <v>-4.3680000000000003</v>
      </c>
      <c r="FW31">
        <v>0.14899999999999999</v>
      </c>
      <c r="FX31">
        <v>416</v>
      </c>
      <c r="FY31">
        <v>32</v>
      </c>
      <c r="FZ31">
        <v>1.1299999999999999</v>
      </c>
      <c r="GA31">
        <v>0.11</v>
      </c>
      <c r="GB31">
        <v>415.63366666666673</v>
      </c>
      <c r="GC31">
        <v>0.63692102335966649</v>
      </c>
      <c r="GD31">
        <v>0.1265402000244247</v>
      </c>
      <c r="GE31">
        <v>-1</v>
      </c>
      <c r="GF31">
        <v>628.82499999999982</v>
      </c>
      <c r="GG31">
        <v>-0.126050468541273</v>
      </c>
      <c r="GH31">
        <v>4.717649121680644</v>
      </c>
      <c r="GI31">
        <v>1</v>
      </c>
      <c r="GJ31">
        <v>2.6815647500000002</v>
      </c>
      <c r="GK31">
        <v>-1.8771444652920449E-2</v>
      </c>
      <c r="GL31">
        <v>6.1535267976482441E-2</v>
      </c>
      <c r="GM31">
        <v>1</v>
      </c>
      <c r="GN31">
        <v>2</v>
      </c>
      <c r="GO31">
        <v>2</v>
      </c>
      <c r="GP31" t="s">
        <v>410</v>
      </c>
      <c r="GQ31">
        <v>3.1337999999999999</v>
      </c>
      <c r="GR31">
        <v>2.7239499999999999</v>
      </c>
      <c r="GS31">
        <v>9.1256799999999999E-2</v>
      </c>
      <c r="GT31">
        <v>9.0537999999999993E-2</v>
      </c>
      <c r="GU31">
        <v>0.144929</v>
      </c>
      <c r="GV31">
        <v>0.138104</v>
      </c>
      <c r="GW31">
        <v>22762.2</v>
      </c>
      <c r="GX31">
        <v>30653.3</v>
      </c>
      <c r="GY31">
        <v>27172.9</v>
      </c>
      <c r="GZ31">
        <v>34661.9</v>
      </c>
      <c r="HA31">
        <v>34040.800000000003</v>
      </c>
      <c r="HB31">
        <v>38107</v>
      </c>
      <c r="HC31">
        <v>40137.1</v>
      </c>
      <c r="HD31">
        <v>44294</v>
      </c>
      <c r="HE31">
        <v>1.96</v>
      </c>
      <c r="HF31">
        <v>1.7645999999999999</v>
      </c>
      <c r="HG31">
        <v>2.32458E-2</v>
      </c>
      <c r="HH31">
        <v>0</v>
      </c>
      <c r="HI31">
        <v>32.8566</v>
      </c>
      <c r="HJ31">
        <v>999.9</v>
      </c>
      <c r="HK31">
        <v>58.9</v>
      </c>
      <c r="HL31">
        <v>39.1</v>
      </c>
      <c r="HM31">
        <v>42.549599999999998</v>
      </c>
      <c r="HN31">
        <v>59.883000000000003</v>
      </c>
      <c r="HO31">
        <v>6.7507999999999999</v>
      </c>
      <c r="HP31">
        <v>1</v>
      </c>
      <c r="HQ31">
        <v>0.57372000000000001</v>
      </c>
      <c r="HR31">
        <v>0</v>
      </c>
      <c r="HS31">
        <v>20.294799999999999</v>
      </c>
      <c r="HT31">
        <v>5.2088999999999999</v>
      </c>
      <c r="HU31">
        <v>11.908099999999999</v>
      </c>
      <c r="HV31">
        <v>4.9843999999999999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1.8675200000000001</v>
      </c>
      <c r="IC31">
        <v>1.86313</v>
      </c>
      <c r="ID31">
        <v>1.8626400000000001</v>
      </c>
      <c r="IE31">
        <v>1.8621799999999999</v>
      </c>
      <c r="IF31">
        <v>1.8621799999999999</v>
      </c>
      <c r="IG31">
        <v>1.8627899999999999</v>
      </c>
      <c r="IH31">
        <v>1.86371</v>
      </c>
      <c r="II31">
        <v>1.8616600000000001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-4.3840000000000003</v>
      </c>
      <c r="IX31">
        <v>0.23080000000000001</v>
      </c>
      <c r="IY31">
        <v>-2.570082297827792</v>
      </c>
      <c r="IZ31">
        <v>-4.7754461378838441E-3</v>
      </c>
      <c r="JA31">
        <v>1.175754608921022E-6</v>
      </c>
      <c r="JB31">
        <v>1.4193218893046591E-11</v>
      </c>
      <c r="JC31">
        <v>-0.48292594119854387</v>
      </c>
      <c r="JD31">
        <v>2.7492919904454862E-4</v>
      </c>
      <c r="JE31">
        <v>8.6739513355948885E-4</v>
      </c>
      <c r="JF31">
        <v>-8.2500691715147318E-6</v>
      </c>
      <c r="JG31">
        <v>38</v>
      </c>
      <c r="JH31">
        <v>1780</v>
      </c>
      <c r="JI31">
        <v>2</v>
      </c>
      <c r="JJ31">
        <v>37</v>
      </c>
      <c r="JK31">
        <v>0.5</v>
      </c>
      <c r="JL31">
        <v>0.6</v>
      </c>
      <c r="JM31">
        <v>1.0827599999999999</v>
      </c>
      <c r="JN31">
        <v>2.5488300000000002</v>
      </c>
      <c r="JO31">
        <v>1.50024</v>
      </c>
      <c r="JP31">
        <v>2.2741699999999998</v>
      </c>
      <c r="JQ31">
        <v>1.4477500000000001</v>
      </c>
      <c r="JR31">
        <v>2.3327599999999999</v>
      </c>
      <c r="JS31">
        <v>44.473500000000001</v>
      </c>
      <c r="JT31">
        <v>14.315899999999999</v>
      </c>
      <c r="JU31">
        <v>18</v>
      </c>
      <c r="JV31">
        <v>543.654</v>
      </c>
      <c r="JW31">
        <v>429.95800000000003</v>
      </c>
      <c r="JX31">
        <v>33.836100000000002</v>
      </c>
      <c r="JY31">
        <v>34.437100000000001</v>
      </c>
      <c r="JZ31">
        <v>30.000299999999999</v>
      </c>
      <c r="KA31">
        <v>34.327500000000001</v>
      </c>
      <c r="KB31">
        <v>34.286999999999999</v>
      </c>
      <c r="KC31">
        <v>21.667000000000002</v>
      </c>
      <c r="KD31">
        <v>34.405299999999997</v>
      </c>
      <c r="KE31">
        <v>0</v>
      </c>
      <c r="KF31">
        <v>-999.9</v>
      </c>
      <c r="KG31">
        <v>415.70400000000001</v>
      </c>
      <c r="KH31">
        <v>32.4221</v>
      </c>
      <c r="KI31">
        <v>100.30200000000001</v>
      </c>
      <c r="KJ31">
        <v>99.343299999999999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3415-5DF8-4F65-84E5-408F3BAB7B82}">
  <dimension ref="A2:KJ31"/>
  <sheetViews>
    <sheetView workbookViewId="0">
      <selection activeCell="L22" sqref="L2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55</v>
      </c>
      <c r="G13" t="s">
        <v>56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1783006552.0999999</v>
      </c>
      <c r="C17">
        <v>0</v>
      </c>
      <c r="D17" t="s">
        <v>471</v>
      </c>
      <c r="E17" t="s">
        <v>472</v>
      </c>
      <c r="F17">
        <v>15</v>
      </c>
      <c r="H17">
        <v>1783006544.099999</v>
      </c>
      <c r="I17">
        <f t="shared" ref="I17:I31" si="0">(J17)/1000</f>
        <v>5.8204554309822737E-3</v>
      </c>
      <c r="J17">
        <f t="shared" ref="J17:J31" si="1">IF(DO17, AM17, AG17)</f>
        <v>5.8204554309822738</v>
      </c>
      <c r="K17">
        <f t="shared" ref="K17:K31" si="2">IF(DO17, AH17, AF17)</f>
        <v>54.346127805395412</v>
      </c>
      <c r="L17">
        <f t="shared" ref="L17:L31" si="3">DQ17 - IF(AT17&gt;1, K17*DK17*100/(AV17), 0)</f>
        <v>418.99990322580658</v>
      </c>
      <c r="M17">
        <f t="shared" ref="M17:M31" si="4">((S17-I17/2)*L17-K17)/(S17+I17/2)</f>
        <v>120.26933529380685</v>
      </c>
      <c r="N17">
        <f t="shared" ref="N17:N31" si="5">M17*(DX17+DY17)/1000</f>
        <v>11.774379711270583</v>
      </c>
      <c r="O17">
        <f t="shared" ref="O17:O31" si="6">(DQ17 - IF(AT17&gt;1, K17*DK17*100/(AV17), 0))*(DX17+DY17)/1000</f>
        <v>41.020131586445366</v>
      </c>
      <c r="P17">
        <f t="shared" ref="P17:P31" si="7">2/((1/R17-1/Q17)+SIGN(R17)*SQRT((1/R17-1/Q17)*(1/R17-1/Q17) + 4*DL17/((DL17+1)*(DL17+1))*(2*1/R17*1/Q17-1/Q17*1/Q17)))</f>
        <v>0.31493735434635522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2.8916971810264833</v>
      </c>
      <c r="R17">
        <f t="shared" ref="R17:R31" si="9">I17*(1000-(1000*0.61365*EXP(17.502*V17/(240.97+V17))/(DX17+DY17)+DS17)/2)/(1000*0.61365*EXP(17.502*V17/(240.97+V17))/(DX17+DY17)-DS17)</f>
        <v>0.29704718239313005</v>
      </c>
      <c r="S17">
        <f t="shared" ref="S17:S31" si="10">1/((DL17+1)/(P17/1.6)+1/(Q17/1.37)) + DL17/((DL17+1)/(P17/1.6) + DL17/(Q17/1.37))</f>
        <v>0.18717710904688897</v>
      </c>
      <c r="T17">
        <f t="shared" ref="T17:T31" si="11">(DG17*DJ17)</f>
        <v>319.7760524324782</v>
      </c>
      <c r="U17">
        <f t="shared" ref="U17:U31" si="12">(DZ17+(T17+2*0.95*0.0000000567*(((DZ17+$B$7)+273)^4-(DZ17+273)^4)-44100*I17)/(1.84*29.3*Q17+8*0.95*0.0000000567*(DZ17+273)^3))</f>
        <v>35.32191850590042</v>
      </c>
      <c r="V17">
        <f t="shared" ref="V17:V31" si="13">($C$7*EA17+$D$7*EB17+$E$7*U17)</f>
        <v>34.42894193548387</v>
      </c>
      <c r="W17">
        <f t="shared" ref="W17:W31" si="14">0.61365*EXP(17.502*V17/(240.97+V17))</f>
        <v>5.4721871161478468</v>
      </c>
      <c r="X17">
        <f t="shared" ref="X17:X31" si="15">(Y17/Z17*100)</f>
        <v>64.688089097769335</v>
      </c>
      <c r="Y17">
        <f t="shared" ref="Y17:Y31" si="16">DS17*(DX17+DY17)/1000</f>
        <v>3.643200559701441</v>
      </c>
      <c r="Z17">
        <f t="shared" ref="Z17:Z31" si="17">0.61365*EXP(17.502*DZ17/(240.97+DZ17))</f>
        <v>5.6319495760573801</v>
      </c>
      <c r="AA17">
        <f t="shared" ref="AA17:AA31" si="18">(W17-DS17*(DX17+DY17)/1000)</f>
        <v>1.8289865564464058</v>
      </c>
      <c r="AB17">
        <f t="shared" ref="AB17:AB31" si="19">(-I17*44100)</f>
        <v>-256.68208450631829</v>
      </c>
      <c r="AC17">
        <f t="shared" ref="AC17:AC31" si="20">2*29.3*Q17*0.92*(DZ17-V17)</f>
        <v>80.831178330211898</v>
      </c>
      <c r="AD17">
        <f t="shared" ref="AD17:AD31" si="21">2*0.95*0.0000000567*(((DZ17+$B$7)+273)^4-(V17+273)^4)</f>
        <v>6.5083377591574472</v>
      </c>
      <c r="AE17">
        <f t="shared" ref="AE17:AE31" si="22">T17+AD17+AB17+AC17</f>
        <v>150.43348401552925</v>
      </c>
      <c r="AF17">
        <f t="shared" ref="AF17:AF31" si="23">DW17*AT17*(DR17-DQ17*(1000-AT17*DT17)/(1000-AT17*DS17))/(100*DK17)</f>
        <v>54.346127805395412</v>
      </c>
      <c r="AG17">
        <f t="shared" ref="AG17:AG31" si="24">1000*DW17*AT17*(DS17-DT17)/(100*DK17*(1000-AT17*DS17))</f>
        <v>5.8204554309822738</v>
      </c>
      <c r="AH17">
        <f t="shared" ref="AH17:AH31" si="25">(AI17 - AJ17 - DX17*1000/(8.314*(DZ17+273.15)) * AL17/DW17 * AK17) * DW17/(100*DK17) * (1000 - DT17)/1000</f>
        <v>54.489315748987131</v>
      </c>
      <c r="AI17">
        <v>502.84744801018951</v>
      </c>
      <c r="AJ17">
        <v>435.26696969696991</v>
      </c>
      <c r="AK17">
        <v>2.519891028885567E-2</v>
      </c>
      <c r="AL17">
        <v>67.034709621945211</v>
      </c>
      <c r="AM17">
        <f t="shared" ref="AM17:AM31" si="26">(AO17 - AN17 + DX17*1000/(8.314*(DZ17+273.15)) * AQ17/DW17 * AP17) * DW17/(100*DK17) * 1000/(1000 - AO17)</f>
        <v>5.9726370857978575</v>
      </c>
      <c r="AN17">
        <v>30.537371961580771</v>
      </c>
      <c r="AO17">
        <v>37.3966303030303</v>
      </c>
      <c r="AP17">
        <v>6.8225134698992208E-3</v>
      </c>
      <c r="AQ17">
        <v>78.065247822647748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50408.983215299457</v>
      </c>
      <c r="AW17" t="s">
        <v>473</v>
      </c>
      <c r="AX17">
        <v>5096.09</v>
      </c>
      <c r="AY17">
        <v>604.17647058823525</v>
      </c>
      <c r="AZ17">
        <v>2450.66</v>
      </c>
      <c r="BA17">
        <f t="shared" ref="BA17:BA31" si="30">1-AY17/AZ17</f>
        <v>0.75346377278437837</v>
      </c>
      <c r="BB17">
        <v>-5.5970321802682754</v>
      </c>
      <c r="BC17" t="s">
        <v>474</v>
      </c>
      <c r="BD17">
        <v>5086.3599999999997</v>
      </c>
      <c r="BE17">
        <v>733.20399999999995</v>
      </c>
      <c r="BF17">
        <v>881.82</v>
      </c>
      <c r="BG17">
        <f t="shared" ref="BG17:BG31" si="31">1-BE17/BF17</f>
        <v>0.16853326075616348</v>
      </c>
      <c r="BH17">
        <v>0.5</v>
      </c>
      <c r="BI17">
        <f t="shared" ref="BI17:BI31" si="32">DH17</f>
        <v>1680.2872353235307</v>
      </c>
      <c r="BJ17">
        <f t="shared" ref="BJ17:BJ31" si="33">K17</f>
        <v>54.346127805395412</v>
      </c>
      <c r="BK17">
        <f t="shared" ref="BK17:BK31" si="34">BG17*BH17*BI17</f>
        <v>141.59214338801681</v>
      </c>
      <c r="BL17">
        <f t="shared" ref="BL17:BL31" si="35">(BJ17-BB17)/BI17</f>
        <v>3.5674353006747643E-2</v>
      </c>
      <c r="BM17">
        <f t="shared" ref="BM17:BM31" si="36">(AZ17-BF17)/BF17</f>
        <v>1.7790932389830119</v>
      </c>
      <c r="BN17">
        <f t="shared" ref="BN17:BN31" si="37">AY17/(BA17+AY17/BF17)</f>
        <v>419.97211051832073</v>
      </c>
      <c r="BO17" t="s">
        <v>407</v>
      </c>
      <c r="BP17">
        <v>0</v>
      </c>
      <c r="BQ17">
        <f t="shared" ref="BQ17:BQ31" si="38">IF(BP17&lt;&gt;0, BP17, BN17)</f>
        <v>419.97211051832073</v>
      </c>
      <c r="BR17">
        <f t="shared" ref="BR17:BR31" si="39">1-BQ17/BF17</f>
        <v>0.52374394942468905</v>
      </c>
      <c r="BS17">
        <f t="shared" ref="BS17:BS31" si="40">(BF17-BE17)/(BF17-BQ17)</f>
        <v>0.32178559951153662</v>
      </c>
      <c r="BT17">
        <f t="shared" ref="BT17:BT31" si="41">(AZ17-BF17)/(AZ17-BQ17)</f>
        <v>0.77256579316107343</v>
      </c>
      <c r="BU17">
        <f t="shared" ref="BU17:BU31" si="42">(BF17-BE17)/(BF17-AY17)</f>
        <v>0.53527629588511738</v>
      </c>
      <c r="BV17">
        <f t="shared" ref="BV17:BV31" si="43">(AZ17-BF17)/(AZ17-AY17)</f>
        <v>0.84963660656089679</v>
      </c>
      <c r="BW17">
        <f t="shared" ref="BW17:BW31" si="44">(BS17*BQ17/BE17)</f>
        <v>0.1843156575267772</v>
      </c>
      <c r="BX17">
        <f t="shared" ref="BX17:BX31" si="45">(1-BW17)</f>
        <v>0.81568434247322275</v>
      </c>
      <c r="DG17">
        <f t="shared" ref="DG17:DG31" si="46">$B$11*EF17+$C$11*EG17+$F$11*ER17*(1-EU17)</f>
        <v>1999.985161290323</v>
      </c>
      <c r="DH17">
        <f t="shared" ref="DH17:DH31" si="47">DG17*DI17</f>
        <v>1680.2872353235307</v>
      </c>
      <c r="DI17">
        <f t="shared" ref="DI17:DI31" si="48">($B$11*$D$9+$C$11*$D$9+$F$11*((FE17+EW17)/MAX(FE17+EW17+FF17, 0.1)*$I$9+FF17/MAX(FE17+EW17+FF17, 0.1)*$J$9))/($B$11+$C$11+$F$11)</f>
        <v>0.84014985103162765</v>
      </c>
      <c r="DJ17">
        <f t="shared" ref="DJ17:DJ31" si="49">($B$11*$K$9+$C$11*$K$9+$F$11*((FE17+EW17)/MAX(FE17+EW17+FF17, 0.1)*$P$9+FF17/MAX(FE17+EW17+FF17, 0.1)*$Q$9))/($B$11+$C$11+$F$11)</f>
        <v>0.1598892124910414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1783006544.099999</v>
      </c>
      <c r="DQ17">
        <v>418.99990322580658</v>
      </c>
      <c r="DR17">
        <v>487.14987096774189</v>
      </c>
      <c r="DS17">
        <v>37.213451612903228</v>
      </c>
      <c r="DT17">
        <v>30.48802580645161</v>
      </c>
      <c r="DU17">
        <v>423.48041935483872</v>
      </c>
      <c r="DV17">
        <v>37.021451612903228</v>
      </c>
      <c r="DW17">
        <v>499.94064516129032</v>
      </c>
      <c r="DX17">
        <v>97.854683870967747</v>
      </c>
      <c r="DY17">
        <v>4.5414125806451613E-2</v>
      </c>
      <c r="DZ17">
        <v>34.947432258064509</v>
      </c>
      <c r="EA17">
        <v>34.42894193548387</v>
      </c>
      <c r="EB17">
        <v>999.90000000000032</v>
      </c>
      <c r="EC17">
        <v>0</v>
      </c>
      <c r="ED17">
        <v>0</v>
      </c>
      <c r="EE17">
        <v>10000.322580645159</v>
      </c>
      <c r="EF17">
        <v>0</v>
      </c>
      <c r="EG17">
        <v>568.41245161290328</v>
      </c>
      <c r="EH17">
        <v>-68.149958064516142</v>
      </c>
      <c r="EI17">
        <v>435.26919354838719</v>
      </c>
      <c r="EJ17">
        <v>502.46925806451611</v>
      </c>
      <c r="EK17">
        <v>6.889554838709679</v>
      </c>
      <c r="EL17">
        <v>487.14987096774189</v>
      </c>
      <c r="EM17">
        <v>30.48802580645161</v>
      </c>
      <c r="EN17">
        <v>3.6575725806451609</v>
      </c>
      <c r="EO17">
        <v>2.9833974193548389</v>
      </c>
      <c r="EP17">
        <v>27.369493548387101</v>
      </c>
      <c r="EQ17">
        <v>23.935529032258071</v>
      </c>
      <c r="ER17">
        <v>1999.985161290323</v>
      </c>
      <c r="ES17">
        <v>0.99499332258064499</v>
      </c>
      <c r="ET17">
        <v>5.0069196774193544E-3</v>
      </c>
      <c r="EU17">
        <v>0</v>
      </c>
      <c r="EV17">
        <v>732.89722580645162</v>
      </c>
      <c r="EW17">
        <v>5.0010700000000003</v>
      </c>
      <c r="EX17">
        <v>17576.480645161289</v>
      </c>
      <c r="EY17">
        <v>18241.467741935481</v>
      </c>
      <c r="EZ17">
        <v>41.91099999999998</v>
      </c>
      <c r="FA17">
        <v>42.781999999999982</v>
      </c>
      <c r="FB17">
        <v>42.227645161290333</v>
      </c>
      <c r="FC17">
        <v>42.625</v>
      </c>
      <c r="FD17">
        <v>43.668999999999969</v>
      </c>
      <c r="FE17">
        <v>1984.995161290323</v>
      </c>
      <c r="FF17">
        <v>9.990000000000002</v>
      </c>
      <c r="FG17">
        <v>0</v>
      </c>
      <c r="FH17">
        <v>963.5</v>
      </c>
      <c r="FI17">
        <v>0</v>
      </c>
      <c r="FJ17">
        <v>733.20399999999995</v>
      </c>
      <c r="FK17">
        <v>7.5539215788698408</v>
      </c>
      <c r="FL17">
        <v>237.81862930506779</v>
      </c>
      <c r="FM17">
        <v>17578.03529411765</v>
      </c>
      <c r="FN17">
        <v>10</v>
      </c>
      <c r="FO17">
        <v>1783006584.5999999</v>
      </c>
      <c r="FP17" t="s">
        <v>475</v>
      </c>
      <c r="FQ17">
        <v>1783005550</v>
      </c>
      <c r="FR17">
        <v>1783006584.5999999</v>
      </c>
      <c r="FS17">
        <v>17</v>
      </c>
      <c r="FT17">
        <v>1.9E-2</v>
      </c>
      <c r="FU17">
        <v>3.9E-2</v>
      </c>
      <c r="FV17">
        <v>-4.4630000000000001</v>
      </c>
      <c r="FW17">
        <v>0.192</v>
      </c>
      <c r="FX17">
        <v>414</v>
      </c>
      <c r="FY17">
        <v>31</v>
      </c>
      <c r="FZ17">
        <v>1.22</v>
      </c>
      <c r="GA17">
        <v>0.04</v>
      </c>
      <c r="GB17">
        <v>487.12520000000001</v>
      </c>
      <c r="GC17">
        <v>3.7619933259181062</v>
      </c>
      <c r="GD17">
        <v>0.29971646601413149</v>
      </c>
      <c r="GE17">
        <v>-1</v>
      </c>
      <c r="GF17">
        <v>732.6507058823529</v>
      </c>
      <c r="GG17">
        <v>4.6206264266454342</v>
      </c>
      <c r="GH17">
        <v>0.49757976182434921</v>
      </c>
      <c r="GI17">
        <v>1</v>
      </c>
      <c r="GJ17">
        <v>6.8688815000000014</v>
      </c>
      <c r="GK17">
        <v>0.19620742964350041</v>
      </c>
      <c r="GL17">
        <v>6.5610464963677909E-2</v>
      </c>
      <c r="GM17">
        <v>1</v>
      </c>
      <c r="GN17">
        <v>2</v>
      </c>
      <c r="GO17">
        <v>2</v>
      </c>
      <c r="GP17" t="s">
        <v>410</v>
      </c>
      <c r="GQ17">
        <v>3.1339899999999998</v>
      </c>
      <c r="GR17">
        <v>2.7227000000000001</v>
      </c>
      <c r="GS17">
        <v>9.1198500000000002E-2</v>
      </c>
      <c r="GT17">
        <v>0.10215299999999999</v>
      </c>
      <c r="GU17">
        <v>0.15124299999999999</v>
      </c>
      <c r="GV17">
        <v>0.13272900000000001</v>
      </c>
      <c r="GW17">
        <v>22782</v>
      </c>
      <c r="GX17">
        <v>30277.7</v>
      </c>
      <c r="GY17">
        <v>27193.4</v>
      </c>
      <c r="GZ17">
        <v>34678.6</v>
      </c>
      <c r="HA17">
        <v>33806.300000000003</v>
      </c>
      <c r="HB17">
        <v>38374.699999999997</v>
      </c>
      <c r="HC17">
        <v>40160.199999999997</v>
      </c>
      <c r="HD17">
        <v>44328.4</v>
      </c>
      <c r="HE17">
        <v>1.9678</v>
      </c>
      <c r="HF17">
        <v>1.7806</v>
      </c>
      <c r="HG17">
        <v>7.4058799999999994E-2</v>
      </c>
      <c r="HH17">
        <v>0</v>
      </c>
      <c r="HI17">
        <v>33.215899999999998</v>
      </c>
      <c r="HJ17">
        <v>999.9</v>
      </c>
      <c r="HK17">
        <v>63.5</v>
      </c>
      <c r="HL17">
        <v>37</v>
      </c>
      <c r="HM17">
        <v>40.9131</v>
      </c>
      <c r="HN17">
        <v>58.247500000000002</v>
      </c>
      <c r="HO17">
        <v>5.9695499999999999</v>
      </c>
      <c r="HP17">
        <v>1</v>
      </c>
      <c r="HQ17">
        <v>0.54597600000000002</v>
      </c>
      <c r="HR17">
        <v>0</v>
      </c>
      <c r="HS17">
        <v>20.279900000000001</v>
      </c>
      <c r="HT17">
        <v>5.2100999999999997</v>
      </c>
      <c r="HU17">
        <v>11.9069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1.8629500000000001</v>
      </c>
      <c r="ID17">
        <v>1.8624000000000001</v>
      </c>
      <c r="IE17">
        <v>1.86188</v>
      </c>
      <c r="IF17">
        <v>1.86188</v>
      </c>
      <c r="IG17">
        <v>1.8625799999999999</v>
      </c>
      <c r="IH17">
        <v>1.8633999999999999</v>
      </c>
      <c r="II17">
        <v>1.86145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-4.4800000000000004</v>
      </c>
      <c r="IX17">
        <v>0.192</v>
      </c>
      <c r="IY17">
        <v>-2.6700379647821202</v>
      </c>
      <c r="IZ17">
        <v>-4.7754461378838441E-3</v>
      </c>
      <c r="JA17">
        <v>1.175754608921022E-6</v>
      </c>
      <c r="JB17">
        <v>1.4193218893046591E-11</v>
      </c>
      <c r="JC17">
        <v>-0.42427193278930347</v>
      </c>
      <c r="JD17">
        <v>2.7492919904454862E-4</v>
      </c>
      <c r="JE17">
        <v>8.6739513355948885E-4</v>
      </c>
      <c r="JF17">
        <v>-8.2500691715147318E-6</v>
      </c>
      <c r="JG17">
        <v>38</v>
      </c>
      <c r="JH17">
        <v>1780</v>
      </c>
      <c r="JI17">
        <v>2</v>
      </c>
      <c r="JJ17">
        <v>37</v>
      </c>
      <c r="JK17">
        <v>16.7</v>
      </c>
      <c r="JL17">
        <v>16.600000000000001</v>
      </c>
      <c r="JM17">
        <v>1.2390099999999999</v>
      </c>
      <c r="JN17">
        <v>2.5061</v>
      </c>
      <c r="JO17">
        <v>1.50024</v>
      </c>
      <c r="JP17">
        <v>2.2668499999999998</v>
      </c>
      <c r="JQ17">
        <v>1.4477500000000001</v>
      </c>
      <c r="JR17">
        <v>2.4121100000000002</v>
      </c>
      <c r="JS17">
        <v>40.146000000000001</v>
      </c>
      <c r="JT17">
        <v>15.252800000000001</v>
      </c>
      <c r="JU17">
        <v>18</v>
      </c>
      <c r="JV17">
        <v>547.09299999999996</v>
      </c>
      <c r="JW17">
        <v>438.48099999999999</v>
      </c>
      <c r="JX17">
        <v>34.0627</v>
      </c>
      <c r="JY17">
        <v>34.148299999999999</v>
      </c>
      <c r="JZ17">
        <v>30.0001</v>
      </c>
      <c r="KA17">
        <v>34.108800000000002</v>
      </c>
      <c r="KB17">
        <v>34.069299999999998</v>
      </c>
      <c r="KC17">
        <v>24.784300000000002</v>
      </c>
      <c r="KD17">
        <v>35.967700000000001</v>
      </c>
      <c r="KE17">
        <v>43.550800000000002</v>
      </c>
      <c r="KF17">
        <v>-999.9</v>
      </c>
      <c r="KG17">
        <v>488.28899999999999</v>
      </c>
      <c r="KH17">
        <v>30.5959</v>
      </c>
      <c r="KI17">
        <v>100.367</v>
      </c>
      <c r="KJ17">
        <v>99.407600000000002</v>
      </c>
    </row>
    <row r="18" spans="1:296" x14ac:dyDescent="0.3">
      <c r="A18">
        <v>2</v>
      </c>
      <c r="B18">
        <v>1783006717.0999999</v>
      </c>
      <c r="C18">
        <v>165</v>
      </c>
      <c r="D18" t="s">
        <v>476</v>
      </c>
      <c r="E18" t="s">
        <v>477</v>
      </c>
      <c r="F18">
        <v>15</v>
      </c>
      <c r="H18">
        <v>1783006709.349999</v>
      </c>
      <c r="I18">
        <f t="shared" si="0"/>
        <v>6.7908191853061073E-3</v>
      </c>
      <c r="J18">
        <f t="shared" si="1"/>
        <v>6.7908191853061073</v>
      </c>
      <c r="K18">
        <f t="shared" si="2"/>
        <v>59.379919331522615</v>
      </c>
      <c r="L18">
        <f t="shared" si="3"/>
        <v>419.30073333333331</v>
      </c>
      <c r="M18">
        <f t="shared" si="4"/>
        <v>154.2629246566394</v>
      </c>
      <c r="N18">
        <f t="shared" si="5"/>
        <v>15.10315218394698</v>
      </c>
      <c r="O18">
        <f t="shared" si="6"/>
        <v>41.051748503209417</v>
      </c>
      <c r="P18">
        <f t="shared" si="7"/>
        <v>0.39409544118582485</v>
      </c>
      <c r="Q18">
        <f t="shared" si="8"/>
        <v>2.8933803367008908</v>
      </c>
      <c r="R18">
        <f t="shared" si="9"/>
        <v>0.36651926120682143</v>
      </c>
      <c r="S18">
        <f t="shared" si="10"/>
        <v>0.23139114824432128</v>
      </c>
      <c r="T18">
        <f t="shared" si="11"/>
        <v>271.90836382937488</v>
      </c>
      <c r="U18">
        <f t="shared" si="12"/>
        <v>34.719654748278067</v>
      </c>
      <c r="V18">
        <f t="shared" si="13"/>
        <v>34.192746666666658</v>
      </c>
      <c r="W18">
        <f t="shared" si="14"/>
        <v>5.4007243945214167</v>
      </c>
      <c r="X18">
        <f t="shared" si="15"/>
        <v>65.410322015417705</v>
      </c>
      <c r="Y18">
        <f t="shared" si="16"/>
        <v>3.6707868220767526</v>
      </c>
      <c r="Z18">
        <f t="shared" si="17"/>
        <v>5.6119381604810323</v>
      </c>
      <c r="AA18">
        <f t="shared" si="18"/>
        <v>1.7299375724446642</v>
      </c>
      <c r="AB18">
        <f t="shared" si="19"/>
        <v>-299.47512607199934</v>
      </c>
      <c r="AC18">
        <f t="shared" si="20"/>
        <v>107.7013398960177</v>
      </c>
      <c r="AD18">
        <f t="shared" si="21"/>
        <v>8.6541330080957195</v>
      </c>
      <c r="AE18">
        <f t="shared" si="22"/>
        <v>88.788710661488935</v>
      </c>
      <c r="AF18">
        <f t="shared" si="23"/>
        <v>59.379919331522615</v>
      </c>
      <c r="AG18">
        <f t="shared" si="24"/>
        <v>6.7908191853061073</v>
      </c>
      <c r="AH18">
        <f t="shared" si="25"/>
        <v>59.466154415115696</v>
      </c>
      <c r="AI18">
        <v>509.14902215228028</v>
      </c>
      <c r="AJ18">
        <v>435.63401818181819</v>
      </c>
      <c r="AK18">
        <v>-2.4474067755517188E-3</v>
      </c>
      <c r="AL18">
        <v>67.035036088587773</v>
      </c>
      <c r="AM18">
        <f t="shared" si="26"/>
        <v>6.7452600563560932</v>
      </c>
      <c r="AN18">
        <v>29.621714388811899</v>
      </c>
      <c r="AO18">
        <v>37.456119393939382</v>
      </c>
      <c r="AP18">
        <v>-7.4747305163993753E-3</v>
      </c>
      <c r="AQ18">
        <v>78.066668062465041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50466.309087149799</v>
      </c>
      <c r="AW18" t="s">
        <v>473</v>
      </c>
      <c r="AX18">
        <v>5096.09</v>
      </c>
      <c r="AY18">
        <v>604.17647058823525</v>
      </c>
      <c r="AZ18">
        <v>2450.66</v>
      </c>
      <c r="BA18">
        <f t="shared" si="30"/>
        <v>0.75346377278437837</v>
      </c>
      <c r="BB18">
        <v>-5.5970321802682754</v>
      </c>
      <c r="BC18" t="s">
        <v>478</v>
      </c>
      <c r="BD18">
        <v>5088.7299999999996</v>
      </c>
      <c r="BE18">
        <v>751.26870588235295</v>
      </c>
      <c r="BF18">
        <v>986.34</v>
      </c>
      <c r="BG18">
        <f t="shared" si="31"/>
        <v>0.2383268387347639</v>
      </c>
      <c r="BH18">
        <v>0.5</v>
      </c>
      <c r="BI18">
        <f t="shared" si="32"/>
        <v>1428.3025798079664</v>
      </c>
      <c r="BJ18">
        <f t="shared" si="33"/>
        <v>59.379919331522615</v>
      </c>
      <c r="BK18">
        <f t="shared" si="34"/>
        <v>170.20141930117023</v>
      </c>
      <c r="BL18">
        <f t="shared" si="35"/>
        <v>4.549242746626346E-2</v>
      </c>
      <c r="BM18">
        <f t="shared" si="36"/>
        <v>1.4845996309588982</v>
      </c>
      <c r="BN18">
        <f t="shared" si="37"/>
        <v>442.29364035170806</v>
      </c>
      <c r="BO18" t="s">
        <v>407</v>
      </c>
      <c r="BP18">
        <v>0</v>
      </c>
      <c r="BQ18">
        <f t="shared" si="38"/>
        <v>442.29364035170806</v>
      </c>
      <c r="BR18">
        <f t="shared" si="39"/>
        <v>0.55158095550042785</v>
      </c>
      <c r="BS18">
        <f t="shared" si="40"/>
        <v>0.43207952768880381</v>
      </c>
      <c r="BT18">
        <f t="shared" si="41"/>
        <v>0.72911000175109175</v>
      </c>
      <c r="BU18">
        <f t="shared" si="42"/>
        <v>0.61510656048073042</v>
      </c>
      <c r="BV18">
        <f t="shared" si="43"/>
        <v>0.79303171497364444</v>
      </c>
      <c r="BW18">
        <f t="shared" si="44"/>
        <v>0.25437772893584959</v>
      </c>
      <c r="BX18">
        <f t="shared" si="45"/>
        <v>0.74562227106415047</v>
      </c>
      <c r="DG18">
        <f t="shared" si="46"/>
        <v>1699.9970000000001</v>
      </c>
      <c r="DH18">
        <f t="shared" si="47"/>
        <v>1428.3025798079664</v>
      </c>
      <c r="DI18">
        <f t="shared" si="48"/>
        <v>0.8401794707919874</v>
      </c>
      <c r="DJ18">
        <f t="shared" si="49"/>
        <v>0.15994637862853572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1783006709.349999</v>
      </c>
      <c r="DQ18">
        <v>419.30073333333331</v>
      </c>
      <c r="DR18">
        <v>493.96093333333329</v>
      </c>
      <c r="DS18">
        <v>37.493253333333342</v>
      </c>
      <c r="DT18">
        <v>29.651123333333331</v>
      </c>
      <c r="DU18">
        <v>423.74133333333339</v>
      </c>
      <c r="DV18">
        <v>37.097993333333328</v>
      </c>
      <c r="DW18">
        <v>500.08423333333337</v>
      </c>
      <c r="DX18">
        <v>97.857843333333349</v>
      </c>
      <c r="DY18">
        <v>4.7419500000000003E-2</v>
      </c>
      <c r="DZ18">
        <v>34.883193333333338</v>
      </c>
      <c r="EA18">
        <v>34.192746666666658</v>
      </c>
      <c r="EB18">
        <v>999.9000000000002</v>
      </c>
      <c r="EC18">
        <v>0</v>
      </c>
      <c r="ED18">
        <v>0</v>
      </c>
      <c r="EE18">
        <v>10009.66666666667</v>
      </c>
      <c r="EF18">
        <v>0</v>
      </c>
      <c r="EG18">
        <v>520.73943333333341</v>
      </c>
      <c r="EH18">
        <v>-74.660290000000018</v>
      </c>
      <c r="EI18">
        <v>435.63406666666663</v>
      </c>
      <c r="EJ18">
        <v>509.05500000000001</v>
      </c>
      <c r="EK18">
        <v>7.8421306666666668</v>
      </c>
      <c r="EL18">
        <v>493.96093333333329</v>
      </c>
      <c r="EM18">
        <v>29.651123333333331</v>
      </c>
      <c r="EN18">
        <v>3.6690079999999989</v>
      </c>
      <c r="EO18">
        <v>2.901593333333333</v>
      </c>
      <c r="EP18">
        <v>27.42279666666666</v>
      </c>
      <c r="EQ18">
        <v>23.473723333333329</v>
      </c>
      <c r="ER18">
        <v>1699.9970000000001</v>
      </c>
      <c r="ES18">
        <v>0.99400163333333347</v>
      </c>
      <c r="ET18">
        <v>5.9982606666666664E-3</v>
      </c>
      <c r="EU18">
        <v>0</v>
      </c>
      <c r="EV18">
        <v>751.04893333333348</v>
      </c>
      <c r="EW18">
        <v>5.0010700000000003</v>
      </c>
      <c r="EX18">
        <v>15490.82666666667</v>
      </c>
      <c r="EY18">
        <v>15492.5</v>
      </c>
      <c r="EZ18">
        <v>42.106099999999998</v>
      </c>
      <c r="FA18">
        <v>43.25</v>
      </c>
      <c r="FB18">
        <v>42.686999999999983</v>
      </c>
      <c r="FC18">
        <v>43.012399999999992</v>
      </c>
      <c r="FD18">
        <v>43.995800000000003</v>
      </c>
      <c r="FE18">
        <v>1684.827</v>
      </c>
      <c r="FF18">
        <v>10.17</v>
      </c>
      <c r="FG18">
        <v>0</v>
      </c>
      <c r="FH18">
        <v>164.20000004768369</v>
      </c>
      <c r="FI18">
        <v>0</v>
      </c>
      <c r="FJ18">
        <v>751.26870588235295</v>
      </c>
      <c r="FK18">
        <v>5.4639706026022514</v>
      </c>
      <c r="FL18">
        <v>167.7450968292095</v>
      </c>
      <c r="FM18">
        <v>15491.42352941177</v>
      </c>
      <c r="FN18">
        <v>10</v>
      </c>
      <c r="FO18">
        <v>1783006650.0999999</v>
      </c>
      <c r="FP18" t="s">
        <v>479</v>
      </c>
      <c r="FQ18">
        <v>1783006649.0999999</v>
      </c>
      <c r="FR18">
        <v>1783006650.0999999</v>
      </c>
      <c r="FS18">
        <v>18</v>
      </c>
      <c r="FT18">
        <v>4.1000000000000002E-2</v>
      </c>
      <c r="FU18">
        <v>-2E-3</v>
      </c>
      <c r="FV18">
        <v>-4.7030000000000003</v>
      </c>
      <c r="FW18">
        <v>0.183</v>
      </c>
      <c r="FX18">
        <v>490</v>
      </c>
      <c r="FY18">
        <v>30</v>
      </c>
      <c r="FZ18">
        <v>0.12</v>
      </c>
      <c r="GA18">
        <v>0.05</v>
      </c>
      <c r="GB18">
        <v>493.94109999999989</v>
      </c>
      <c r="GC18">
        <v>2.045499443826734</v>
      </c>
      <c r="GD18">
        <v>0.19176015401189889</v>
      </c>
      <c r="GE18">
        <v>-1</v>
      </c>
      <c r="GF18">
        <v>750.79473529411769</v>
      </c>
      <c r="GG18">
        <v>4.9802750198961387</v>
      </c>
      <c r="GH18">
        <v>0.53689665501480743</v>
      </c>
      <c r="GI18">
        <v>1</v>
      </c>
      <c r="GJ18">
        <v>7.80136875</v>
      </c>
      <c r="GK18">
        <v>0.47372386491555851</v>
      </c>
      <c r="GL18">
        <v>8.1302779632294833E-2</v>
      </c>
      <c r="GM18">
        <v>1</v>
      </c>
      <c r="GN18">
        <v>2</v>
      </c>
      <c r="GO18">
        <v>2</v>
      </c>
      <c r="GP18" t="s">
        <v>410</v>
      </c>
      <c r="GQ18">
        <v>3.13401</v>
      </c>
      <c r="GR18">
        <v>2.7233100000000001</v>
      </c>
      <c r="GS18">
        <v>9.1297500000000004E-2</v>
      </c>
      <c r="GT18">
        <v>0.10313899999999999</v>
      </c>
      <c r="GU18">
        <v>0.15131</v>
      </c>
      <c r="GV18">
        <v>0.13025700000000001</v>
      </c>
      <c r="GW18">
        <v>22780.9</v>
      </c>
      <c r="GX18">
        <v>30246.5</v>
      </c>
      <c r="GY18">
        <v>27194.9</v>
      </c>
      <c r="GZ18">
        <v>34680.9</v>
      </c>
      <c r="HA18">
        <v>33805.1</v>
      </c>
      <c r="HB18">
        <v>38485.9</v>
      </c>
      <c r="HC18">
        <v>40162.400000000001</v>
      </c>
      <c r="HD18">
        <v>44330.3</v>
      </c>
      <c r="HE18">
        <v>1.9692000000000001</v>
      </c>
      <c r="HF18">
        <v>1.7806</v>
      </c>
      <c r="HG18">
        <v>6.0647699999999999E-2</v>
      </c>
      <c r="HH18">
        <v>0</v>
      </c>
      <c r="HI18">
        <v>33.21</v>
      </c>
      <c r="HJ18">
        <v>999.9</v>
      </c>
      <c r="HK18">
        <v>63.4</v>
      </c>
      <c r="HL18">
        <v>36.9</v>
      </c>
      <c r="HM18">
        <v>40.624499999999998</v>
      </c>
      <c r="HN18">
        <v>59.717399999999998</v>
      </c>
      <c r="HO18">
        <v>6.2540100000000001</v>
      </c>
      <c r="HP18">
        <v>1</v>
      </c>
      <c r="HQ18">
        <v>0.54341499999999998</v>
      </c>
      <c r="HR18">
        <v>0</v>
      </c>
      <c r="HS18">
        <v>20.282399999999999</v>
      </c>
      <c r="HT18">
        <v>5.2100999999999997</v>
      </c>
      <c r="HU18">
        <v>11.9069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1.86734</v>
      </c>
      <c r="IC18">
        <v>1.8629500000000001</v>
      </c>
      <c r="ID18">
        <v>1.8623700000000001</v>
      </c>
      <c r="IE18">
        <v>1.86188</v>
      </c>
      <c r="IF18">
        <v>1.86188</v>
      </c>
      <c r="IG18">
        <v>1.8625499999999999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-4.4420000000000002</v>
      </c>
      <c r="IX18">
        <v>0.39439999999999997</v>
      </c>
      <c r="IY18">
        <v>-2.6292990690924229</v>
      </c>
      <c r="IZ18">
        <v>-4.7754461378838441E-3</v>
      </c>
      <c r="JA18">
        <v>1.175754608921022E-6</v>
      </c>
      <c r="JB18">
        <v>1.4193218893046591E-11</v>
      </c>
      <c r="JC18">
        <v>-0.38749019658237588</v>
      </c>
      <c r="JD18">
        <v>2.7492919904454862E-4</v>
      </c>
      <c r="JE18">
        <v>8.6739513355948885E-4</v>
      </c>
      <c r="JF18">
        <v>-8.2500691715147318E-6</v>
      </c>
      <c r="JG18">
        <v>38</v>
      </c>
      <c r="JH18">
        <v>1780</v>
      </c>
      <c r="JI18">
        <v>2</v>
      </c>
      <c r="JJ18">
        <v>37</v>
      </c>
      <c r="JK18">
        <v>1.1000000000000001</v>
      </c>
      <c r="JL18">
        <v>1.1000000000000001</v>
      </c>
      <c r="JM18">
        <v>1.25122</v>
      </c>
      <c r="JN18">
        <v>2.5268600000000001</v>
      </c>
      <c r="JO18">
        <v>1.50024</v>
      </c>
      <c r="JP18">
        <v>2.2668499999999998</v>
      </c>
      <c r="JQ18">
        <v>1.4477500000000001</v>
      </c>
      <c r="JR18">
        <v>2.47559</v>
      </c>
      <c r="JS18">
        <v>40.171300000000002</v>
      </c>
      <c r="JT18">
        <v>15.2265</v>
      </c>
      <c r="JU18">
        <v>18</v>
      </c>
      <c r="JV18">
        <v>547.654</v>
      </c>
      <c r="JW18">
        <v>438.125</v>
      </c>
      <c r="JX18">
        <v>34.161799999999999</v>
      </c>
      <c r="JY18">
        <v>34.1205</v>
      </c>
      <c r="JZ18">
        <v>30.0001</v>
      </c>
      <c r="KA18">
        <v>34.062800000000003</v>
      </c>
      <c r="KB18">
        <v>34.017499999999998</v>
      </c>
      <c r="KC18">
        <v>25.0259</v>
      </c>
      <c r="KD18">
        <v>37.1629</v>
      </c>
      <c r="KE18">
        <v>40.055500000000002</v>
      </c>
      <c r="KF18">
        <v>-999.9</v>
      </c>
      <c r="KG18">
        <v>494.447</v>
      </c>
      <c r="KH18">
        <v>29.7315</v>
      </c>
      <c r="KI18">
        <v>100.373</v>
      </c>
      <c r="KJ18">
        <v>99.412899999999993</v>
      </c>
    </row>
    <row r="19" spans="1:296" x14ac:dyDescent="0.3">
      <c r="A19">
        <v>3</v>
      </c>
      <c r="B19">
        <v>1783006848.5999999</v>
      </c>
      <c r="C19">
        <v>296.5</v>
      </c>
      <c r="D19" t="s">
        <v>480</v>
      </c>
      <c r="E19" t="s">
        <v>481</v>
      </c>
      <c r="F19">
        <v>15</v>
      </c>
      <c r="H19">
        <v>1783006840.849999</v>
      </c>
      <c r="I19">
        <f t="shared" si="0"/>
        <v>7.1824493366733338E-3</v>
      </c>
      <c r="J19">
        <f t="shared" si="1"/>
        <v>7.1824493366733337</v>
      </c>
      <c r="K19">
        <f t="shared" si="2"/>
        <v>60.667540747807202</v>
      </c>
      <c r="L19">
        <f t="shared" si="3"/>
        <v>419.53843333333327</v>
      </c>
      <c r="M19">
        <f t="shared" si="4"/>
        <v>167.1455158974272</v>
      </c>
      <c r="N19">
        <f t="shared" si="5"/>
        <v>16.364501302596707</v>
      </c>
      <c r="O19">
        <f t="shared" si="6"/>
        <v>41.075210435115203</v>
      </c>
      <c r="P19">
        <f t="shared" si="7"/>
        <v>0.42566142080076758</v>
      </c>
      <c r="Q19">
        <f t="shared" si="8"/>
        <v>2.8920802683449685</v>
      </c>
      <c r="R19">
        <f t="shared" si="9"/>
        <v>0.39366962247153547</v>
      </c>
      <c r="S19">
        <f t="shared" si="10"/>
        <v>0.2487171797708751</v>
      </c>
      <c r="T19">
        <f t="shared" si="11"/>
        <v>255.91601782944664</v>
      </c>
      <c r="U19">
        <f t="shared" si="12"/>
        <v>34.536342362395636</v>
      </c>
      <c r="V19">
        <f t="shared" si="13"/>
        <v>34.127336666666658</v>
      </c>
      <c r="W19">
        <f t="shared" si="14"/>
        <v>5.3810781438066462</v>
      </c>
      <c r="X19">
        <f t="shared" si="15"/>
        <v>65.477398350594527</v>
      </c>
      <c r="Y19">
        <f t="shared" si="16"/>
        <v>3.6774372272165246</v>
      </c>
      <c r="Z19">
        <f t="shared" si="17"/>
        <v>5.6163459756386818</v>
      </c>
      <c r="AA19">
        <f t="shared" si="18"/>
        <v>1.7036409165901216</v>
      </c>
      <c r="AB19">
        <f t="shared" si="19"/>
        <v>-316.746015747294</v>
      </c>
      <c r="AC19">
        <f t="shared" si="20"/>
        <v>120.0603682815353</v>
      </c>
      <c r="AD19">
        <f t="shared" si="21"/>
        <v>9.6491464236918318</v>
      </c>
      <c r="AE19">
        <f t="shared" si="22"/>
        <v>68.879516787379814</v>
      </c>
      <c r="AF19">
        <f t="shared" si="23"/>
        <v>60.667540747807202</v>
      </c>
      <c r="AG19">
        <f t="shared" si="24"/>
        <v>7.1824493366733337</v>
      </c>
      <c r="AH19">
        <f t="shared" si="25"/>
        <v>60.916046578420207</v>
      </c>
      <c r="AI19">
        <v>510.84203957752868</v>
      </c>
      <c r="AJ19">
        <v>435.60060606060608</v>
      </c>
      <c r="AK19">
        <v>-1.259827272907417E-2</v>
      </c>
      <c r="AL19">
        <v>67.095702311339537</v>
      </c>
      <c r="AM19">
        <f t="shared" si="26"/>
        <v>7.1781271023774309</v>
      </c>
      <c r="AN19">
        <v>29.252740519869089</v>
      </c>
      <c r="AO19">
        <v>37.54284545454545</v>
      </c>
      <c r="AP19">
        <v>9.9117466641304719E-5</v>
      </c>
      <c r="AQ19">
        <v>78.25736086300536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50427.890826532173</v>
      </c>
      <c r="AW19" t="s">
        <v>473</v>
      </c>
      <c r="AX19">
        <v>5096.09</v>
      </c>
      <c r="AY19">
        <v>604.17647058823525</v>
      </c>
      <c r="AZ19">
        <v>2450.66</v>
      </c>
      <c r="BA19">
        <f t="shared" si="30"/>
        <v>0.75346377278437837</v>
      </c>
      <c r="BB19">
        <v>-5.5970321802682754</v>
      </c>
      <c r="BC19" t="s">
        <v>482</v>
      </c>
      <c r="BD19">
        <v>5087.7700000000004</v>
      </c>
      <c r="BE19">
        <v>764.64782352941165</v>
      </c>
      <c r="BF19">
        <v>1047.24</v>
      </c>
      <c r="BG19">
        <f t="shared" si="31"/>
        <v>0.26984471226327145</v>
      </c>
      <c r="BH19">
        <v>0.5</v>
      </c>
      <c r="BI19">
        <f t="shared" si="32"/>
        <v>1344.2971798080034</v>
      </c>
      <c r="BJ19">
        <f t="shared" si="33"/>
        <v>60.667540747807202</v>
      </c>
      <c r="BK19">
        <f t="shared" si="34"/>
        <v>181.37574284080898</v>
      </c>
      <c r="BL19">
        <f t="shared" si="35"/>
        <v>4.9293098225155534E-2</v>
      </c>
      <c r="BM19">
        <f t="shared" si="36"/>
        <v>1.3401130590886519</v>
      </c>
      <c r="BN19">
        <f t="shared" si="37"/>
        <v>454.13607849702163</v>
      </c>
      <c r="BO19" t="s">
        <v>407</v>
      </c>
      <c r="BP19">
        <v>0</v>
      </c>
      <c r="BQ19">
        <f t="shared" si="38"/>
        <v>454.13607849702163</v>
      </c>
      <c r="BR19">
        <f t="shared" si="39"/>
        <v>0.56634956791468849</v>
      </c>
      <c r="BS19">
        <f t="shared" si="40"/>
        <v>0.4764631731897413</v>
      </c>
      <c r="BT19">
        <f t="shared" si="41"/>
        <v>0.70293172292346429</v>
      </c>
      <c r="BU19">
        <f t="shared" si="42"/>
        <v>0.63781412305764162</v>
      </c>
      <c r="BV19">
        <f t="shared" si="43"/>
        <v>0.7600501047778575</v>
      </c>
      <c r="BW19">
        <f t="shared" si="44"/>
        <v>0.28297879149369409</v>
      </c>
      <c r="BX19">
        <f t="shared" si="45"/>
        <v>0.71702120850630591</v>
      </c>
      <c r="DG19">
        <f t="shared" si="46"/>
        <v>1600.0119999999999</v>
      </c>
      <c r="DH19">
        <f t="shared" si="47"/>
        <v>1344.2971798080034</v>
      </c>
      <c r="DI19">
        <f t="shared" si="48"/>
        <v>0.84017943603423184</v>
      </c>
      <c r="DJ19">
        <f t="shared" si="49"/>
        <v>0.15994631154606756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1783006840.849999</v>
      </c>
      <c r="DQ19">
        <v>419.53843333333327</v>
      </c>
      <c r="DR19">
        <v>495.95850000000002</v>
      </c>
      <c r="DS19">
        <v>37.561006666666657</v>
      </c>
      <c r="DT19">
        <v>29.265473333333329</v>
      </c>
      <c r="DU19">
        <v>423.91476666666671</v>
      </c>
      <c r="DV19">
        <v>37.163093333333343</v>
      </c>
      <c r="DW19">
        <v>499.98009999999999</v>
      </c>
      <c r="DX19">
        <v>97.858163333333323</v>
      </c>
      <c r="DY19">
        <v>4.7552023333333353E-2</v>
      </c>
      <c r="DZ19">
        <v>34.897359999999999</v>
      </c>
      <c r="EA19">
        <v>34.127336666666658</v>
      </c>
      <c r="EB19">
        <v>999.9000000000002</v>
      </c>
      <c r="EC19">
        <v>0</v>
      </c>
      <c r="ED19">
        <v>0</v>
      </c>
      <c r="EE19">
        <v>10002.16666666667</v>
      </c>
      <c r="EF19">
        <v>0</v>
      </c>
      <c r="EG19">
        <v>519.51763333333326</v>
      </c>
      <c r="EH19">
        <v>-76.420056666666667</v>
      </c>
      <c r="EI19">
        <v>435.9117333333333</v>
      </c>
      <c r="EJ19">
        <v>510.91053333333338</v>
      </c>
      <c r="EK19">
        <v>8.2955416666666668</v>
      </c>
      <c r="EL19">
        <v>495.95850000000002</v>
      </c>
      <c r="EM19">
        <v>29.265473333333329</v>
      </c>
      <c r="EN19">
        <v>3.6756499999999992</v>
      </c>
      <c r="EO19">
        <v>2.8638643333333329</v>
      </c>
      <c r="EP19">
        <v>27.453699999999991</v>
      </c>
      <c r="EQ19">
        <v>23.256883333333331</v>
      </c>
      <c r="ER19">
        <v>1600.0119999999999</v>
      </c>
      <c r="ES19">
        <v>0.9940018666666669</v>
      </c>
      <c r="ET19">
        <v>5.9985046666666672E-3</v>
      </c>
      <c r="EU19">
        <v>0</v>
      </c>
      <c r="EV19">
        <v>764.39213333333339</v>
      </c>
      <c r="EW19">
        <v>5.0010700000000003</v>
      </c>
      <c r="EX19">
        <v>14810.353333333331</v>
      </c>
      <c r="EY19">
        <v>14578.61</v>
      </c>
      <c r="EZ19">
        <v>42.099799999999988</v>
      </c>
      <c r="FA19">
        <v>43.349799999999988</v>
      </c>
      <c r="FB19">
        <v>42.754133333333328</v>
      </c>
      <c r="FC19">
        <v>43.186999999999983</v>
      </c>
      <c r="FD19">
        <v>44</v>
      </c>
      <c r="FE19">
        <v>1585.442</v>
      </c>
      <c r="FF19">
        <v>9.5699999999999985</v>
      </c>
      <c r="FG19">
        <v>0</v>
      </c>
      <c r="FH19">
        <v>131</v>
      </c>
      <c r="FI19">
        <v>0</v>
      </c>
      <c r="FJ19">
        <v>764.64782352941165</v>
      </c>
      <c r="FK19">
        <v>5.3700980432082499</v>
      </c>
      <c r="FL19">
        <v>38.52941194436945</v>
      </c>
      <c r="FM19">
        <v>14813.17647058824</v>
      </c>
      <c r="FN19">
        <v>10</v>
      </c>
      <c r="FO19">
        <v>1783006811.5999999</v>
      </c>
      <c r="FP19" t="s">
        <v>483</v>
      </c>
      <c r="FQ19">
        <v>1783006804.0999999</v>
      </c>
      <c r="FR19">
        <v>1783006811.5999999</v>
      </c>
      <c r="FS19">
        <v>19</v>
      </c>
      <c r="FT19">
        <v>6.5000000000000002E-2</v>
      </c>
      <c r="FU19">
        <v>1E-3</v>
      </c>
      <c r="FV19">
        <v>-4.657</v>
      </c>
      <c r="FW19">
        <v>0.161</v>
      </c>
      <c r="FX19">
        <v>496</v>
      </c>
      <c r="FY19">
        <v>30</v>
      </c>
      <c r="FZ19">
        <v>0.15</v>
      </c>
      <c r="GA19">
        <v>0.04</v>
      </c>
      <c r="GB19">
        <v>496.06822580645172</v>
      </c>
      <c r="GC19">
        <v>-6.3526935483876814</v>
      </c>
      <c r="GD19">
        <v>0.64518873006163613</v>
      </c>
      <c r="GE19">
        <v>-1</v>
      </c>
      <c r="GF19">
        <v>763.84900000000005</v>
      </c>
      <c r="GG19">
        <v>9.0313216094261257</v>
      </c>
      <c r="GH19">
        <v>0.93741085850711814</v>
      </c>
      <c r="GI19">
        <v>1</v>
      </c>
      <c r="GJ19">
        <v>8.3210070731707315</v>
      </c>
      <c r="GK19">
        <v>-0.37876703832754149</v>
      </c>
      <c r="GL19">
        <v>6.5972109784987631E-2</v>
      </c>
      <c r="GM19">
        <v>1</v>
      </c>
      <c r="GN19">
        <v>2</v>
      </c>
      <c r="GO19">
        <v>2</v>
      </c>
      <c r="GP19" t="s">
        <v>410</v>
      </c>
      <c r="GQ19">
        <v>3.1323400000000001</v>
      </c>
      <c r="GR19">
        <v>2.7241</v>
      </c>
      <c r="GS19">
        <v>9.1252100000000003E-2</v>
      </c>
      <c r="GT19">
        <v>0.103438</v>
      </c>
      <c r="GU19">
        <v>0.15154200000000001</v>
      </c>
      <c r="GV19">
        <v>0.128661</v>
      </c>
      <c r="GW19">
        <v>22782.6</v>
      </c>
      <c r="GX19">
        <v>30238.5</v>
      </c>
      <c r="GY19">
        <v>27195.4</v>
      </c>
      <c r="GZ19">
        <v>34683.1</v>
      </c>
      <c r="HA19">
        <v>33796.300000000003</v>
      </c>
      <c r="HB19">
        <v>38557.300000000003</v>
      </c>
      <c r="HC19">
        <v>40163.199999999997</v>
      </c>
      <c r="HD19">
        <v>44331.3</v>
      </c>
      <c r="HE19">
        <v>1.9692000000000001</v>
      </c>
      <c r="HF19">
        <v>1.78</v>
      </c>
      <c r="HG19">
        <v>5.8740399999999998E-2</v>
      </c>
      <c r="HH19">
        <v>0</v>
      </c>
      <c r="HI19">
        <v>33.168399999999998</v>
      </c>
      <c r="HJ19">
        <v>999.9</v>
      </c>
      <c r="HK19">
        <v>63.1</v>
      </c>
      <c r="HL19">
        <v>36.9</v>
      </c>
      <c r="HM19">
        <v>40.432699999999997</v>
      </c>
      <c r="HN19">
        <v>59.697400000000002</v>
      </c>
      <c r="HO19">
        <v>6.4743599999999999</v>
      </c>
      <c r="HP19">
        <v>1</v>
      </c>
      <c r="HQ19">
        <v>0.54024399999999995</v>
      </c>
      <c r="HR19">
        <v>0</v>
      </c>
      <c r="HS19">
        <v>20.2834</v>
      </c>
      <c r="HT19">
        <v>5.2112999999999996</v>
      </c>
      <c r="HU19">
        <v>11.908099999999999</v>
      </c>
      <c r="HV19">
        <v>4.9832000000000001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1.86243</v>
      </c>
      <c r="IE19">
        <v>1.86188</v>
      </c>
      <c r="IF19">
        <v>1.86188</v>
      </c>
      <c r="IG19">
        <v>1.8626400000000001</v>
      </c>
      <c r="IH19">
        <v>1.8634999999999999</v>
      </c>
      <c r="II19">
        <v>1.86148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-4.3739999999999997</v>
      </c>
      <c r="IX19">
        <v>0.39750000000000002</v>
      </c>
      <c r="IY19">
        <v>-2.5642312025486511</v>
      </c>
      <c r="IZ19">
        <v>-4.7754461378838441E-3</v>
      </c>
      <c r="JA19">
        <v>1.175754608921022E-6</v>
      </c>
      <c r="JB19">
        <v>1.4193218893046591E-11</v>
      </c>
      <c r="JC19">
        <v>-0.38682935452012729</v>
      </c>
      <c r="JD19">
        <v>2.7492919904454862E-4</v>
      </c>
      <c r="JE19">
        <v>8.6739513355948885E-4</v>
      </c>
      <c r="JF19">
        <v>-8.2500691715147318E-6</v>
      </c>
      <c r="JG19">
        <v>38</v>
      </c>
      <c r="JH19">
        <v>1780</v>
      </c>
      <c r="JI19">
        <v>2</v>
      </c>
      <c r="JJ19">
        <v>37</v>
      </c>
      <c r="JK19">
        <v>0.7</v>
      </c>
      <c r="JL19">
        <v>0.6</v>
      </c>
      <c r="JM19">
        <v>1.25488</v>
      </c>
      <c r="JN19">
        <v>2.5354000000000001</v>
      </c>
      <c r="JO19">
        <v>1.50024</v>
      </c>
      <c r="JP19">
        <v>2.2656200000000002</v>
      </c>
      <c r="JQ19">
        <v>1.4477500000000001</v>
      </c>
      <c r="JR19">
        <v>2.3327599999999999</v>
      </c>
      <c r="JS19">
        <v>40.146000000000001</v>
      </c>
      <c r="JT19">
        <v>15.209</v>
      </c>
      <c r="JU19">
        <v>18</v>
      </c>
      <c r="JV19">
        <v>547.32399999999996</v>
      </c>
      <c r="JW19">
        <v>437.435</v>
      </c>
      <c r="JX19">
        <v>34.200299999999999</v>
      </c>
      <c r="JY19">
        <v>34.087299999999999</v>
      </c>
      <c r="JZ19">
        <v>29.9999</v>
      </c>
      <c r="KA19">
        <v>34.023099999999999</v>
      </c>
      <c r="KB19">
        <v>33.971800000000002</v>
      </c>
      <c r="KC19">
        <v>25.087</v>
      </c>
      <c r="KD19">
        <v>38.157499999999999</v>
      </c>
      <c r="KE19">
        <v>35.8688</v>
      </c>
      <c r="KF19">
        <v>-999.9</v>
      </c>
      <c r="KG19">
        <v>496.46600000000001</v>
      </c>
      <c r="KH19">
        <v>29.028700000000001</v>
      </c>
      <c r="KI19">
        <v>100.375</v>
      </c>
      <c r="KJ19">
        <v>99.416899999999998</v>
      </c>
    </row>
    <row r="20" spans="1:296" x14ac:dyDescent="0.3">
      <c r="A20">
        <v>4</v>
      </c>
      <c r="B20">
        <v>1783006977.0999999</v>
      </c>
      <c r="C20">
        <v>425</v>
      </c>
      <c r="D20" t="s">
        <v>484</v>
      </c>
      <c r="E20" t="s">
        <v>485</v>
      </c>
      <c r="F20">
        <v>15</v>
      </c>
      <c r="H20">
        <v>1783006969.099999</v>
      </c>
      <c r="I20">
        <f t="shared" si="0"/>
        <v>7.4037408088466336E-3</v>
      </c>
      <c r="J20">
        <f t="shared" si="1"/>
        <v>7.4037408088466332</v>
      </c>
      <c r="K20">
        <f t="shared" si="2"/>
        <v>58.83158090332563</v>
      </c>
      <c r="L20">
        <f t="shared" si="3"/>
        <v>419.8647096774194</v>
      </c>
      <c r="M20">
        <f t="shared" si="4"/>
        <v>185.61719836265496</v>
      </c>
      <c r="N20">
        <f t="shared" si="5"/>
        <v>18.173954137138068</v>
      </c>
      <c r="O20">
        <f t="shared" si="6"/>
        <v>41.109347866417536</v>
      </c>
      <c r="P20">
        <f t="shared" si="7"/>
        <v>0.44770253087409967</v>
      </c>
      <c r="Q20">
        <f t="shared" si="8"/>
        <v>2.891802042252904</v>
      </c>
      <c r="R20">
        <f t="shared" si="9"/>
        <v>0.4124556423319809</v>
      </c>
      <c r="S20">
        <f t="shared" si="10"/>
        <v>0.26071993728483023</v>
      </c>
      <c r="T20">
        <f t="shared" si="11"/>
        <v>224.00477908372693</v>
      </c>
      <c r="U20">
        <f t="shared" si="12"/>
        <v>34.22885606274081</v>
      </c>
      <c r="V20">
        <f t="shared" si="13"/>
        <v>34.009006451612912</v>
      </c>
      <c r="W20">
        <f t="shared" si="14"/>
        <v>5.3456948786511767</v>
      </c>
      <c r="X20">
        <f t="shared" si="15"/>
        <v>65.546306067960074</v>
      </c>
      <c r="Y20">
        <f t="shared" si="16"/>
        <v>3.669064299337204</v>
      </c>
      <c r="Z20">
        <f t="shared" si="17"/>
        <v>5.5976675413760537</v>
      </c>
      <c r="AA20">
        <f t="shared" si="18"/>
        <v>1.6766305793139726</v>
      </c>
      <c r="AB20">
        <f t="shared" si="19"/>
        <v>-326.50496967013652</v>
      </c>
      <c r="AC20">
        <f t="shared" si="20"/>
        <v>129.12727472567082</v>
      </c>
      <c r="AD20">
        <f t="shared" si="21"/>
        <v>10.369816165441028</v>
      </c>
      <c r="AE20">
        <f t="shared" si="22"/>
        <v>36.996900304702251</v>
      </c>
      <c r="AF20">
        <f t="shared" si="23"/>
        <v>58.83158090332563</v>
      </c>
      <c r="AG20">
        <f t="shared" si="24"/>
        <v>7.4037408088466332</v>
      </c>
      <c r="AH20">
        <f t="shared" si="25"/>
        <v>58.995830552851402</v>
      </c>
      <c r="AI20">
        <v>508.08247346376771</v>
      </c>
      <c r="AJ20">
        <v>435.43847272727248</v>
      </c>
      <c r="AK20">
        <v>-5.1379031124250393E-2</v>
      </c>
      <c r="AL20">
        <v>67.091035516346722</v>
      </c>
      <c r="AM20">
        <f t="shared" si="26"/>
        <v>7.3780311701018775</v>
      </c>
      <c r="AN20">
        <v>28.907403925769628</v>
      </c>
      <c r="AO20">
        <v>37.43114969696969</v>
      </c>
      <c r="AP20">
        <v>-1.7369788079639559E-4</v>
      </c>
      <c r="AQ20">
        <v>78.248470518173065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50430.126522792452</v>
      </c>
      <c r="AW20" t="s">
        <v>473</v>
      </c>
      <c r="AX20">
        <v>5096.09</v>
      </c>
      <c r="AY20">
        <v>604.17647058823525</v>
      </c>
      <c r="AZ20">
        <v>2450.66</v>
      </c>
      <c r="BA20">
        <f t="shared" si="30"/>
        <v>0.75346377278437837</v>
      </c>
      <c r="BB20">
        <v>-5.5970321802682754</v>
      </c>
      <c r="BC20" t="s">
        <v>486</v>
      </c>
      <c r="BD20">
        <v>5089.51</v>
      </c>
      <c r="BE20">
        <v>780.20699999999999</v>
      </c>
      <c r="BF20">
        <v>1140.23</v>
      </c>
      <c r="BG20">
        <f t="shared" si="31"/>
        <v>0.31574594599335226</v>
      </c>
      <c r="BH20">
        <v>0.5</v>
      </c>
      <c r="BI20">
        <f t="shared" si="32"/>
        <v>1176.2879900985381</v>
      </c>
      <c r="BJ20">
        <f t="shared" si="33"/>
        <v>58.83158090332563</v>
      </c>
      <c r="BK20">
        <f t="shared" si="34"/>
        <v>185.70408209714094</v>
      </c>
      <c r="BL20">
        <f t="shared" si="35"/>
        <v>5.4772822324060874E-2</v>
      </c>
      <c r="BM20">
        <f t="shared" si="36"/>
        <v>1.1492681301140997</v>
      </c>
      <c r="BN20">
        <f t="shared" si="37"/>
        <v>470.78579798695188</v>
      </c>
      <c r="BO20" t="s">
        <v>407</v>
      </c>
      <c r="BP20">
        <v>0</v>
      </c>
      <c r="BQ20">
        <f t="shared" si="38"/>
        <v>470.78579798695188</v>
      </c>
      <c r="BR20">
        <f t="shared" si="39"/>
        <v>0.58711330346776358</v>
      </c>
      <c r="BS20">
        <f t="shared" si="40"/>
        <v>0.53779388770176062</v>
      </c>
      <c r="BT20">
        <f t="shared" si="41"/>
        <v>0.66187538514700217</v>
      </c>
      <c r="BU20">
        <f t="shared" si="42"/>
        <v>0.67161762817804627</v>
      </c>
      <c r="BV20">
        <f t="shared" si="43"/>
        <v>0.70968951475969255</v>
      </c>
      <c r="BW20">
        <f t="shared" si="44"/>
        <v>0.32451096257041856</v>
      </c>
      <c r="BX20">
        <f t="shared" si="45"/>
        <v>0.67548903742958144</v>
      </c>
      <c r="DG20">
        <f t="shared" si="46"/>
        <v>1399.9938709677419</v>
      </c>
      <c r="DH20">
        <f t="shared" si="47"/>
        <v>1176.2879900985381</v>
      </c>
      <c r="DI20">
        <f t="shared" si="48"/>
        <v>0.84020938554926117</v>
      </c>
      <c r="DJ20">
        <f t="shared" si="49"/>
        <v>0.16000411411007409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1783006969.099999</v>
      </c>
      <c r="DQ20">
        <v>419.8647096774194</v>
      </c>
      <c r="DR20">
        <v>494.19700000000012</v>
      </c>
      <c r="DS20">
        <v>37.473487096774193</v>
      </c>
      <c r="DT20">
        <v>28.921458064516131</v>
      </c>
      <c r="DU20">
        <v>424.30635483870958</v>
      </c>
      <c r="DV20">
        <v>37.083054838709678</v>
      </c>
      <c r="DW20">
        <v>499.97235483870969</v>
      </c>
      <c r="DX20">
        <v>97.86373225806453</v>
      </c>
      <c r="DY20">
        <v>4.7206477419354832E-2</v>
      </c>
      <c r="DZ20">
        <v>34.837261290322587</v>
      </c>
      <c r="EA20">
        <v>34.009006451612912</v>
      </c>
      <c r="EB20">
        <v>999.90000000000032</v>
      </c>
      <c r="EC20">
        <v>0</v>
      </c>
      <c r="ED20">
        <v>0</v>
      </c>
      <c r="EE20">
        <v>10000</v>
      </c>
      <c r="EF20">
        <v>0</v>
      </c>
      <c r="EG20">
        <v>541.48409677419352</v>
      </c>
      <c r="EH20">
        <v>-74.332303225806456</v>
      </c>
      <c r="EI20">
        <v>436.21109677419349</v>
      </c>
      <c r="EJ20">
        <v>508.91561290322579</v>
      </c>
      <c r="EK20">
        <v>8.5520399999999999</v>
      </c>
      <c r="EL20">
        <v>494.19700000000012</v>
      </c>
      <c r="EM20">
        <v>28.921458064516131</v>
      </c>
      <c r="EN20">
        <v>3.6672958064516128</v>
      </c>
      <c r="EO20">
        <v>2.830362258064516</v>
      </c>
      <c r="EP20">
        <v>27.414816129032261</v>
      </c>
      <c r="EQ20">
        <v>23.062241935483868</v>
      </c>
      <c r="ER20">
        <v>1399.9938709677419</v>
      </c>
      <c r="ES20">
        <v>0.99299503225806451</v>
      </c>
      <c r="ET20">
        <v>7.0050145161290314E-3</v>
      </c>
      <c r="EU20">
        <v>0</v>
      </c>
      <c r="EV20">
        <v>779.93425806451614</v>
      </c>
      <c r="EW20">
        <v>5.0010700000000003</v>
      </c>
      <c r="EX20">
        <v>13409.94193548387</v>
      </c>
      <c r="EY20">
        <v>12745.42903225806</v>
      </c>
      <c r="EZ20">
        <v>41.878999999999998</v>
      </c>
      <c r="FA20">
        <v>43.375</v>
      </c>
      <c r="FB20">
        <v>42.699193548387072</v>
      </c>
      <c r="FC20">
        <v>43.25</v>
      </c>
      <c r="FD20">
        <v>43.891000000000012</v>
      </c>
      <c r="FE20">
        <v>1385.222580645162</v>
      </c>
      <c r="FF20">
        <v>9.7712903225806436</v>
      </c>
      <c r="FG20">
        <v>0</v>
      </c>
      <c r="FH20">
        <v>128.20000004768369</v>
      </c>
      <c r="FI20">
        <v>0</v>
      </c>
      <c r="FJ20">
        <v>780.20699999999999</v>
      </c>
      <c r="FK20">
        <v>-0.1936274355301035</v>
      </c>
      <c r="FL20">
        <v>20.367646470946791</v>
      </c>
      <c r="FM20">
        <v>13414.00588235294</v>
      </c>
      <c r="FN20">
        <v>10</v>
      </c>
      <c r="FO20">
        <v>1783006939.5999999</v>
      </c>
      <c r="FP20" t="s">
        <v>487</v>
      </c>
      <c r="FQ20">
        <v>1783006939.5999999</v>
      </c>
      <c r="FR20">
        <v>1783006937.5999999</v>
      </c>
      <c r="FS20">
        <v>20</v>
      </c>
      <c r="FT20">
        <v>-6.4000000000000001E-2</v>
      </c>
      <c r="FU20">
        <v>-5.0000000000000001E-3</v>
      </c>
      <c r="FV20">
        <v>-4.7160000000000002</v>
      </c>
      <c r="FW20">
        <v>0.14000000000000001</v>
      </c>
      <c r="FX20">
        <v>494</v>
      </c>
      <c r="FY20">
        <v>29</v>
      </c>
      <c r="FZ20">
        <v>0.12</v>
      </c>
      <c r="GA20">
        <v>0.05</v>
      </c>
      <c r="GB20">
        <v>494.21203333333341</v>
      </c>
      <c r="GC20">
        <v>-14.46847608453777</v>
      </c>
      <c r="GD20">
        <v>1.2563754344232489</v>
      </c>
      <c r="GE20">
        <v>-1</v>
      </c>
      <c r="GF20">
        <v>779.36229411764702</v>
      </c>
      <c r="GG20">
        <v>9.8235905375351606</v>
      </c>
      <c r="GH20">
        <v>1.088077758072671</v>
      </c>
      <c r="GI20">
        <v>1</v>
      </c>
      <c r="GJ20">
        <v>8.5750302500000011</v>
      </c>
      <c r="GK20">
        <v>-0.42833639774859622</v>
      </c>
      <c r="GL20">
        <v>4.7501435951321433E-2</v>
      </c>
      <c r="GM20">
        <v>1</v>
      </c>
      <c r="GN20">
        <v>2</v>
      </c>
      <c r="GO20">
        <v>2</v>
      </c>
      <c r="GP20" t="s">
        <v>410</v>
      </c>
      <c r="GQ20">
        <v>3.1323400000000001</v>
      </c>
      <c r="GR20">
        <v>2.7247300000000001</v>
      </c>
      <c r="GS20">
        <v>9.1257400000000002E-2</v>
      </c>
      <c r="GT20">
        <v>0.103101</v>
      </c>
      <c r="GU20">
        <v>0.15126300000000001</v>
      </c>
      <c r="GV20">
        <v>0.12768099999999999</v>
      </c>
      <c r="GW20">
        <v>22783.4</v>
      </c>
      <c r="GX20">
        <v>30252.3</v>
      </c>
      <c r="GY20">
        <v>27196.400000000001</v>
      </c>
      <c r="GZ20">
        <v>34685.699999999997</v>
      </c>
      <c r="HA20">
        <v>33808.800000000003</v>
      </c>
      <c r="HB20">
        <v>38602.199999999997</v>
      </c>
      <c r="HC20">
        <v>40165</v>
      </c>
      <c r="HD20">
        <v>44333.2</v>
      </c>
      <c r="HE20">
        <v>1.9690000000000001</v>
      </c>
      <c r="HF20">
        <v>1.7807999999999999</v>
      </c>
      <c r="HG20">
        <v>5.4240200000000002E-2</v>
      </c>
      <c r="HH20">
        <v>0</v>
      </c>
      <c r="HI20">
        <v>33.1387</v>
      </c>
      <c r="HJ20">
        <v>999.9</v>
      </c>
      <c r="HK20">
        <v>62.8</v>
      </c>
      <c r="HL20">
        <v>36.9</v>
      </c>
      <c r="HM20">
        <v>40.239899999999999</v>
      </c>
      <c r="HN20">
        <v>59.697400000000002</v>
      </c>
      <c r="HO20">
        <v>6.52644</v>
      </c>
      <c r="HP20">
        <v>1</v>
      </c>
      <c r="HQ20">
        <v>0.53756099999999996</v>
      </c>
      <c r="HR20">
        <v>0</v>
      </c>
      <c r="HS20">
        <v>20.2851</v>
      </c>
      <c r="HT20">
        <v>5.2100999999999997</v>
      </c>
      <c r="HU20">
        <v>11.908099999999999</v>
      </c>
      <c r="HV20">
        <v>4.9847999999999999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1.86243</v>
      </c>
      <c r="IE20">
        <v>1.86188</v>
      </c>
      <c r="IF20">
        <v>1.86191</v>
      </c>
      <c r="IG20">
        <v>1.8626100000000001</v>
      </c>
      <c r="IH20">
        <v>1.8634299999999999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-4.4390000000000001</v>
      </c>
      <c r="IX20">
        <v>0.3891</v>
      </c>
      <c r="IY20">
        <v>-2.6281796483363649</v>
      </c>
      <c r="IZ20">
        <v>-4.7754461378838441E-3</v>
      </c>
      <c r="JA20">
        <v>1.175754608921022E-6</v>
      </c>
      <c r="JB20">
        <v>1.4193218893046591E-11</v>
      </c>
      <c r="JC20">
        <v>-0.39185517991011881</v>
      </c>
      <c r="JD20">
        <v>2.7492919904454862E-4</v>
      </c>
      <c r="JE20">
        <v>8.6739513355948885E-4</v>
      </c>
      <c r="JF20">
        <v>-8.2500691715147318E-6</v>
      </c>
      <c r="JG20">
        <v>38</v>
      </c>
      <c r="JH20">
        <v>1780</v>
      </c>
      <c r="JI20">
        <v>2</v>
      </c>
      <c r="JJ20">
        <v>37</v>
      </c>
      <c r="JK20">
        <v>0.6</v>
      </c>
      <c r="JL20">
        <v>0.7</v>
      </c>
      <c r="JM20">
        <v>1.25</v>
      </c>
      <c r="JN20">
        <v>2.5293000000000001</v>
      </c>
      <c r="JO20">
        <v>1.50024</v>
      </c>
      <c r="JP20">
        <v>2.2668499999999998</v>
      </c>
      <c r="JQ20">
        <v>1.4477500000000001</v>
      </c>
      <c r="JR20">
        <v>2.34863</v>
      </c>
      <c r="JS20">
        <v>40.146000000000001</v>
      </c>
      <c r="JT20">
        <v>15.1915</v>
      </c>
      <c r="JU20">
        <v>18</v>
      </c>
      <c r="JV20">
        <v>546.88499999999999</v>
      </c>
      <c r="JW20">
        <v>437.69600000000003</v>
      </c>
      <c r="JX20">
        <v>34.2057</v>
      </c>
      <c r="JY20">
        <v>34.058999999999997</v>
      </c>
      <c r="JZ20">
        <v>30.0002</v>
      </c>
      <c r="KA20">
        <v>33.986400000000003</v>
      </c>
      <c r="KB20">
        <v>33.936</v>
      </c>
      <c r="KC20">
        <v>24.9984</v>
      </c>
      <c r="KD20">
        <v>37.985799999999998</v>
      </c>
      <c r="KE20">
        <v>31.7118</v>
      </c>
      <c r="KF20">
        <v>-999.9</v>
      </c>
      <c r="KG20">
        <v>494.47699999999998</v>
      </c>
      <c r="KH20">
        <v>28.689</v>
      </c>
      <c r="KI20">
        <v>100.379</v>
      </c>
      <c r="KJ20">
        <v>99.422600000000003</v>
      </c>
    </row>
    <row r="21" spans="1:296" x14ac:dyDescent="0.3">
      <c r="A21">
        <v>5</v>
      </c>
      <c r="B21">
        <v>1783007110.0999999</v>
      </c>
      <c r="C21">
        <v>558</v>
      </c>
      <c r="D21" t="s">
        <v>488</v>
      </c>
      <c r="E21" t="s">
        <v>489</v>
      </c>
      <c r="F21">
        <v>15</v>
      </c>
      <c r="H21">
        <v>1783007102.349999</v>
      </c>
      <c r="I21">
        <f t="shared" si="0"/>
        <v>7.4179869982334704E-3</v>
      </c>
      <c r="J21">
        <f t="shared" si="1"/>
        <v>7.4179869982334701</v>
      </c>
      <c r="K21">
        <f t="shared" si="2"/>
        <v>54.817590322255541</v>
      </c>
      <c r="L21">
        <f t="shared" si="3"/>
        <v>418.69040000000001</v>
      </c>
      <c r="M21">
        <f t="shared" si="4"/>
        <v>203.37004174406817</v>
      </c>
      <c r="N21">
        <f t="shared" si="5"/>
        <v>19.913058348838902</v>
      </c>
      <c r="O21">
        <f t="shared" si="6"/>
        <v>40.996236681659042</v>
      </c>
      <c r="P21">
        <f t="shared" si="7"/>
        <v>0.45613879944573271</v>
      </c>
      <c r="Q21">
        <f t="shared" si="8"/>
        <v>2.8930595038311302</v>
      </c>
      <c r="R21">
        <f t="shared" si="9"/>
        <v>0.4196235975097784</v>
      </c>
      <c r="S21">
        <f t="shared" si="10"/>
        <v>0.26530147413577537</v>
      </c>
      <c r="T21">
        <f t="shared" si="11"/>
        <v>176.13312784468343</v>
      </c>
      <c r="U21">
        <f t="shared" si="12"/>
        <v>33.83558467906429</v>
      </c>
      <c r="V21">
        <f t="shared" si="13"/>
        <v>33.849383333333343</v>
      </c>
      <c r="W21">
        <f t="shared" si="14"/>
        <v>5.2982847954649825</v>
      </c>
      <c r="X21">
        <f t="shared" si="15"/>
        <v>65.524825856745935</v>
      </c>
      <c r="Y21">
        <f t="shared" si="16"/>
        <v>3.6464251912150156</v>
      </c>
      <c r="Z21">
        <f t="shared" si="17"/>
        <v>5.5649521285062802</v>
      </c>
      <c r="AA21">
        <f t="shared" si="18"/>
        <v>1.6518596042499669</v>
      </c>
      <c r="AB21">
        <f t="shared" si="19"/>
        <v>-327.13322662209606</v>
      </c>
      <c r="AC21">
        <f t="shared" si="20"/>
        <v>137.59624466265294</v>
      </c>
      <c r="AD21">
        <f t="shared" si="21"/>
        <v>11.030841263314885</v>
      </c>
      <c r="AE21">
        <f t="shared" si="22"/>
        <v>-2.3730128514447983</v>
      </c>
      <c r="AF21">
        <f t="shared" si="23"/>
        <v>54.817590322255541</v>
      </c>
      <c r="AG21">
        <f t="shared" si="24"/>
        <v>7.4179869982334701</v>
      </c>
      <c r="AH21">
        <f t="shared" si="25"/>
        <v>52.569591227385402</v>
      </c>
      <c r="AI21">
        <v>501.36076472913697</v>
      </c>
      <c r="AJ21">
        <v>436.46923030303032</v>
      </c>
      <c r="AK21">
        <v>-1.0951576504097451E-2</v>
      </c>
      <c r="AL21">
        <v>67.035502875182772</v>
      </c>
      <c r="AM21">
        <f t="shared" si="26"/>
        <v>7.2432464395760352</v>
      </c>
      <c r="AN21">
        <v>28.753475122790629</v>
      </c>
      <c r="AO21">
        <v>37.178212727272722</v>
      </c>
      <c r="AP21">
        <v>-9.3320153520459991E-3</v>
      </c>
      <c r="AQ21">
        <v>78.068738071948459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50482.497675325969</v>
      </c>
      <c r="AW21" t="s">
        <v>473</v>
      </c>
      <c r="AX21">
        <v>5096.09</v>
      </c>
      <c r="AY21">
        <v>604.17647058823525</v>
      </c>
      <c r="AZ21">
        <v>2450.66</v>
      </c>
      <c r="BA21">
        <f t="shared" si="30"/>
        <v>0.75346377278437837</v>
      </c>
      <c r="BB21">
        <v>-5.5970321802682754</v>
      </c>
      <c r="BC21" t="s">
        <v>490</v>
      </c>
      <c r="BD21">
        <v>5092.05</v>
      </c>
      <c r="BE21">
        <v>802.60911764705884</v>
      </c>
      <c r="BF21">
        <v>1302.2</v>
      </c>
      <c r="BG21">
        <f t="shared" si="31"/>
        <v>0.38365142247960471</v>
      </c>
      <c r="BH21">
        <v>0.5</v>
      </c>
      <c r="BI21">
        <f t="shared" si="32"/>
        <v>924.3075597122712</v>
      </c>
      <c r="BJ21">
        <f t="shared" si="33"/>
        <v>54.817590322255541</v>
      </c>
      <c r="BK21">
        <f t="shared" si="34"/>
        <v>177.30595504613251</v>
      </c>
      <c r="BL21">
        <f t="shared" si="35"/>
        <v>6.5362034387482837E-2</v>
      </c>
      <c r="BM21">
        <f t="shared" si="36"/>
        <v>0.8819382583320533</v>
      </c>
      <c r="BN21">
        <f t="shared" si="37"/>
        <v>496.27215048234427</v>
      </c>
      <c r="BO21" t="s">
        <v>407</v>
      </c>
      <c r="BP21">
        <v>0</v>
      </c>
      <c r="BQ21">
        <f t="shared" si="38"/>
        <v>496.27215048234427</v>
      </c>
      <c r="BR21">
        <f t="shared" si="39"/>
        <v>0.61889713524624157</v>
      </c>
      <c r="BS21">
        <f t="shared" si="40"/>
        <v>0.61989529540633703</v>
      </c>
      <c r="BT21">
        <f t="shared" si="41"/>
        <v>0.587631569794829</v>
      </c>
      <c r="BU21">
        <f t="shared" si="42"/>
        <v>0.71572212296905546</v>
      </c>
      <c r="BV21">
        <f t="shared" si="43"/>
        <v>0.62197142931779381</v>
      </c>
      <c r="BW21">
        <f t="shared" si="44"/>
        <v>0.38329588408746662</v>
      </c>
      <c r="BX21">
        <f t="shared" si="45"/>
        <v>0.61670411591253338</v>
      </c>
      <c r="DG21">
        <f t="shared" si="46"/>
        <v>1100.0139999999999</v>
      </c>
      <c r="DH21">
        <f t="shared" si="47"/>
        <v>924.3075597122712</v>
      </c>
      <c r="DI21">
        <f t="shared" si="48"/>
        <v>0.84026890540690513</v>
      </c>
      <c r="DJ21">
        <f t="shared" si="49"/>
        <v>0.16011898743532668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1783007102.349999</v>
      </c>
      <c r="DQ21">
        <v>418.69040000000001</v>
      </c>
      <c r="DR21">
        <v>488.20083333333332</v>
      </c>
      <c r="DS21">
        <v>37.240569999999998</v>
      </c>
      <c r="DT21">
        <v>28.670200000000001</v>
      </c>
      <c r="DU21">
        <v>423.11383333333339</v>
      </c>
      <c r="DV21">
        <v>36.854376666666667</v>
      </c>
      <c r="DW21">
        <v>499.98333333333341</v>
      </c>
      <c r="DX21">
        <v>97.869156666666669</v>
      </c>
      <c r="DY21">
        <v>4.6240203333333327E-2</v>
      </c>
      <c r="DZ21">
        <v>34.731576666666669</v>
      </c>
      <c r="EA21">
        <v>33.849383333333343</v>
      </c>
      <c r="EB21">
        <v>999.9000000000002</v>
      </c>
      <c r="EC21">
        <v>0</v>
      </c>
      <c r="ED21">
        <v>0</v>
      </c>
      <c r="EE21">
        <v>10006.66666666667</v>
      </c>
      <c r="EF21">
        <v>0</v>
      </c>
      <c r="EG21">
        <v>556.3846666666667</v>
      </c>
      <c r="EH21">
        <v>-69.510459999999995</v>
      </c>
      <c r="EI21">
        <v>434.88573333333329</v>
      </c>
      <c r="EJ21">
        <v>502.61086666666671</v>
      </c>
      <c r="EK21">
        <v>8.5703520000000015</v>
      </c>
      <c r="EL21">
        <v>488.20083333333332</v>
      </c>
      <c r="EM21">
        <v>28.670200000000001</v>
      </c>
      <c r="EN21">
        <v>3.644702666666666</v>
      </c>
      <c r="EO21">
        <v>2.805928666666667</v>
      </c>
      <c r="EP21">
        <v>27.30929333333334</v>
      </c>
      <c r="EQ21">
        <v>22.918976666666659</v>
      </c>
      <c r="ER21">
        <v>1100.0139999999999</v>
      </c>
      <c r="ES21">
        <v>0.99099720000000013</v>
      </c>
      <c r="ET21">
        <v>9.0027086666666662E-3</v>
      </c>
      <c r="EU21">
        <v>0</v>
      </c>
      <c r="EV21">
        <v>802.07563333333349</v>
      </c>
      <c r="EW21">
        <v>5.0010700000000003</v>
      </c>
      <c r="EX21">
        <v>11155.679999999989</v>
      </c>
      <c r="EY21">
        <v>9996.8809999999994</v>
      </c>
      <c r="EZ21">
        <v>41.45379999999998</v>
      </c>
      <c r="FA21">
        <v>43.320399999999971</v>
      </c>
      <c r="FB21">
        <v>42.561999999999983</v>
      </c>
      <c r="FC21">
        <v>43.186999999999983</v>
      </c>
      <c r="FD21">
        <v>43.625</v>
      </c>
      <c r="FE21">
        <v>1085.154</v>
      </c>
      <c r="FF21">
        <v>9.860000000000003</v>
      </c>
      <c r="FG21">
        <v>0</v>
      </c>
      <c r="FH21">
        <v>132.60000014305109</v>
      </c>
      <c r="FI21">
        <v>0</v>
      </c>
      <c r="FJ21">
        <v>802.60911764705884</v>
      </c>
      <c r="FK21">
        <v>8.716176458343373</v>
      </c>
      <c r="FL21">
        <v>140.3431372619917</v>
      </c>
      <c r="FM21">
        <v>11162.52352941177</v>
      </c>
      <c r="FN21">
        <v>10</v>
      </c>
      <c r="FO21">
        <v>1783007082.0999999</v>
      </c>
      <c r="FP21" t="s">
        <v>491</v>
      </c>
      <c r="FQ21">
        <v>1783007078.5999999</v>
      </c>
      <c r="FR21">
        <v>1783007082.0999999</v>
      </c>
      <c r="FS21">
        <v>21</v>
      </c>
      <c r="FT21">
        <v>1.4E-2</v>
      </c>
      <c r="FU21">
        <v>3.0000000000000001E-3</v>
      </c>
      <c r="FV21">
        <v>-4.6769999999999996</v>
      </c>
      <c r="FW21">
        <v>0.13400000000000001</v>
      </c>
      <c r="FX21">
        <v>487</v>
      </c>
      <c r="FY21">
        <v>29</v>
      </c>
      <c r="FZ21">
        <v>0.09</v>
      </c>
      <c r="GA21">
        <v>0.03</v>
      </c>
      <c r="GB21">
        <v>488.23269999999991</v>
      </c>
      <c r="GC21">
        <v>-9.6406051167963245</v>
      </c>
      <c r="GD21">
        <v>1.019110499406223</v>
      </c>
      <c r="GE21">
        <v>-1</v>
      </c>
      <c r="GF21">
        <v>801.92417647058835</v>
      </c>
      <c r="GG21">
        <v>4.6677769355891758</v>
      </c>
      <c r="GH21">
        <v>0.72880548807371293</v>
      </c>
      <c r="GI21">
        <v>1</v>
      </c>
      <c r="GJ21">
        <v>8.5258512499999988</v>
      </c>
      <c r="GK21">
        <v>0.45113707317071411</v>
      </c>
      <c r="GL21">
        <v>0.38199343427071819</v>
      </c>
      <c r="GM21">
        <v>1</v>
      </c>
      <c r="GN21">
        <v>2</v>
      </c>
      <c r="GO21">
        <v>2</v>
      </c>
      <c r="GP21" t="s">
        <v>410</v>
      </c>
      <c r="GQ21">
        <v>3.1326999999999998</v>
      </c>
      <c r="GR21">
        <v>2.7215799999999999</v>
      </c>
      <c r="GS21">
        <v>9.1446E-2</v>
      </c>
      <c r="GT21">
        <v>0.10196</v>
      </c>
      <c r="GU21">
        <v>0.15059800000000001</v>
      </c>
      <c r="GV21">
        <v>0.12750700000000001</v>
      </c>
      <c r="GW21">
        <v>22779</v>
      </c>
      <c r="GX21">
        <v>30290.7</v>
      </c>
      <c r="GY21">
        <v>27196.799999999999</v>
      </c>
      <c r="GZ21">
        <v>34685.5</v>
      </c>
      <c r="HA21">
        <v>33835.5</v>
      </c>
      <c r="HB21">
        <v>38609.300000000003</v>
      </c>
      <c r="HC21">
        <v>40165.5</v>
      </c>
      <c r="HD21">
        <v>44332.6</v>
      </c>
      <c r="HE21">
        <v>1.9683999999999999</v>
      </c>
      <c r="HF21">
        <v>1.7807999999999999</v>
      </c>
      <c r="HG21">
        <v>4.3362400000000002E-2</v>
      </c>
      <c r="HH21">
        <v>0</v>
      </c>
      <c r="HI21">
        <v>33.1387</v>
      </c>
      <c r="HJ21">
        <v>999.9</v>
      </c>
      <c r="HK21">
        <v>62.4</v>
      </c>
      <c r="HL21">
        <v>36.9</v>
      </c>
      <c r="HM21">
        <v>39.976700000000001</v>
      </c>
      <c r="HN21">
        <v>58.307400000000001</v>
      </c>
      <c r="HO21">
        <v>6.0656999999999996</v>
      </c>
      <c r="HP21">
        <v>1</v>
      </c>
      <c r="HQ21">
        <v>0.53630100000000003</v>
      </c>
      <c r="HR21">
        <v>0</v>
      </c>
      <c r="HS21">
        <v>20.287099999999999</v>
      </c>
      <c r="HT21">
        <v>5.2088999999999999</v>
      </c>
      <c r="HU21">
        <v>11.908099999999999</v>
      </c>
      <c r="HV21">
        <v>4.9851999999999999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1.86243</v>
      </c>
      <c r="IE21">
        <v>1.86188</v>
      </c>
      <c r="IF21">
        <v>1.8619399999999999</v>
      </c>
      <c r="IG21">
        <v>1.8626100000000001</v>
      </c>
      <c r="IH21">
        <v>1.8633999999999999</v>
      </c>
      <c r="II21">
        <v>1.86148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-4.4290000000000003</v>
      </c>
      <c r="IX21">
        <v>0.38419999999999999</v>
      </c>
      <c r="IY21">
        <v>-2.6143753379737329</v>
      </c>
      <c r="IZ21">
        <v>-4.7754461378838441E-3</v>
      </c>
      <c r="JA21">
        <v>1.175754608921022E-6</v>
      </c>
      <c r="JB21">
        <v>1.4193218893046591E-11</v>
      </c>
      <c r="JC21">
        <v>-0.38909733007647818</v>
      </c>
      <c r="JD21">
        <v>2.7492919904454862E-4</v>
      </c>
      <c r="JE21">
        <v>8.6739513355948885E-4</v>
      </c>
      <c r="JF21">
        <v>-8.2500691715147318E-6</v>
      </c>
      <c r="JG21">
        <v>38</v>
      </c>
      <c r="JH21">
        <v>1780</v>
      </c>
      <c r="JI21">
        <v>2</v>
      </c>
      <c r="JJ21">
        <v>37</v>
      </c>
      <c r="JK21">
        <v>0.5</v>
      </c>
      <c r="JL21">
        <v>0.5</v>
      </c>
      <c r="JM21">
        <v>1.23291</v>
      </c>
      <c r="JN21">
        <v>2.5317400000000001</v>
      </c>
      <c r="JO21">
        <v>1.50024</v>
      </c>
      <c r="JP21">
        <v>2.2668499999999998</v>
      </c>
      <c r="JQ21">
        <v>1.4477500000000001</v>
      </c>
      <c r="JR21">
        <v>2.3046899999999999</v>
      </c>
      <c r="JS21">
        <v>40.120600000000003</v>
      </c>
      <c r="JT21">
        <v>15.173999999999999</v>
      </c>
      <c r="JU21">
        <v>18</v>
      </c>
      <c r="JV21">
        <v>546.33100000000002</v>
      </c>
      <c r="JW21">
        <v>437.541</v>
      </c>
      <c r="JX21">
        <v>34.216200000000001</v>
      </c>
      <c r="JY21">
        <v>34.043599999999998</v>
      </c>
      <c r="JZ21">
        <v>30.000299999999999</v>
      </c>
      <c r="KA21">
        <v>33.9681</v>
      </c>
      <c r="KB21">
        <v>33.914200000000001</v>
      </c>
      <c r="KC21">
        <v>24.656300000000002</v>
      </c>
      <c r="KD21">
        <v>37.907200000000003</v>
      </c>
      <c r="KE21">
        <v>27.375800000000002</v>
      </c>
      <c r="KF21">
        <v>-999.9</v>
      </c>
      <c r="KG21">
        <v>485.87599999999998</v>
      </c>
      <c r="KH21">
        <v>28.608699999999999</v>
      </c>
      <c r="KI21">
        <v>100.38</v>
      </c>
      <c r="KJ21">
        <v>99.421599999999998</v>
      </c>
    </row>
    <row r="22" spans="1:296" x14ac:dyDescent="0.3">
      <c r="A22">
        <v>6</v>
      </c>
      <c r="B22">
        <v>1783007232.5999999</v>
      </c>
      <c r="C22">
        <v>680.5</v>
      </c>
      <c r="D22" t="s">
        <v>492</v>
      </c>
      <c r="E22" t="s">
        <v>493</v>
      </c>
      <c r="F22">
        <v>15</v>
      </c>
      <c r="H22">
        <v>1783007224.849999</v>
      </c>
      <c r="I22">
        <f t="shared" si="0"/>
        <v>7.1443337092866668E-3</v>
      </c>
      <c r="J22">
        <f t="shared" si="1"/>
        <v>7.1443337092866672</v>
      </c>
      <c r="K22">
        <f t="shared" si="2"/>
        <v>49.194567577722189</v>
      </c>
      <c r="L22">
        <f t="shared" si="3"/>
        <v>420.10256666666669</v>
      </c>
      <c r="M22">
        <f t="shared" si="4"/>
        <v>216.98257767882461</v>
      </c>
      <c r="N22">
        <f t="shared" si="5"/>
        <v>21.247878493137552</v>
      </c>
      <c r="O22">
        <f t="shared" si="6"/>
        <v>41.138271960254578</v>
      </c>
      <c r="P22">
        <f t="shared" si="7"/>
        <v>0.43423913941661124</v>
      </c>
      <c r="Q22">
        <f t="shared" si="8"/>
        <v>2.8921239487959056</v>
      </c>
      <c r="R22">
        <f t="shared" si="9"/>
        <v>0.40099937665983348</v>
      </c>
      <c r="S22">
        <f t="shared" si="10"/>
        <v>0.25339870423594613</v>
      </c>
      <c r="T22">
        <f t="shared" si="11"/>
        <v>160.17653230674949</v>
      </c>
      <c r="U22">
        <f t="shared" si="12"/>
        <v>33.642603164606591</v>
      </c>
      <c r="V22">
        <f t="shared" si="13"/>
        <v>33.662326666666672</v>
      </c>
      <c r="W22">
        <f t="shared" si="14"/>
        <v>5.2431923118318959</v>
      </c>
      <c r="X22">
        <f t="shared" si="15"/>
        <v>64.887140656846427</v>
      </c>
      <c r="Y22">
        <f t="shared" si="16"/>
        <v>3.5771132842215407</v>
      </c>
      <c r="Z22">
        <f t="shared" si="17"/>
        <v>5.5128231079544561</v>
      </c>
      <c r="AA22">
        <f t="shared" si="18"/>
        <v>1.6660790276103552</v>
      </c>
      <c r="AB22">
        <f t="shared" si="19"/>
        <v>-315.06511657954201</v>
      </c>
      <c r="AC22">
        <f t="shared" si="20"/>
        <v>140.28606924442659</v>
      </c>
      <c r="AD22">
        <f t="shared" si="21"/>
        <v>11.230548209833586</v>
      </c>
      <c r="AE22">
        <f t="shared" si="22"/>
        <v>-3.3719668185323428</v>
      </c>
      <c r="AF22">
        <f t="shared" si="23"/>
        <v>49.194567577722189</v>
      </c>
      <c r="AG22">
        <f t="shared" si="24"/>
        <v>7.1443337092866672</v>
      </c>
      <c r="AH22">
        <f t="shared" si="25"/>
        <v>49.332456388877816</v>
      </c>
      <c r="AI22">
        <v>496.66272622061581</v>
      </c>
      <c r="AJ22">
        <v>436.00374545454542</v>
      </c>
      <c r="AK22">
        <v>-5.1072991664820717E-2</v>
      </c>
      <c r="AL22">
        <v>67.035502875182772</v>
      </c>
      <c r="AM22">
        <f t="shared" si="26"/>
        <v>7.317928655936857</v>
      </c>
      <c r="AN22">
        <v>28.23356273351903</v>
      </c>
      <c r="AO22">
        <v>36.751066666666659</v>
      </c>
      <c r="AP22">
        <v>-9.8345758642298942E-3</v>
      </c>
      <c r="AQ22">
        <v>78.068738071948459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50484.47729600047</v>
      </c>
      <c r="AW22" t="s">
        <v>473</v>
      </c>
      <c r="AX22">
        <v>5096.09</v>
      </c>
      <c r="AY22">
        <v>604.17647058823525</v>
      </c>
      <c r="AZ22">
        <v>2450.66</v>
      </c>
      <c r="BA22">
        <f t="shared" si="30"/>
        <v>0.75346377278437837</v>
      </c>
      <c r="BB22">
        <v>-5.5970321802682754</v>
      </c>
      <c r="BC22" t="s">
        <v>494</v>
      </c>
      <c r="BD22">
        <v>5094.26</v>
      </c>
      <c r="BE22">
        <v>813.3871764705882</v>
      </c>
      <c r="BF22">
        <v>1374.42</v>
      </c>
      <c r="BG22">
        <f t="shared" si="31"/>
        <v>0.40819605617599553</v>
      </c>
      <c r="BH22">
        <v>0.5</v>
      </c>
      <c r="BI22">
        <f t="shared" si="32"/>
        <v>840.29599510194271</v>
      </c>
      <c r="BJ22">
        <f t="shared" si="33"/>
        <v>49.194567577722189</v>
      </c>
      <c r="BK22">
        <f t="shared" si="34"/>
        <v>171.50275561054832</v>
      </c>
      <c r="BL22">
        <f t="shared" si="35"/>
        <v>6.5205118288518424E-2</v>
      </c>
      <c r="BM22">
        <f t="shared" si="36"/>
        <v>0.78305030485586624</v>
      </c>
      <c r="BN22">
        <f t="shared" si="37"/>
        <v>506.4132558825309</v>
      </c>
      <c r="BO22" t="s">
        <v>407</v>
      </c>
      <c r="BP22">
        <v>0</v>
      </c>
      <c r="BQ22">
        <f t="shared" si="38"/>
        <v>506.4132558825309</v>
      </c>
      <c r="BR22">
        <f t="shared" si="39"/>
        <v>0.63154402883941518</v>
      </c>
      <c r="BS22">
        <f t="shared" si="40"/>
        <v>0.64634615725230593</v>
      </c>
      <c r="BT22">
        <f t="shared" si="41"/>
        <v>0.55355113915262122</v>
      </c>
      <c r="BU22">
        <f t="shared" si="42"/>
        <v>0.7283836891922647</v>
      </c>
      <c r="BV22">
        <f t="shared" si="43"/>
        <v>0.58285924724324956</v>
      </c>
      <c r="BW22">
        <f t="shared" si="44"/>
        <v>0.40241384593938001</v>
      </c>
      <c r="BX22">
        <f t="shared" si="45"/>
        <v>0.59758615406061999</v>
      </c>
      <c r="DG22">
        <f t="shared" si="46"/>
        <v>999.99640000000011</v>
      </c>
      <c r="DH22">
        <f t="shared" si="47"/>
        <v>840.29599510194271</v>
      </c>
      <c r="DI22">
        <f t="shared" si="48"/>
        <v>0.84029902017841529</v>
      </c>
      <c r="DJ22">
        <f t="shared" si="49"/>
        <v>0.16017710894434167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1783007224.849999</v>
      </c>
      <c r="DQ22">
        <v>420.10256666666669</v>
      </c>
      <c r="DR22">
        <v>482.73746666666671</v>
      </c>
      <c r="DS22">
        <v>36.529353333333333</v>
      </c>
      <c r="DT22">
        <v>28.269353333333331</v>
      </c>
      <c r="DU22">
        <v>424.53120000000001</v>
      </c>
      <c r="DV22">
        <v>36.411353333333331</v>
      </c>
      <c r="DW22">
        <v>500.00163333333342</v>
      </c>
      <c r="DX22">
        <v>97.876926666666662</v>
      </c>
      <c r="DY22">
        <v>4.7426156666666677E-2</v>
      </c>
      <c r="DZ22">
        <v>34.562056666666663</v>
      </c>
      <c r="EA22">
        <v>33.662326666666672</v>
      </c>
      <c r="EB22">
        <v>999.9000000000002</v>
      </c>
      <c r="EC22">
        <v>0</v>
      </c>
      <c r="ED22">
        <v>0</v>
      </c>
      <c r="EE22">
        <v>10000.5</v>
      </c>
      <c r="EF22">
        <v>0</v>
      </c>
      <c r="EG22">
        <v>509.0668</v>
      </c>
      <c r="EH22">
        <v>-62.63507666666667</v>
      </c>
      <c r="EI22">
        <v>436.14563333333331</v>
      </c>
      <c r="EJ22">
        <v>496.78116666666659</v>
      </c>
      <c r="EK22">
        <v>8.5146276666666676</v>
      </c>
      <c r="EL22">
        <v>482.73746666666671</v>
      </c>
      <c r="EM22">
        <v>28.269353333333331</v>
      </c>
      <c r="EN22">
        <v>3.600302666666666</v>
      </c>
      <c r="EO22">
        <v>2.766918</v>
      </c>
      <c r="EP22">
        <v>27.10031</v>
      </c>
      <c r="EQ22">
        <v>22.68801666666667</v>
      </c>
      <c r="ER22">
        <v>999.99640000000011</v>
      </c>
      <c r="ES22">
        <v>0.98998496666666691</v>
      </c>
      <c r="ET22">
        <v>1.0014734666666671E-2</v>
      </c>
      <c r="EU22">
        <v>0</v>
      </c>
      <c r="EV22">
        <v>813.27839999999992</v>
      </c>
      <c r="EW22">
        <v>5.0010700000000003</v>
      </c>
      <c r="EX22">
        <v>10292.26</v>
      </c>
      <c r="EY22">
        <v>9080.1916666666675</v>
      </c>
      <c r="EZ22">
        <v>41.118699999999997</v>
      </c>
      <c r="FA22">
        <v>43.226899999999993</v>
      </c>
      <c r="FB22">
        <v>42.343499999999977</v>
      </c>
      <c r="FC22">
        <v>42.978999999999992</v>
      </c>
      <c r="FD22">
        <v>43.370800000000003</v>
      </c>
      <c r="FE22">
        <v>985.03100000000018</v>
      </c>
      <c r="FF22">
        <v>9.967333333333336</v>
      </c>
      <c r="FG22">
        <v>0</v>
      </c>
      <c r="FH22">
        <v>121.80000019073491</v>
      </c>
      <c r="FI22">
        <v>0</v>
      </c>
      <c r="FJ22">
        <v>813.3871764705882</v>
      </c>
      <c r="FK22">
        <v>0.39754906583578042</v>
      </c>
      <c r="FL22">
        <v>-25.07352981459443</v>
      </c>
      <c r="FM22">
        <v>10288.694117647059</v>
      </c>
      <c r="FN22">
        <v>10</v>
      </c>
      <c r="FO22">
        <v>1783007259.5999999</v>
      </c>
      <c r="FP22" t="s">
        <v>495</v>
      </c>
      <c r="FQ22">
        <v>1783007078.5999999</v>
      </c>
      <c r="FR22">
        <v>1783007259.5999999</v>
      </c>
      <c r="FS22">
        <v>22</v>
      </c>
      <c r="FT22">
        <v>1.4E-2</v>
      </c>
      <c r="FU22">
        <v>-2E-3</v>
      </c>
      <c r="FV22">
        <v>-4.6769999999999996</v>
      </c>
      <c r="FW22">
        <v>0.11799999999999999</v>
      </c>
      <c r="FX22">
        <v>487</v>
      </c>
      <c r="FY22">
        <v>28</v>
      </c>
      <c r="FZ22">
        <v>0.09</v>
      </c>
      <c r="GA22">
        <v>0.04</v>
      </c>
      <c r="GB22">
        <v>482.74996774193562</v>
      </c>
      <c r="GC22">
        <v>-0.77317741935546846</v>
      </c>
      <c r="GD22">
        <v>0.1502611670201412</v>
      </c>
      <c r="GE22">
        <v>-1</v>
      </c>
      <c r="GF22">
        <v>813.25191176470594</v>
      </c>
      <c r="GG22">
        <v>0.95692895697672453</v>
      </c>
      <c r="GH22">
        <v>0.23531722864440549</v>
      </c>
      <c r="GI22">
        <v>1</v>
      </c>
      <c r="GJ22">
        <v>8.4998341463414633</v>
      </c>
      <c r="GK22">
        <v>0.2551914982578366</v>
      </c>
      <c r="GL22">
        <v>2.9454865594636351E-2</v>
      </c>
      <c r="GM22">
        <v>1</v>
      </c>
      <c r="GN22">
        <v>2</v>
      </c>
      <c r="GO22">
        <v>2</v>
      </c>
      <c r="GP22" t="s">
        <v>410</v>
      </c>
      <c r="GQ22">
        <v>3.13246</v>
      </c>
      <c r="GR22">
        <v>2.7239599999999999</v>
      </c>
      <c r="GS22">
        <v>9.1435799999999998E-2</v>
      </c>
      <c r="GT22">
        <v>0.101409</v>
      </c>
      <c r="GU22">
        <v>0.149452</v>
      </c>
      <c r="GV22">
        <v>0.12581100000000001</v>
      </c>
      <c r="GW22">
        <v>22780</v>
      </c>
      <c r="GX22">
        <v>30310.400000000001</v>
      </c>
      <c r="GY22">
        <v>27197.5</v>
      </c>
      <c r="GZ22">
        <v>34686.699999999997</v>
      </c>
      <c r="HA22">
        <v>33882.1</v>
      </c>
      <c r="HB22">
        <v>38684.5</v>
      </c>
      <c r="HC22">
        <v>40166.5</v>
      </c>
      <c r="HD22">
        <v>44332.9</v>
      </c>
      <c r="HE22">
        <v>1.9690000000000001</v>
      </c>
      <c r="HF22">
        <v>1.7804</v>
      </c>
      <c r="HG22">
        <v>3.7044300000000002E-2</v>
      </c>
      <c r="HH22">
        <v>0</v>
      </c>
      <c r="HI22">
        <v>33.055300000000003</v>
      </c>
      <c r="HJ22">
        <v>999.9</v>
      </c>
      <c r="HK22">
        <v>62</v>
      </c>
      <c r="HL22">
        <v>36.9</v>
      </c>
      <c r="HM22">
        <v>39.718000000000004</v>
      </c>
      <c r="HN22">
        <v>59.607399999999998</v>
      </c>
      <c r="HO22">
        <v>6.4343000000000004</v>
      </c>
      <c r="HP22">
        <v>1</v>
      </c>
      <c r="HQ22">
        <v>0.53536600000000001</v>
      </c>
      <c r="HR22">
        <v>0</v>
      </c>
      <c r="HS22">
        <v>20.2879</v>
      </c>
      <c r="HT22">
        <v>5.2088999999999999</v>
      </c>
      <c r="HU22">
        <v>11.908099999999999</v>
      </c>
      <c r="HV22">
        <v>4.9847999999999999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1.8629500000000001</v>
      </c>
      <c r="ID22">
        <v>1.86246</v>
      </c>
      <c r="IE22">
        <v>1.86188</v>
      </c>
      <c r="IF22">
        <v>1.86188</v>
      </c>
      <c r="IG22">
        <v>1.8626100000000001</v>
      </c>
      <c r="IH22">
        <v>1.8634299999999999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-4.4290000000000003</v>
      </c>
      <c r="IX22">
        <v>0.11799999999999999</v>
      </c>
      <c r="IY22">
        <v>-2.6143753379737329</v>
      </c>
      <c r="IZ22">
        <v>-4.7754461378838441E-3</v>
      </c>
      <c r="JA22">
        <v>1.175754608921022E-6</v>
      </c>
      <c r="JB22">
        <v>1.4193218893046591E-11</v>
      </c>
      <c r="JC22">
        <v>-0.38909733007647818</v>
      </c>
      <c r="JD22">
        <v>2.7492919904454862E-4</v>
      </c>
      <c r="JE22">
        <v>8.6739513355948885E-4</v>
      </c>
      <c r="JF22">
        <v>-8.2500691715147318E-6</v>
      </c>
      <c r="JG22">
        <v>38</v>
      </c>
      <c r="JH22">
        <v>1780</v>
      </c>
      <c r="JI22">
        <v>2</v>
      </c>
      <c r="JJ22">
        <v>37</v>
      </c>
      <c r="JK22">
        <v>2.6</v>
      </c>
      <c r="JL22">
        <v>2.5</v>
      </c>
      <c r="JM22">
        <v>1.22559</v>
      </c>
      <c r="JN22">
        <v>2.5341800000000001</v>
      </c>
      <c r="JO22">
        <v>1.50024</v>
      </c>
      <c r="JP22">
        <v>2.2680699999999998</v>
      </c>
      <c r="JQ22">
        <v>1.4477500000000001</v>
      </c>
      <c r="JR22">
        <v>2.34619</v>
      </c>
      <c r="JS22">
        <v>40.146000000000001</v>
      </c>
      <c r="JT22">
        <v>15.156499999999999</v>
      </c>
      <c r="JU22">
        <v>18</v>
      </c>
      <c r="JV22">
        <v>546.55600000000004</v>
      </c>
      <c r="JW22">
        <v>437.18700000000001</v>
      </c>
      <c r="JX22">
        <v>34.173299999999998</v>
      </c>
      <c r="JY22">
        <v>34.031300000000002</v>
      </c>
      <c r="JZ22">
        <v>29.9999</v>
      </c>
      <c r="KA22">
        <v>33.946800000000003</v>
      </c>
      <c r="KB22">
        <v>33.899099999999997</v>
      </c>
      <c r="KC22">
        <v>24.508800000000001</v>
      </c>
      <c r="KD22">
        <v>38.241100000000003</v>
      </c>
      <c r="KE22">
        <v>21.651</v>
      </c>
      <c r="KF22">
        <v>-999.9</v>
      </c>
      <c r="KG22">
        <v>482.68799999999999</v>
      </c>
      <c r="KH22">
        <v>28.227699999999999</v>
      </c>
      <c r="KI22">
        <v>100.383</v>
      </c>
      <c r="KJ22">
        <v>99.423400000000001</v>
      </c>
    </row>
    <row r="23" spans="1:296" x14ac:dyDescent="0.3">
      <c r="A23">
        <v>7</v>
      </c>
      <c r="B23">
        <v>1783007383.5999999</v>
      </c>
      <c r="C23">
        <v>831.5</v>
      </c>
      <c r="D23" t="s">
        <v>496</v>
      </c>
      <c r="E23" t="s">
        <v>497</v>
      </c>
      <c r="F23">
        <v>15</v>
      </c>
      <c r="H23">
        <v>1783007375.599999</v>
      </c>
      <c r="I23">
        <f t="shared" si="0"/>
        <v>6.8057831503073526E-3</v>
      </c>
      <c r="J23">
        <f t="shared" si="1"/>
        <v>6.8057831503073523</v>
      </c>
      <c r="K23">
        <f t="shared" si="2"/>
        <v>41.232865582671366</v>
      </c>
      <c r="L23">
        <f t="shared" si="3"/>
        <v>420.0828064516129</v>
      </c>
      <c r="M23">
        <f t="shared" si="4"/>
        <v>246.8518680956262</v>
      </c>
      <c r="N23">
        <f t="shared" si="5"/>
        <v>24.177201810505682</v>
      </c>
      <c r="O23">
        <f t="shared" si="6"/>
        <v>41.143811740447582</v>
      </c>
      <c r="P23">
        <f t="shared" si="7"/>
        <v>0.43007107364448105</v>
      </c>
      <c r="Q23">
        <f t="shared" si="8"/>
        <v>2.891783703391106</v>
      </c>
      <c r="R23">
        <f t="shared" si="9"/>
        <v>0.39743714559686177</v>
      </c>
      <c r="S23">
        <f t="shared" si="10"/>
        <v>0.25112357169404331</v>
      </c>
      <c r="T23">
        <f t="shared" si="11"/>
        <v>128.27915439695633</v>
      </c>
      <c r="U23">
        <f t="shared" si="12"/>
        <v>33.031991689291985</v>
      </c>
      <c r="V23">
        <f t="shared" si="13"/>
        <v>33.098222580645157</v>
      </c>
      <c r="W23">
        <f t="shared" si="14"/>
        <v>5.0800563157930503</v>
      </c>
      <c r="X23">
        <f t="shared" si="15"/>
        <v>64.868751691038085</v>
      </c>
      <c r="Y23">
        <f t="shared" si="16"/>
        <v>3.4761367536672805</v>
      </c>
      <c r="Z23">
        <f t="shared" si="17"/>
        <v>5.3587230570177979</v>
      </c>
      <c r="AA23">
        <f t="shared" si="18"/>
        <v>1.6039195621257698</v>
      </c>
      <c r="AB23">
        <f t="shared" si="19"/>
        <v>-300.13503692855426</v>
      </c>
      <c r="AC23">
        <f t="shared" si="20"/>
        <v>148.7977480673471</v>
      </c>
      <c r="AD23">
        <f t="shared" si="21"/>
        <v>11.850996994292331</v>
      </c>
      <c r="AE23">
        <f t="shared" si="22"/>
        <v>-11.207137469958496</v>
      </c>
      <c r="AF23">
        <f t="shared" si="23"/>
        <v>41.232865582671366</v>
      </c>
      <c r="AG23">
        <f t="shared" si="24"/>
        <v>6.8057831503073523</v>
      </c>
      <c r="AH23">
        <f t="shared" si="25"/>
        <v>41.150562301386735</v>
      </c>
      <c r="AI23">
        <v>486.44165715968069</v>
      </c>
      <c r="AJ23">
        <v>435.63319393939378</v>
      </c>
      <c r="AK23">
        <v>5.2621918406242059E-3</v>
      </c>
      <c r="AL23">
        <v>67.094393317098707</v>
      </c>
      <c r="AM23">
        <f t="shared" si="26"/>
        <v>6.9898093929260066</v>
      </c>
      <c r="AN23">
        <v>27.60723518584372</v>
      </c>
      <c r="AO23">
        <v>35.701681212121208</v>
      </c>
      <c r="AP23">
        <v>-1.0659922259905719E-3</v>
      </c>
      <c r="AQ23">
        <v>78.252204768155934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50559.12351171027</v>
      </c>
      <c r="AW23" t="s">
        <v>473</v>
      </c>
      <c r="AX23">
        <v>5096.09</v>
      </c>
      <c r="AY23">
        <v>604.17647058823525</v>
      </c>
      <c r="AZ23">
        <v>2450.66</v>
      </c>
      <c r="BA23">
        <f t="shared" si="30"/>
        <v>0.75346377278437837</v>
      </c>
      <c r="BB23">
        <v>-5.5970321802682754</v>
      </c>
      <c r="BC23" t="s">
        <v>498</v>
      </c>
      <c r="BD23">
        <v>5097.8500000000004</v>
      </c>
      <c r="BE23">
        <v>831.398411764706</v>
      </c>
      <c r="BF23">
        <v>1520.96</v>
      </c>
      <c r="BG23">
        <f t="shared" si="31"/>
        <v>0.4533725990396158</v>
      </c>
      <c r="BH23">
        <v>0.5</v>
      </c>
      <c r="BI23">
        <f t="shared" si="32"/>
        <v>672.31542625281043</v>
      </c>
      <c r="BJ23">
        <f t="shared" si="33"/>
        <v>41.232865582671366</v>
      </c>
      <c r="BK23">
        <f t="shared" si="34"/>
        <v>152.4046960873319</v>
      </c>
      <c r="BL23">
        <f t="shared" si="35"/>
        <v>6.9654653060615954E-2</v>
      </c>
      <c r="BM23">
        <f t="shared" si="36"/>
        <v>0.61125867872922346</v>
      </c>
      <c r="BN23">
        <f t="shared" si="37"/>
        <v>525.05243004960926</v>
      </c>
      <c r="BO23" t="s">
        <v>407</v>
      </c>
      <c r="BP23">
        <v>0</v>
      </c>
      <c r="BQ23">
        <f t="shared" si="38"/>
        <v>525.05243004960926</v>
      </c>
      <c r="BR23">
        <f t="shared" si="39"/>
        <v>0.65478879783188959</v>
      </c>
      <c r="BS23">
        <f t="shared" si="40"/>
        <v>0.69239516702302328</v>
      </c>
      <c r="BT23">
        <f t="shared" si="41"/>
        <v>0.48280865452972416</v>
      </c>
      <c r="BU23">
        <f t="shared" si="42"/>
        <v>0.75215311588084155</v>
      </c>
      <c r="BV23">
        <f t="shared" si="43"/>
        <v>0.50349758619085805</v>
      </c>
      <c r="BW23">
        <f t="shared" si="44"/>
        <v>0.43726781270653897</v>
      </c>
      <c r="BX23">
        <f t="shared" si="45"/>
        <v>0.56273218729346097</v>
      </c>
      <c r="DG23">
        <f t="shared" si="46"/>
        <v>800.00658064516131</v>
      </c>
      <c r="DH23">
        <f t="shared" si="47"/>
        <v>672.31542625281043</v>
      </c>
      <c r="DI23">
        <f t="shared" si="48"/>
        <v>0.84038736995216334</v>
      </c>
      <c r="DJ23">
        <f t="shared" si="49"/>
        <v>0.16034762400767535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1783007375.599999</v>
      </c>
      <c r="DQ23">
        <v>420.0828064516129</v>
      </c>
      <c r="DR23">
        <v>472.99132258064509</v>
      </c>
      <c r="DS23">
        <v>35.491735483870961</v>
      </c>
      <c r="DT23">
        <v>27.614909677419359</v>
      </c>
      <c r="DU23">
        <v>424.51129032258058</v>
      </c>
      <c r="DV23">
        <v>35.38273548387096</v>
      </c>
      <c r="DW23">
        <v>500.01619354838709</v>
      </c>
      <c r="DX23">
        <v>97.894280645161288</v>
      </c>
      <c r="DY23">
        <v>4.7865780645161289E-2</v>
      </c>
      <c r="DZ23">
        <v>34.052654838709678</v>
      </c>
      <c r="EA23">
        <v>33.098222580645157</v>
      </c>
      <c r="EB23">
        <v>999.90000000000032</v>
      </c>
      <c r="EC23">
        <v>0</v>
      </c>
      <c r="ED23">
        <v>0</v>
      </c>
      <c r="EE23">
        <v>9996.7741935483864</v>
      </c>
      <c r="EF23">
        <v>0</v>
      </c>
      <c r="EG23">
        <v>391.43645161290323</v>
      </c>
      <c r="EH23">
        <v>-52.908635483870967</v>
      </c>
      <c r="EI23">
        <v>435.64458064516128</v>
      </c>
      <c r="EJ23">
        <v>486.42387096774189</v>
      </c>
      <c r="EK23">
        <v>8.1064203225806448</v>
      </c>
      <c r="EL23">
        <v>472.99132258064509</v>
      </c>
      <c r="EM23">
        <v>27.614909677419359</v>
      </c>
      <c r="EN23">
        <v>3.496914516129034</v>
      </c>
      <c r="EO23">
        <v>2.7033419354838721</v>
      </c>
      <c r="EP23">
        <v>26.604774193548391</v>
      </c>
      <c r="EQ23">
        <v>22.30544193548387</v>
      </c>
      <c r="ER23">
        <v>800.00658064516131</v>
      </c>
      <c r="ES23">
        <v>0.98701070967741922</v>
      </c>
      <c r="ET23">
        <v>1.298910322580645E-2</v>
      </c>
      <c r="EU23">
        <v>0</v>
      </c>
      <c r="EV23">
        <v>831.42503225806445</v>
      </c>
      <c r="EW23">
        <v>5.0010700000000003</v>
      </c>
      <c r="EX23">
        <v>8463.9064516129019</v>
      </c>
      <c r="EY23">
        <v>7246.7109677419348</v>
      </c>
      <c r="EZ23">
        <v>40.398999999999987</v>
      </c>
      <c r="FA23">
        <v>42.759967741935483</v>
      </c>
      <c r="FB23">
        <v>41.840451612903202</v>
      </c>
      <c r="FC23">
        <v>42.368903225806449</v>
      </c>
      <c r="FD23">
        <v>42.747774193548373</v>
      </c>
      <c r="FE23">
        <v>784.67935483870963</v>
      </c>
      <c r="FF23">
        <v>10.33</v>
      </c>
      <c r="FG23">
        <v>0</v>
      </c>
      <c r="FH23">
        <v>150.20000004768369</v>
      </c>
      <c r="FI23">
        <v>0</v>
      </c>
      <c r="FJ23">
        <v>831.398411764706</v>
      </c>
      <c r="FK23">
        <v>0.71151963436892662</v>
      </c>
      <c r="FL23">
        <v>-125.8308829700842</v>
      </c>
      <c r="FM23">
        <v>8457.7429411764715</v>
      </c>
      <c r="FN23">
        <v>10</v>
      </c>
      <c r="FO23">
        <v>1783007414.0999999</v>
      </c>
      <c r="FP23" t="s">
        <v>499</v>
      </c>
      <c r="FQ23">
        <v>1783007078.5999999</v>
      </c>
      <c r="FR23">
        <v>1783007414.0999999</v>
      </c>
      <c r="FS23">
        <v>23</v>
      </c>
      <c r="FT23">
        <v>1.4E-2</v>
      </c>
      <c r="FU23">
        <v>4.0000000000000001E-3</v>
      </c>
      <c r="FV23">
        <v>-4.6769999999999996</v>
      </c>
      <c r="FW23">
        <v>0.109</v>
      </c>
      <c r="FX23">
        <v>487</v>
      </c>
      <c r="FY23">
        <v>28</v>
      </c>
      <c r="FZ23">
        <v>0.09</v>
      </c>
      <c r="GA23">
        <v>0.04</v>
      </c>
      <c r="GB23">
        <v>472.99706451612889</v>
      </c>
      <c r="GC23">
        <v>-2.2258064516478E-2</v>
      </c>
      <c r="GD23">
        <v>8.2321139637501456E-2</v>
      </c>
      <c r="GE23">
        <v>-1</v>
      </c>
      <c r="GF23">
        <v>831.41499999999996</v>
      </c>
      <c r="GG23">
        <v>0.19621085007946421</v>
      </c>
      <c r="GH23">
        <v>0.21100641194605979</v>
      </c>
      <c r="GI23">
        <v>1</v>
      </c>
      <c r="GJ23">
        <v>8.1388012195121959</v>
      </c>
      <c r="GK23">
        <v>-0.48124369337979461</v>
      </c>
      <c r="GL23">
        <v>5.51692002353701E-2</v>
      </c>
      <c r="GM23">
        <v>1</v>
      </c>
      <c r="GN23">
        <v>2</v>
      </c>
      <c r="GO23">
        <v>2</v>
      </c>
      <c r="GP23" t="s">
        <v>410</v>
      </c>
      <c r="GQ23">
        <v>3.1324999999999998</v>
      </c>
      <c r="GR23">
        <v>2.7220499999999999</v>
      </c>
      <c r="GS23">
        <v>9.1465099999999994E-2</v>
      </c>
      <c r="GT23">
        <v>9.9909899999999996E-2</v>
      </c>
      <c r="GU23">
        <v>0.14668400000000001</v>
      </c>
      <c r="GV23">
        <v>0.124177</v>
      </c>
      <c r="GW23">
        <v>22782</v>
      </c>
      <c r="GX23">
        <v>30364.7</v>
      </c>
      <c r="GY23">
        <v>27200.5</v>
      </c>
      <c r="GZ23">
        <v>34690.300000000003</v>
      </c>
      <c r="HA23">
        <v>33995.4</v>
      </c>
      <c r="HB23">
        <v>38759.300000000003</v>
      </c>
      <c r="HC23">
        <v>40170.699999999997</v>
      </c>
      <c r="HD23">
        <v>44336.2</v>
      </c>
      <c r="HE23">
        <v>1.9688000000000001</v>
      </c>
      <c r="HF23">
        <v>1.7818000000000001</v>
      </c>
      <c r="HG23">
        <v>3.4809100000000003E-2</v>
      </c>
      <c r="HH23">
        <v>0</v>
      </c>
      <c r="HI23">
        <v>32.532600000000002</v>
      </c>
      <c r="HJ23">
        <v>999.9</v>
      </c>
      <c r="HK23">
        <v>61.5</v>
      </c>
      <c r="HL23">
        <v>36.9</v>
      </c>
      <c r="HM23">
        <v>39.3917</v>
      </c>
      <c r="HN23">
        <v>59.5974</v>
      </c>
      <c r="HO23">
        <v>6.6105799999999997</v>
      </c>
      <c r="HP23">
        <v>1</v>
      </c>
      <c r="HQ23">
        <v>0.52731700000000004</v>
      </c>
      <c r="HR23">
        <v>0</v>
      </c>
      <c r="HS23">
        <v>20.287600000000001</v>
      </c>
      <c r="HT23">
        <v>5.1969200000000004</v>
      </c>
      <c r="HU23">
        <v>11.904500000000001</v>
      </c>
      <c r="HV23">
        <v>4.9804000000000004</v>
      </c>
      <c r="HW23">
        <v>3.2677999999999998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1.8629500000000001</v>
      </c>
      <c r="ID23">
        <v>1.8623700000000001</v>
      </c>
      <c r="IE23">
        <v>1.86188</v>
      </c>
      <c r="IF23">
        <v>1.86191</v>
      </c>
      <c r="IG23">
        <v>1.8626400000000001</v>
      </c>
      <c r="IH23">
        <v>1.8633999999999999</v>
      </c>
      <c r="II23">
        <v>1.86145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-4.4290000000000003</v>
      </c>
      <c r="IX23">
        <v>0.109</v>
      </c>
      <c r="IY23">
        <v>-2.6143753379737329</v>
      </c>
      <c r="IZ23">
        <v>-4.7754461378838441E-3</v>
      </c>
      <c r="JA23">
        <v>1.175754608921022E-6</v>
      </c>
      <c r="JB23">
        <v>1.4193218893046591E-11</v>
      </c>
      <c r="JC23">
        <v>-0.39160001324326488</v>
      </c>
      <c r="JD23">
        <v>2.7492919904454862E-4</v>
      </c>
      <c r="JE23">
        <v>8.6739513355948885E-4</v>
      </c>
      <c r="JF23">
        <v>-8.2500691715147318E-6</v>
      </c>
      <c r="JG23">
        <v>38</v>
      </c>
      <c r="JH23">
        <v>1780</v>
      </c>
      <c r="JI23">
        <v>2</v>
      </c>
      <c r="JJ23">
        <v>37</v>
      </c>
      <c r="JK23">
        <v>5.0999999999999996</v>
      </c>
      <c r="JL23">
        <v>2.1</v>
      </c>
      <c r="JM23">
        <v>1.2048300000000001</v>
      </c>
      <c r="JN23">
        <v>2.52563</v>
      </c>
      <c r="JO23">
        <v>1.50024</v>
      </c>
      <c r="JP23">
        <v>2.2680699999999998</v>
      </c>
      <c r="JQ23">
        <v>1.4477500000000001</v>
      </c>
      <c r="JR23">
        <v>2.4523899999999998</v>
      </c>
      <c r="JS23">
        <v>40.146000000000001</v>
      </c>
      <c r="JT23">
        <v>15.156499999999999</v>
      </c>
      <c r="JU23">
        <v>18</v>
      </c>
      <c r="JV23">
        <v>545.81600000000003</v>
      </c>
      <c r="JW23">
        <v>437.565</v>
      </c>
      <c r="JX23">
        <v>33.843600000000002</v>
      </c>
      <c r="JY23">
        <v>33.9345</v>
      </c>
      <c r="JZ23">
        <v>29.9998</v>
      </c>
      <c r="KA23">
        <v>33.873800000000003</v>
      </c>
      <c r="KB23">
        <v>33.826500000000003</v>
      </c>
      <c r="KC23">
        <v>24.0977</v>
      </c>
      <c r="KD23">
        <v>38.353999999999999</v>
      </c>
      <c r="KE23">
        <v>15.9947</v>
      </c>
      <c r="KF23">
        <v>-999.9</v>
      </c>
      <c r="KG23">
        <v>473.00799999999998</v>
      </c>
      <c r="KH23">
        <v>27.701899999999998</v>
      </c>
      <c r="KI23">
        <v>100.393</v>
      </c>
      <c r="KJ23">
        <v>99.432100000000005</v>
      </c>
    </row>
    <row r="24" spans="1:296" x14ac:dyDescent="0.3">
      <c r="A24">
        <v>8</v>
      </c>
      <c r="B24">
        <v>1783007535.0999999</v>
      </c>
      <c r="C24">
        <v>983</v>
      </c>
      <c r="D24" t="s">
        <v>500</v>
      </c>
      <c r="E24" t="s">
        <v>501</v>
      </c>
      <c r="F24">
        <v>15</v>
      </c>
      <c r="H24">
        <v>1783007527.099999</v>
      </c>
      <c r="I24">
        <f t="shared" si="0"/>
        <v>6.5019702058207894E-3</v>
      </c>
      <c r="J24">
        <f t="shared" si="1"/>
        <v>6.5019702058207898</v>
      </c>
      <c r="K24">
        <f t="shared" si="2"/>
        <v>31.419005396857472</v>
      </c>
      <c r="L24">
        <f t="shared" si="3"/>
        <v>420.16932258064509</v>
      </c>
      <c r="M24">
        <f t="shared" si="4"/>
        <v>282.76121079140063</v>
      </c>
      <c r="N24">
        <f t="shared" si="5"/>
        <v>27.701483932019368</v>
      </c>
      <c r="O24">
        <f t="shared" si="6"/>
        <v>41.163049576774476</v>
      </c>
      <c r="P24">
        <f t="shared" si="7"/>
        <v>0.41939598170313691</v>
      </c>
      <c r="Q24">
        <f t="shared" si="8"/>
        <v>2.8912309285867464</v>
      </c>
      <c r="R24">
        <f t="shared" si="9"/>
        <v>0.38829378302919559</v>
      </c>
      <c r="S24">
        <f t="shared" si="10"/>
        <v>0.24528553409514958</v>
      </c>
      <c r="T24">
        <f t="shared" si="11"/>
        <v>96.348922029803731</v>
      </c>
      <c r="U24">
        <f t="shared" si="12"/>
        <v>32.509885262050204</v>
      </c>
      <c r="V24">
        <f t="shared" si="13"/>
        <v>32.720112903225797</v>
      </c>
      <c r="W24">
        <f t="shared" si="14"/>
        <v>4.9731973548530242</v>
      </c>
      <c r="X24">
        <f t="shared" si="15"/>
        <v>64.977405888714145</v>
      </c>
      <c r="Y24">
        <f t="shared" si="16"/>
        <v>3.4028578672011665</v>
      </c>
      <c r="Z24">
        <f t="shared" si="17"/>
        <v>5.2369863349564794</v>
      </c>
      <c r="AA24">
        <f t="shared" si="18"/>
        <v>1.5703394876518577</v>
      </c>
      <c r="AB24">
        <f t="shared" si="19"/>
        <v>-286.73688607669681</v>
      </c>
      <c r="AC24">
        <f t="shared" si="20"/>
        <v>143.56368146145351</v>
      </c>
      <c r="AD24">
        <f t="shared" si="21"/>
        <v>11.392187796216241</v>
      </c>
      <c r="AE24">
        <f t="shared" si="22"/>
        <v>-35.432094789223328</v>
      </c>
      <c r="AF24">
        <f t="shared" si="23"/>
        <v>31.419005396857472</v>
      </c>
      <c r="AG24">
        <f t="shared" si="24"/>
        <v>6.5019702058207898</v>
      </c>
      <c r="AH24">
        <f t="shared" si="25"/>
        <v>31.267907381765699</v>
      </c>
      <c r="AI24">
        <v>473.93746315705079</v>
      </c>
      <c r="AJ24">
        <v>435.36432121212113</v>
      </c>
      <c r="AK24">
        <v>3.3377169240108163E-5</v>
      </c>
      <c r="AL24">
        <v>67.09451550312555</v>
      </c>
      <c r="AM24">
        <f t="shared" si="26"/>
        <v>6.6194330019200978</v>
      </c>
      <c r="AN24">
        <v>27.18865800151606</v>
      </c>
      <c r="AO24">
        <v>34.900633333333317</v>
      </c>
      <c r="AP24">
        <v>-7.5614494927001303E-3</v>
      </c>
      <c r="AQ24">
        <v>78.252690010607992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50612.137716454199</v>
      </c>
      <c r="AW24" t="s">
        <v>473</v>
      </c>
      <c r="AX24">
        <v>5096.09</v>
      </c>
      <c r="AY24">
        <v>604.17647058823525</v>
      </c>
      <c r="AZ24">
        <v>2450.66</v>
      </c>
      <c r="BA24">
        <f t="shared" si="30"/>
        <v>0.75346377278437837</v>
      </c>
      <c r="BB24">
        <v>-5.5970321802682754</v>
      </c>
      <c r="BC24" t="s">
        <v>502</v>
      </c>
      <c r="BD24">
        <v>5101.2</v>
      </c>
      <c r="BE24">
        <v>848.32170588235294</v>
      </c>
      <c r="BF24">
        <v>1685.83</v>
      </c>
      <c r="BG24">
        <f t="shared" si="31"/>
        <v>0.49679285225535608</v>
      </c>
      <c r="BH24">
        <v>0.5</v>
      </c>
      <c r="BI24">
        <f t="shared" si="32"/>
        <v>504.31926103499779</v>
      </c>
      <c r="BJ24">
        <f t="shared" si="33"/>
        <v>31.419005396857472</v>
      </c>
      <c r="BK24">
        <f t="shared" si="34"/>
        <v>125.271102068445</v>
      </c>
      <c r="BL24">
        <f t="shared" si="35"/>
        <v>7.3398024698003703E-2</v>
      </c>
      <c r="BM24">
        <f t="shared" si="36"/>
        <v>0.45368156931600456</v>
      </c>
      <c r="BN24">
        <f t="shared" si="37"/>
        <v>543.39798107233514</v>
      </c>
      <c r="BO24" t="s">
        <v>407</v>
      </c>
      <c r="BP24">
        <v>0</v>
      </c>
      <c r="BQ24">
        <f t="shared" si="38"/>
        <v>543.39798107233514</v>
      </c>
      <c r="BR24">
        <f t="shared" si="39"/>
        <v>0.67766739168698198</v>
      </c>
      <c r="BS24">
        <f t="shared" si="40"/>
        <v>0.73309245560516401</v>
      </c>
      <c r="BT24">
        <f t="shared" si="41"/>
        <v>0.40100940112571237</v>
      </c>
      <c r="BU24">
        <f t="shared" si="42"/>
        <v>0.77428517667122931</v>
      </c>
      <c r="BV24">
        <f t="shared" si="43"/>
        <v>0.41420894788249329</v>
      </c>
      <c r="BW24">
        <f t="shared" si="44"/>
        <v>0.46958713605101621</v>
      </c>
      <c r="BX24">
        <f t="shared" si="45"/>
        <v>0.53041286394898379</v>
      </c>
      <c r="DG24">
        <f t="shared" si="46"/>
        <v>600.01864516129035</v>
      </c>
      <c r="DH24">
        <f t="shared" si="47"/>
        <v>504.31926103499779</v>
      </c>
      <c r="DI24">
        <f t="shared" si="48"/>
        <v>0.84050598277563904</v>
      </c>
      <c r="DJ24">
        <f t="shared" si="49"/>
        <v>0.16057654675698332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1783007527.099999</v>
      </c>
      <c r="DQ24">
        <v>420.16932258064509</v>
      </c>
      <c r="DR24">
        <v>461.15283870967738</v>
      </c>
      <c r="DS24">
        <v>34.734464516129023</v>
      </c>
      <c r="DT24">
        <v>27.20267096774193</v>
      </c>
      <c r="DU24">
        <v>424.59841935483871</v>
      </c>
      <c r="DV24">
        <v>34.638464516129027</v>
      </c>
      <c r="DW24">
        <v>499.97077419354838</v>
      </c>
      <c r="DX24">
        <v>97.921670967741946</v>
      </c>
      <c r="DY24">
        <v>4.6094322580645157E-2</v>
      </c>
      <c r="DZ24">
        <v>33.64114838709677</v>
      </c>
      <c r="EA24">
        <v>32.720112903225797</v>
      </c>
      <c r="EB24">
        <v>999.90000000000032</v>
      </c>
      <c r="EC24">
        <v>0</v>
      </c>
      <c r="ED24">
        <v>0</v>
      </c>
      <c r="EE24">
        <v>9990.8064516129034</v>
      </c>
      <c r="EF24">
        <v>0</v>
      </c>
      <c r="EG24">
        <v>285.64600000000007</v>
      </c>
      <c r="EH24">
        <v>-40.983325806451603</v>
      </c>
      <c r="EI24">
        <v>435.39</v>
      </c>
      <c r="EJ24">
        <v>474.04816129032258</v>
      </c>
      <c r="EK24">
        <v>7.7556506451612899</v>
      </c>
      <c r="EL24">
        <v>461.15283870967738</v>
      </c>
      <c r="EM24">
        <v>27.20267096774193</v>
      </c>
      <c r="EN24">
        <v>3.423176774193549</v>
      </c>
      <c r="EO24">
        <v>2.6637309677419352</v>
      </c>
      <c r="EP24">
        <v>26.24345806451613</v>
      </c>
      <c r="EQ24">
        <v>22.06307096774194</v>
      </c>
      <c r="ER24">
        <v>600.01864516129035</v>
      </c>
      <c r="ES24">
        <v>0.98299445161290333</v>
      </c>
      <c r="ET24">
        <v>1.7005232258064509E-2</v>
      </c>
      <c r="EU24">
        <v>0</v>
      </c>
      <c r="EV24">
        <v>848.32148387096765</v>
      </c>
      <c r="EW24">
        <v>5.0010700000000003</v>
      </c>
      <c r="EX24">
        <v>6539.7187096774214</v>
      </c>
      <c r="EY24">
        <v>5415.2706451612912</v>
      </c>
      <c r="EZ24">
        <v>39.723580645161277</v>
      </c>
      <c r="FA24">
        <v>42.243903225806442</v>
      </c>
      <c r="FB24">
        <v>41.261999999999993</v>
      </c>
      <c r="FC24">
        <v>41.985774193548373</v>
      </c>
      <c r="FD24">
        <v>42.118903225806442</v>
      </c>
      <c r="FE24">
        <v>584.89935483870966</v>
      </c>
      <c r="FF24">
        <v>10.119999999999999</v>
      </c>
      <c r="FG24">
        <v>0</v>
      </c>
      <c r="FH24">
        <v>150.80000019073489</v>
      </c>
      <c r="FI24">
        <v>0</v>
      </c>
      <c r="FJ24">
        <v>848.32170588235294</v>
      </c>
      <c r="FK24">
        <v>-5.9919117758505536</v>
      </c>
      <c r="FL24">
        <v>-293.57353139910208</v>
      </c>
      <c r="FM24">
        <v>6537.3994117647062</v>
      </c>
      <c r="FN24">
        <v>10</v>
      </c>
      <c r="FO24">
        <v>1783007561.0999999</v>
      </c>
      <c r="FP24" t="s">
        <v>503</v>
      </c>
      <c r="FQ24">
        <v>1783007078.5999999</v>
      </c>
      <c r="FR24">
        <v>1783007561.0999999</v>
      </c>
      <c r="FS24">
        <v>24</v>
      </c>
      <c r="FT24">
        <v>1.4E-2</v>
      </c>
      <c r="FU24">
        <v>5.0000000000000001E-3</v>
      </c>
      <c r="FV24">
        <v>-4.6769999999999996</v>
      </c>
      <c r="FW24">
        <v>9.6000000000000002E-2</v>
      </c>
      <c r="FX24">
        <v>487</v>
      </c>
      <c r="FY24">
        <v>27</v>
      </c>
      <c r="FZ24">
        <v>0.09</v>
      </c>
      <c r="GA24">
        <v>0.04</v>
      </c>
      <c r="GB24">
        <v>461.15283870967738</v>
      </c>
      <c r="GC24">
        <v>-0.8274677419360863</v>
      </c>
      <c r="GD24">
        <v>0.1163670768133175</v>
      </c>
      <c r="GE24">
        <v>-1</v>
      </c>
      <c r="GF24">
        <v>848.31435294117648</v>
      </c>
      <c r="GG24">
        <v>-0.51263560243673578</v>
      </c>
      <c r="GH24">
        <v>0.33435432793519099</v>
      </c>
      <c r="GI24">
        <v>1</v>
      </c>
      <c r="GJ24">
        <v>7.7610141463414628</v>
      </c>
      <c r="GK24">
        <v>-0.14014891986063141</v>
      </c>
      <c r="GL24">
        <v>1.468166335622134E-2</v>
      </c>
      <c r="GM24">
        <v>1</v>
      </c>
      <c r="GN24">
        <v>2</v>
      </c>
      <c r="GO24">
        <v>2</v>
      </c>
      <c r="GP24" t="s">
        <v>410</v>
      </c>
      <c r="GQ24">
        <v>3.1329899999999999</v>
      </c>
      <c r="GR24">
        <v>2.7219199999999999</v>
      </c>
      <c r="GS24">
        <v>9.1527800000000006E-2</v>
      </c>
      <c r="GT24">
        <v>9.8064299999999993E-2</v>
      </c>
      <c r="GU24">
        <v>0.144564</v>
      </c>
      <c r="GV24">
        <v>0.12266100000000001</v>
      </c>
      <c r="GW24">
        <v>22785.7</v>
      </c>
      <c r="GX24">
        <v>30436.1</v>
      </c>
      <c r="GY24">
        <v>27206.1</v>
      </c>
      <c r="GZ24">
        <v>34699.699999999997</v>
      </c>
      <c r="HA24">
        <v>34085.9</v>
      </c>
      <c r="HB24">
        <v>38833.699999999997</v>
      </c>
      <c r="HC24">
        <v>40179.1</v>
      </c>
      <c r="HD24">
        <v>44345.2</v>
      </c>
      <c r="HE24">
        <v>1.9722</v>
      </c>
      <c r="HF24">
        <v>1.782</v>
      </c>
      <c r="HG24">
        <v>3.44217E-2</v>
      </c>
      <c r="HH24">
        <v>0</v>
      </c>
      <c r="HI24">
        <v>32.134999999999998</v>
      </c>
      <c r="HJ24">
        <v>999.9</v>
      </c>
      <c r="HK24">
        <v>60.9</v>
      </c>
      <c r="HL24">
        <v>36.9</v>
      </c>
      <c r="HM24">
        <v>38.996699999999997</v>
      </c>
      <c r="HN24">
        <v>59.0075</v>
      </c>
      <c r="HO24">
        <v>6.3902200000000002</v>
      </c>
      <c r="HP24">
        <v>1</v>
      </c>
      <c r="HQ24">
        <v>0.51420699999999997</v>
      </c>
      <c r="HR24">
        <v>0</v>
      </c>
      <c r="HS24">
        <v>20.292100000000001</v>
      </c>
      <c r="HT24">
        <v>5.2100999999999997</v>
      </c>
      <c r="HU24">
        <v>11.908099999999999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1.8629500000000001</v>
      </c>
      <c r="ID24">
        <v>1.8623700000000001</v>
      </c>
      <c r="IE24">
        <v>1.86191</v>
      </c>
      <c r="IF24">
        <v>1.8619399999999999</v>
      </c>
      <c r="IG24">
        <v>1.8626100000000001</v>
      </c>
      <c r="IH24">
        <v>1.8633999999999999</v>
      </c>
      <c r="II24">
        <v>1.8614200000000001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-4.4279999999999999</v>
      </c>
      <c r="IX24">
        <v>9.6000000000000002E-2</v>
      </c>
      <c r="IY24">
        <v>-2.6143753379737329</v>
      </c>
      <c r="IZ24">
        <v>-4.7754461378838441E-3</v>
      </c>
      <c r="JA24">
        <v>1.175754608921022E-6</v>
      </c>
      <c r="JB24">
        <v>1.4193218893046591E-11</v>
      </c>
      <c r="JC24">
        <v>-0.38750772860373411</v>
      </c>
      <c r="JD24">
        <v>2.7492919904454862E-4</v>
      </c>
      <c r="JE24">
        <v>8.6739513355948885E-4</v>
      </c>
      <c r="JF24">
        <v>-8.2500691715147318E-6</v>
      </c>
      <c r="JG24">
        <v>38</v>
      </c>
      <c r="JH24">
        <v>1780</v>
      </c>
      <c r="JI24">
        <v>2</v>
      </c>
      <c r="JJ24">
        <v>37</v>
      </c>
      <c r="JK24">
        <v>7.6</v>
      </c>
      <c r="JL24">
        <v>2</v>
      </c>
      <c r="JM24">
        <v>1.18042</v>
      </c>
      <c r="JN24">
        <v>2.52441</v>
      </c>
      <c r="JO24">
        <v>1.50024</v>
      </c>
      <c r="JP24">
        <v>2.2692899999999998</v>
      </c>
      <c r="JQ24">
        <v>1.4477500000000001</v>
      </c>
      <c r="JR24">
        <v>2.4682599999999999</v>
      </c>
      <c r="JS24">
        <v>40.095300000000002</v>
      </c>
      <c r="JT24">
        <v>15.138999999999999</v>
      </c>
      <c r="JU24">
        <v>18</v>
      </c>
      <c r="JV24">
        <v>547.06600000000003</v>
      </c>
      <c r="JW24">
        <v>436.86099999999999</v>
      </c>
      <c r="JX24">
        <v>33.5306</v>
      </c>
      <c r="JY24">
        <v>33.780900000000003</v>
      </c>
      <c r="JZ24">
        <v>29.999600000000001</v>
      </c>
      <c r="KA24">
        <v>33.749600000000001</v>
      </c>
      <c r="KB24">
        <v>33.7059</v>
      </c>
      <c r="KC24">
        <v>23.5944</v>
      </c>
      <c r="KD24">
        <v>38.970300000000002</v>
      </c>
      <c r="KE24">
        <v>10.1379</v>
      </c>
      <c r="KF24">
        <v>-999.9</v>
      </c>
      <c r="KG24">
        <v>460.94200000000001</v>
      </c>
      <c r="KH24">
        <v>27.131399999999999</v>
      </c>
      <c r="KI24">
        <v>100.414</v>
      </c>
      <c r="KJ24">
        <v>99.455299999999994</v>
      </c>
    </row>
    <row r="25" spans="1:296" x14ac:dyDescent="0.3">
      <c r="A25">
        <v>9</v>
      </c>
      <c r="B25">
        <v>1783007708.0999999</v>
      </c>
      <c r="C25">
        <v>1156</v>
      </c>
      <c r="D25" t="s">
        <v>504</v>
      </c>
      <c r="E25" t="s">
        <v>505</v>
      </c>
      <c r="F25">
        <v>15</v>
      </c>
      <c r="H25">
        <v>1783007700.099999</v>
      </c>
      <c r="I25">
        <f t="shared" si="0"/>
        <v>6.3283629096728012E-3</v>
      </c>
      <c r="J25">
        <f t="shared" si="1"/>
        <v>6.3283629096728014</v>
      </c>
      <c r="K25">
        <f t="shared" si="2"/>
        <v>20.943056777544442</v>
      </c>
      <c r="L25">
        <f t="shared" si="3"/>
        <v>419.62387096774199</v>
      </c>
      <c r="M25">
        <f t="shared" si="4"/>
        <v>325.79007949256976</v>
      </c>
      <c r="N25">
        <f t="shared" si="5"/>
        <v>31.925729842790219</v>
      </c>
      <c r="O25">
        <f t="shared" si="6"/>
        <v>41.120952365916132</v>
      </c>
      <c r="P25">
        <f t="shared" si="7"/>
        <v>0.42495151891747734</v>
      </c>
      <c r="Q25">
        <f t="shared" si="8"/>
        <v>2.892100803135631</v>
      </c>
      <c r="R25">
        <f t="shared" si="9"/>
        <v>0.39306226679916129</v>
      </c>
      <c r="S25">
        <f t="shared" si="10"/>
        <v>0.24832932155291576</v>
      </c>
      <c r="T25">
        <f t="shared" si="11"/>
        <v>64.412902279478615</v>
      </c>
      <c r="U25">
        <f t="shared" si="12"/>
        <v>31.838652099643785</v>
      </c>
      <c r="V25">
        <f t="shared" si="13"/>
        <v>32.273919354838696</v>
      </c>
      <c r="W25">
        <f t="shared" si="14"/>
        <v>4.8496175854821182</v>
      </c>
      <c r="X25">
        <f t="shared" si="15"/>
        <v>65.644583085584557</v>
      </c>
      <c r="Y25">
        <f t="shared" si="16"/>
        <v>3.3377957397462699</v>
      </c>
      <c r="Z25">
        <f t="shared" si="17"/>
        <v>5.0846476325313796</v>
      </c>
      <c r="AA25">
        <f t="shared" si="18"/>
        <v>1.5118218457358483</v>
      </c>
      <c r="AB25">
        <f t="shared" si="19"/>
        <v>-279.08080431657055</v>
      </c>
      <c r="AC25">
        <f t="shared" si="20"/>
        <v>131.03326998562974</v>
      </c>
      <c r="AD25">
        <f t="shared" si="21"/>
        <v>10.345260251935857</v>
      </c>
      <c r="AE25">
        <f t="shared" si="22"/>
        <v>-73.289371799526322</v>
      </c>
      <c r="AF25">
        <f t="shared" si="23"/>
        <v>20.943056777544442</v>
      </c>
      <c r="AG25">
        <f t="shared" si="24"/>
        <v>6.3283629096728014</v>
      </c>
      <c r="AH25">
        <f t="shared" si="25"/>
        <v>20.183010154470043</v>
      </c>
      <c r="AI25">
        <v>459.61410630181831</v>
      </c>
      <c r="AJ25">
        <v>434.91933333333333</v>
      </c>
      <c r="AK25">
        <v>-3.7413561041985649E-2</v>
      </c>
      <c r="AL25">
        <v>67.035908976350868</v>
      </c>
      <c r="AM25">
        <f t="shared" si="26"/>
        <v>6.1833249599396245</v>
      </c>
      <c r="AN25">
        <v>26.766399323296291</v>
      </c>
      <c r="AO25">
        <v>33.952252727272707</v>
      </c>
      <c r="AP25">
        <v>-2.812546507249593E-3</v>
      </c>
      <c r="AQ25">
        <v>78.070095762897395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50724.071453934703</v>
      </c>
      <c r="AW25" t="s">
        <v>473</v>
      </c>
      <c r="AX25">
        <v>5096.09</v>
      </c>
      <c r="AY25">
        <v>604.17647058823525</v>
      </c>
      <c r="AZ25">
        <v>2450.66</v>
      </c>
      <c r="BA25">
        <f t="shared" si="30"/>
        <v>0.75346377278437837</v>
      </c>
      <c r="BB25">
        <v>-5.5970321802682754</v>
      </c>
      <c r="BC25" t="s">
        <v>506</v>
      </c>
      <c r="BD25">
        <v>5104.6000000000004</v>
      </c>
      <c r="BE25">
        <v>858.77805882352936</v>
      </c>
      <c r="BF25">
        <v>1839.02</v>
      </c>
      <c r="BG25">
        <f t="shared" si="31"/>
        <v>0.53302407868129253</v>
      </c>
      <c r="BH25">
        <v>0.5</v>
      </c>
      <c r="BI25">
        <f t="shared" si="32"/>
        <v>336.30272800039847</v>
      </c>
      <c r="BJ25">
        <f t="shared" si="33"/>
        <v>20.943056777544442</v>
      </c>
      <c r="BK25">
        <f t="shared" si="34"/>
        <v>89.628725875208858</v>
      </c>
      <c r="BL25">
        <f t="shared" si="35"/>
        <v>7.891725742344044E-2</v>
      </c>
      <c r="BM25">
        <f t="shared" si="36"/>
        <v>0.33259018390229572</v>
      </c>
      <c r="BN25">
        <f t="shared" si="37"/>
        <v>558.39091226546975</v>
      </c>
      <c r="BO25" t="s">
        <v>407</v>
      </c>
      <c r="BP25">
        <v>0</v>
      </c>
      <c r="BQ25">
        <f t="shared" si="38"/>
        <v>558.39091226546975</v>
      </c>
      <c r="BR25">
        <f t="shared" si="39"/>
        <v>0.69636495945369292</v>
      </c>
      <c r="BS25">
        <f t="shared" si="40"/>
        <v>0.7654378231487361</v>
      </c>
      <c r="BT25">
        <f t="shared" si="41"/>
        <v>0.32323098441156162</v>
      </c>
      <c r="BU25">
        <f t="shared" si="42"/>
        <v>0.79381874531376673</v>
      </c>
      <c r="BV25">
        <f t="shared" si="43"/>
        <v>0.33124584663630896</v>
      </c>
      <c r="BW25">
        <f t="shared" si="44"/>
        <v>0.49769963258731487</v>
      </c>
      <c r="BX25">
        <f t="shared" si="45"/>
        <v>0.50230036741268513</v>
      </c>
      <c r="DG25">
        <f t="shared" si="46"/>
        <v>400.00777419354841</v>
      </c>
      <c r="DH25">
        <f t="shared" si="47"/>
        <v>336.30272800039847</v>
      </c>
      <c r="DI25">
        <f t="shared" si="48"/>
        <v>0.84074047980296118</v>
      </c>
      <c r="DJ25">
        <f t="shared" si="49"/>
        <v>0.16102912601971503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1783007700.099999</v>
      </c>
      <c r="DQ25">
        <v>419.62387096774199</v>
      </c>
      <c r="DR25">
        <v>447.94570967741942</v>
      </c>
      <c r="DS25">
        <v>34.060951612903217</v>
      </c>
      <c r="DT25">
        <v>26.72466129032258</v>
      </c>
      <c r="DU25">
        <v>424.06345161290318</v>
      </c>
      <c r="DV25">
        <v>33.754696774193548</v>
      </c>
      <c r="DW25">
        <v>499.93764516129028</v>
      </c>
      <c r="DX25">
        <v>97.946870967741944</v>
      </c>
      <c r="DY25">
        <v>4.7917248387096767E-2</v>
      </c>
      <c r="DZ25">
        <v>33.114312903225802</v>
      </c>
      <c r="EA25">
        <v>32.273919354838696</v>
      </c>
      <c r="EB25">
        <v>999.90000000000032</v>
      </c>
      <c r="EC25">
        <v>0</v>
      </c>
      <c r="ED25">
        <v>0</v>
      </c>
      <c r="EE25">
        <v>9993.2258064516136</v>
      </c>
      <c r="EF25">
        <v>0</v>
      </c>
      <c r="EG25">
        <v>206.34693548387091</v>
      </c>
      <c r="EH25">
        <v>-28.321983870967749</v>
      </c>
      <c r="EI25">
        <v>434.42045161290309</v>
      </c>
      <c r="EJ25">
        <v>460.24574193548392</v>
      </c>
      <c r="EK25">
        <v>7.3362903225806457</v>
      </c>
      <c r="EL25">
        <v>447.94570967741942</v>
      </c>
      <c r="EM25">
        <v>26.72466129032258</v>
      </c>
      <c r="EN25">
        <v>3.3361651612903231</v>
      </c>
      <c r="EO25">
        <v>2.6175970967741931</v>
      </c>
      <c r="EP25">
        <v>25.8082064516129</v>
      </c>
      <c r="EQ25">
        <v>21.77676774193548</v>
      </c>
      <c r="ER25">
        <v>400.00777419354841</v>
      </c>
      <c r="ES25">
        <v>0.97500119354838677</v>
      </c>
      <c r="ET25">
        <v>2.4999151612903229E-2</v>
      </c>
      <c r="EU25">
        <v>0</v>
      </c>
      <c r="EV25">
        <v>858.85280645161276</v>
      </c>
      <c r="EW25">
        <v>5.0010700000000003</v>
      </c>
      <c r="EX25">
        <v>4362.0109677419341</v>
      </c>
      <c r="EY25">
        <v>3583.7461290322581</v>
      </c>
      <c r="EZ25">
        <v>38.906999999999996</v>
      </c>
      <c r="FA25">
        <v>41.703258064516113</v>
      </c>
      <c r="FB25">
        <v>40.633000000000003</v>
      </c>
      <c r="FC25">
        <v>41.531999999999996</v>
      </c>
      <c r="FD25">
        <v>41.434999999999981</v>
      </c>
      <c r="FE25">
        <v>385.13225806451612</v>
      </c>
      <c r="FF25">
        <v>9.8732258064516127</v>
      </c>
      <c r="FG25">
        <v>0</v>
      </c>
      <c r="FH25">
        <v>172.60000014305109</v>
      </c>
      <c r="FI25">
        <v>0</v>
      </c>
      <c r="FJ25">
        <v>858.77805882352936</v>
      </c>
      <c r="FK25">
        <v>-3.683333307789153</v>
      </c>
      <c r="FL25">
        <v>-235.6862731865057</v>
      </c>
      <c r="FM25">
        <v>4353.3417647058832</v>
      </c>
      <c r="FN25">
        <v>10</v>
      </c>
      <c r="FO25">
        <v>1783007679.5999999</v>
      </c>
      <c r="FP25" t="s">
        <v>507</v>
      </c>
      <c r="FQ25">
        <v>1783007667.5999999</v>
      </c>
      <c r="FR25">
        <v>1783007679.5999999</v>
      </c>
      <c r="FS25">
        <v>25</v>
      </c>
      <c r="FT25">
        <v>-1.2999999999999999E-2</v>
      </c>
      <c r="FU25">
        <v>8.9999999999999993E-3</v>
      </c>
      <c r="FV25">
        <v>-4.5460000000000003</v>
      </c>
      <c r="FW25">
        <v>9.2999999999999999E-2</v>
      </c>
      <c r="FX25">
        <v>448</v>
      </c>
      <c r="FY25">
        <v>27</v>
      </c>
      <c r="FZ25">
        <v>0.24</v>
      </c>
      <c r="GA25">
        <v>0.04</v>
      </c>
      <c r="GB25">
        <v>447.97853333333347</v>
      </c>
      <c r="GC25">
        <v>-5.6382113459401744</v>
      </c>
      <c r="GD25">
        <v>0.50358473191929054</v>
      </c>
      <c r="GE25">
        <v>-1</v>
      </c>
      <c r="GF25">
        <v>858.95717647058814</v>
      </c>
      <c r="GG25">
        <v>-1.9693812059624261</v>
      </c>
      <c r="GH25">
        <v>0.33955312073269162</v>
      </c>
      <c r="GI25">
        <v>1</v>
      </c>
      <c r="GJ25">
        <v>7.3376634999999997</v>
      </c>
      <c r="GK25">
        <v>-0.37668900562851992</v>
      </c>
      <c r="GL25">
        <v>0.2053515215618088</v>
      </c>
      <c r="GM25">
        <v>1</v>
      </c>
      <c r="GN25">
        <v>2</v>
      </c>
      <c r="GO25">
        <v>2</v>
      </c>
      <c r="GP25" t="s">
        <v>410</v>
      </c>
      <c r="GQ25">
        <v>3.1319699999999999</v>
      </c>
      <c r="GR25">
        <v>2.7238099999999998</v>
      </c>
      <c r="GS25">
        <v>9.1580499999999995E-2</v>
      </c>
      <c r="GT25">
        <v>9.5909800000000003E-2</v>
      </c>
      <c r="GU25">
        <v>0.14194799999999999</v>
      </c>
      <c r="GV25">
        <v>0.121423</v>
      </c>
      <c r="GW25">
        <v>22789.1</v>
      </c>
      <c r="GX25">
        <v>30517.3</v>
      </c>
      <c r="GY25">
        <v>27210.9</v>
      </c>
      <c r="GZ25">
        <v>34708.1</v>
      </c>
      <c r="HA25">
        <v>34195.300000000003</v>
      </c>
      <c r="HB25">
        <v>38895.4</v>
      </c>
      <c r="HC25">
        <v>40186.400000000001</v>
      </c>
      <c r="HD25">
        <v>44353.7</v>
      </c>
      <c r="HE25">
        <v>1.9712000000000001</v>
      </c>
      <c r="HF25">
        <v>1.7854000000000001</v>
      </c>
      <c r="HG25">
        <v>3.41237E-2</v>
      </c>
      <c r="HH25">
        <v>0</v>
      </c>
      <c r="HI25">
        <v>31.6904</v>
      </c>
      <c r="HJ25">
        <v>999.9</v>
      </c>
      <c r="HK25">
        <v>60.1</v>
      </c>
      <c r="HL25">
        <v>36.9</v>
      </c>
      <c r="HM25">
        <v>38.474299999999999</v>
      </c>
      <c r="HN25">
        <v>59.977499999999999</v>
      </c>
      <c r="HO25">
        <v>6.52644</v>
      </c>
      <c r="HP25">
        <v>1</v>
      </c>
      <c r="HQ25">
        <v>0.5</v>
      </c>
      <c r="HR25">
        <v>0</v>
      </c>
      <c r="HS25">
        <v>20.293800000000001</v>
      </c>
      <c r="HT25">
        <v>5.2112999999999996</v>
      </c>
      <c r="HU25">
        <v>11.908099999999999</v>
      </c>
      <c r="HV25">
        <v>4.9847999999999999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1.8629199999999999</v>
      </c>
      <c r="ID25">
        <v>1.8623400000000001</v>
      </c>
      <c r="IE25">
        <v>1.86188</v>
      </c>
      <c r="IF25">
        <v>1.86188</v>
      </c>
      <c r="IG25">
        <v>1.8625799999999999</v>
      </c>
      <c r="IH25">
        <v>1.8634299999999999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-4.4420000000000002</v>
      </c>
      <c r="IX25">
        <v>0.30299999999999999</v>
      </c>
      <c r="IY25">
        <v>-2.6271106765127641</v>
      </c>
      <c r="IZ25">
        <v>-4.7754461378838441E-3</v>
      </c>
      <c r="JA25">
        <v>1.175754608921022E-6</v>
      </c>
      <c r="JB25">
        <v>1.4193218893046591E-11</v>
      </c>
      <c r="JC25">
        <v>-0.37401182433872998</v>
      </c>
      <c r="JD25">
        <v>2.7492919904454862E-4</v>
      </c>
      <c r="JE25">
        <v>8.6739513355948885E-4</v>
      </c>
      <c r="JF25">
        <v>-8.2500691715147318E-6</v>
      </c>
      <c r="JG25">
        <v>38</v>
      </c>
      <c r="JH25">
        <v>1780</v>
      </c>
      <c r="JI25">
        <v>2</v>
      </c>
      <c r="JJ25">
        <v>37</v>
      </c>
      <c r="JK25">
        <v>0.7</v>
      </c>
      <c r="JL25">
        <v>0.5</v>
      </c>
      <c r="JM25">
        <v>1.1511199999999999</v>
      </c>
      <c r="JN25">
        <v>2.5329600000000001</v>
      </c>
      <c r="JO25">
        <v>1.50024</v>
      </c>
      <c r="JP25">
        <v>2.2705099999999998</v>
      </c>
      <c r="JQ25">
        <v>1.4477500000000001</v>
      </c>
      <c r="JR25">
        <v>2.36084</v>
      </c>
      <c r="JS25">
        <v>39.994199999999999</v>
      </c>
      <c r="JT25">
        <v>15.103899999999999</v>
      </c>
      <c r="JU25">
        <v>18</v>
      </c>
      <c r="JV25">
        <v>545.16700000000003</v>
      </c>
      <c r="JW25">
        <v>437.95800000000003</v>
      </c>
      <c r="JX25">
        <v>33.134799999999998</v>
      </c>
      <c r="JY25">
        <v>33.602200000000003</v>
      </c>
      <c r="JZ25">
        <v>29.9999</v>
      </c>
      <c r="KA25">
        <v>33.6021</v>
      </c>
      <c r="KB25">
        <v>33.556100000000001</v>
      </c>
      <c r="KC25">
        <v>23.016200000000001</v>
      </c>
      <c r="KD25">
        <v>38.604700000000001</v>
      </c>
      <c r="KE25">
        <v>4.8124900000000004</v>
      </c>
      <c r="KF25">
        <v>-999.9</v>
      </c>
      <c r="KG25">
        <v>447.01299999999998</v>
      </c>
      <c r="KH25">
        <v>26.766999999999999</v>
      </c>
      <c r="KI25">
        <v>100.432</v>
      </c>
      <c r="KJ25">
        <v>99.476600000000005</v>
      </c>
    </row>
    <row r="26" spans="1:296" x14ac:dyDescent="0.3">
      <c r="A26">
        <v>10</v>
      </c>
      <c r="B26">
        <v>1783007830.5999999</v>
      </c>
      <c r="C26">
        <v>1278.5</v>
      </c>
      <c r="D26" t="s">
        <v>508</v>
      </c>
      <c r="E26" t="s">
        <v>509</v>
      </c>
      <c r="F26">
        <v>15</v>
      </c>
      <c r="H26">
        <v>1783007822.849999</v>
      </c>
      <c r="I26">
        <f t="shared" si="0"/>
        <v>5.7476001698100344E-3</v>
      </c>
      <c r="J26">
        <f t="shared" si="1"/>
        <v>5.7476001698100347</v>
      </c>
      <c r="K26">
        <f t="shared" si="2"/>
        <v>14.328281757862614</v>
      </c>
      <c r="L26">
        <f t="shared" si="3"/>
        <v>420.04380000000009</v>
      </c>
      <c r="M26">
        <f t="shared" si="4"/>
        <v>346.04501536269618</v>
      </c>
      <c r="N26">
        <f t="shared" si="5"/>
        <v>33.913783657080948</v>
      </c>
      <c r="O26">
        <f t="shared" si="6"/>
        <v>41.165957974477521</v>
      </c>
      <c r="P26">
        <f t="shared" si="7"/>
        <v>0.37958050467767857</v>
      </c>
      <c r="Q26">
        <f t="shared" si="8"/>
        <v>2.8968266941266627</v>
      </c>
      <c r="R26">
        <f t="shared" si="9"/>
        <v>0.35395566626027902</v>
      </c>
      <c r="S26">
        <f t="shared" si="10"/>
        <v>0.22338026146666939</v>
      </c>
      <c r="T26">
        <f t="shared" si="11"/>
        <v>48.448058858410562</v>
      </c>
      <c r="U26">
        <f t="shared" si="12"/>
        <v>31.480709595270017</v>
      </c>
      <c r="V26">
        <f t="shared" si="13"/>
        <v>31.91739333333333</v>
      </c>
      <c r="W26">
        <f t="shared" si="14"/>
        <v>4.7528023086598079</v>
      </c>
      <c r="X26">
        <f t="shared" si="15"/>
        <v>64.953696191909742</v>
      </c>
      <c r="Y26">
        <f t="shared" si="16"/>
        <v>3.2261771777810067</v>
      </c>
      <c r="Z26">
        <f t="shared" si="17"/>
        <v>4.966887747618034</v>
      </c>
      <c r="AA26">
        <f t="shared" si="18"/>
        <v>1.5266251308788013</v>
      </c>
      <c r="AB26">
        <f t="shared" si="19"/>
        <v>-253.4691674886225</v>
      </c>
      <c r="AC26">
        <f t="shared" si="20"/>
        <v>121.84257228392467</v>
      </c>
      <c r="AD26">
        <f t="shared" si="21"/>
        <v>9.5675512175530031</v>
      </c>
      <c r="AE26">
        <f t="shared" si="22"/>
        <v>-73.610985128734271</v>
      </c>
      <c r="AF26">
        <f t="shared" si="23"/>
        <v>14.328281757862614</v>
      </c>
      <c r="AG26">
        <f t="shared" si="24"/>
        <v>5.7476001698100347</v>
      </c>
      <c r="AH26">
        <f t="shared" si="25"/>
        <v>14.255692728332543</v>
      </c>
      <c r="AI26">
        <v>451.94110770280162</v>
      </c>
      <c r="AJ26">
        <v>434.4063212121211</v>
      </c>
      <c r="AK26">
        <v>-6.3243930768398003E-3</v>
      </c>
      <c r="AL26">
        <v>67.035908976350868</v>
      </c>
      <c r="AM26">
        <f t="shared" si="26"/>
        <v>5.8575343971572327</v>
      </c>
      <c r="AN26">
        <v>26.23812519373222</v>
      </c>
      <c r="AO26">
        <v>33.076343636363617</v>
      </c>
      <c r="AP26">
        <v>-6.9618532665131801E-3</v>
      </c>
      <c r="AQ26">
        <v>78.070095762897395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50925.704232736018</v>
      </c>
      <c r="AW26" t="s">
        <v>473</v>
      </c>
      <c r="AX26">
        <v>5096.09</v>
      </c>
      <c r="AY26">
        <v>604.17647058823525</v>
      </c>
      <c r="AZ26">
        <v>2450.66</v>
      </c>
      <c r="BA26">
        <f t="shared" si="30"/>
        <v>0.75346377278437837</v>
      </c>
      <c r="BB26">
        <v>-5.5970321802682754</v>
      </c>
      <c r="BC26" t="s">
        <v>510</v>
      </c>
      <c r="BD26">
        <v>5106.16</v>
      </c>
      <c r="BE26">
        <v>859.77241176470591</v>
      </c>
      <c r="BF26">
        <v>1894.27</v>
      </c>
      <c r="BG26">
        <f t="shared" si="31"/>
        <v>0.54611939598647186</v>
      </c>
      <c r="BH26">
        <v>0.5</v>
      </c>
      <c r="BI26">
        <f t="shared" si="32"/>
        <v>252.31657055876187</v>
      </c>
      <c r="BJ26">
        <f t="shared" si="33"/>
        <v>14.328281757862614</v>
      </c>
      <c r="BK26">
        <f t="shared" si="34"/>
        <v>68.897486555464525</v>
      </c>
      <c r="BL26">
        <f t="shared" si="35"/>
        <v>7.8969502058488447E-2</v>
      </c>
      <c r="BM26">
        <f t="shared" si="36"/>
        <v>0.29372264777460438</v>
      </c>
      <c r="BN26">
        <f t="shared" si="37"/>
        <v>563.38026165581255</v>
      </c>
      <c r="BO26" t="s">
        <v>407</v>
      </c>
      <c r="BP26">
        <v>0</v>
      </c>
      <c r="BQ26">
        <f t="shared" si="38"/>
        <v>563.38026165581255</v>
      </c>
      <c r="BR26">
        <f t="shared" si="39"/>
        <v>0.70258713823488073</v>
      </c>
      <c r="BS26">
        <f t="shared" si="40"/>
        <v>0.77729774182672229</v>
      </c>
      <c r="BT26">
        <f t="shared" si="41"/>
        <v>0.29481056183443738</v>
      </c>
      <c r="BU26">
        <f t="shared" si="42"/>
        <v>0.80187797601541877</v>
      </c>
      <c r="BV26">
        <f t="shared" si="43"/>
        <v>0.30132410668036086</v>
      </c>
      <c r="BW26">
        <f t="shared" si="44"/>
        <v>0.50933735391204338</v>
      </c>
      <c r="BX26">
        <f t="shared" si="45"/>
        <v>0.49066264608795662</v>
      </c>
      <c r="DG26">
        <f t="shared" si="46"/>
        <v>300.02936666666659</v>
      </c>
      <c r="DH26">
        <f t="shared" si="47"/>
        <v>252.31657055876187</v>
      </c>
      <c r="DI26">
        <f t="shared" si="48"/>
        <v>0.84097291329180535</v>
      </c>
      <c r="DJ26">
        <f t="shared" si="49"/>
        <v>0.16147772265318441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1783007822.849999</v>
      </c>
      <c r="DQ26">
        <v>420.04380000000009</v>
      </c>
      <c r="DR26">
        <v>440.13423333333333</v>
      </c>
      <c r="DS26">
        <v>32.918843333333342</v>
      </c>
      <c r="DT26">
        <v>26.248966666666661</v>
      </c>
      <c r="DU26">
        <v>424.48513333333341</v>
      </c>
      <c r="DV26">
        <v>32.840843333333332</v>
      </c>
      <c r="DW26">
        <v>500.01486666666659</v>
      </c>
      <c r="DX26">
        <v>97.956940000000003</v>
      </c>
      <c r="DY26">
        <v>4.7025239999999989E-2</v>
      </c>
      <c r="DZ26">
        <v>32.697566666666667</v>
      </c>
      <c r="EA26">
        <v>31.91739333333333</v>
      </c>
      <c r="EB26">
        <v>999.9000000000002</v>
      </c>
      <c r="EC26">
        <v>0</v>
      </c>
      <c r="ED26">
        <v>0</v>
      </c>
      <c r="EE26">
        <v>10019.33333333333</v>
      </c>
      <c r="EF26">
        <v>0</v>
      </c>
      <c r="EG26">
        <v>178.33573333333339</v>
      </c>
      <c r="EH26">
        <v>-20.090493333333331</v>
      </c>
      <c r="EI26">
        <v>434.43180000000001</v>
      </c>
      <c r="EJ26">
        <v>451.99876666666671</v>
      </c>
      <c r="EK26">
        <v>6.8701870000000014</v>
      </c>
      <c r="EL26">
        <v>440.13423333333333</v>
      </c>
      <c r="EM26">
        <v>26.248966666666661</v>
      </c>
      <c r="EN26">
        <v>3.244251666666667</v>
      </c>
      <c r="EO26">
        <v>2.5712686666666671</v>
      </c>
      <c r="EP26">
        <v>25.337636666666661</v>
      </c>
      <c r="EQ26">
        <v>21.484783333333329</v>
      </c>
      <c r="ER26">
        <v>300.02936666666659</v>
      </c>
      <c r="ES26">
        <v>0.96701029999999999</v>
      </c>
      <c r="ET26">
        <v>3.2989463333333323E-2</v>
      </c>
      <c r="EU26">
        <v>0</v>
      </c>
      <c r="EV26">
        <v>859.92723333333322</v>
      </c>
      <c r="EW26">
        <v>5.0010700000000003</v>
      </c>
      <c r="EX26">
        <v>3315.557666666667</v>
      </c>
      <c r="EY26">
        <v>2668.304000000001</v>
      </c>
      <c r="EZ26">
        <v>38.466399999999993</v>
      </c>
      <c r="FA26">
        <v>41.224799999999981</v>
      </c>
      <c r="FB26">
        <v>40.141533333333328</v>
      </c>
      <c r="FC26">
        <v>41.186999999999983</v>
      </c>
      <c r="FD26">
        <v>40.936999999999983</v>
      </c>
      <c r="FE26">
        <v>285.2956666666667</v>
      </c>
      <c r="FF26">
        <v>9.73</v>
      </c>
      <c r="FG26">
        <v>0</v>
      </c>
      <c r="FH26">
        <v>121.6000001430511</v>
      </c>
      <c r="FI26">
        <v>0</v>
      </c>
      <c r="FJ26">
        <v>859.77241176470591</v>
      </c>
      <c r="FK26">
        <v>-1.6404411120731019</v>
      </c>
      <c r="FL26">
        <v>-26.580883231024139</v>
      </c>
      <c r="FM26">
        <v>3316.805294117647</v>
      </c>
      <c r="FN26">
        <v>10</v>
      </c>
      <c r="FO26">
        <v>1783007859.5999999</v>
      </c>
      <c r="FP26" t="s">
        <v>511</v>
      </c>
      <c r="FQ26">
        <v>1783007667.5999999</v>
      </c>
      <c r="FR26">
        <v>1783007859.5999999</v>
      </c>
      <c r="FS26">
        <v>26</v>
      </c>
      <c r="FT26">
        <v>-1.2999999999999999E-2</v>
      </c>
      <c r="FU26">
        <v>1E-3</v>
      </c>
      <c r="FV26">
        <v>-4.5460000000000003</v>
      </c>
      <c r="FW26">
        <v>7.8E-2</v>
      </c>
      <c r="FX26">
        <v>448</v>
      </c>
      <c r="FY26">
        <v>26</v>
      </c>
      <c r="FZ26">
        <v>0.24</v>
      </c>
      <c r="GA26">
        <v>0.05</v>
      </c>
      <c r="GB26">
        <v>440.13841935483867</v>
      </c>
      <c r="GC26">
        <v>-0.18251612903287481</v>
      </c>
      <c r="GD26">
        <v>0.1161161193537612</v>
      </c>
      <c r="GE26">
        <v>-1</v>
      </c>
      <c r="GF26">
        <v>859.99420588235296</v>
      </c>
      <c r="GG26">
        <v>-2.0073796692162471</v>
      </c>
      <c r="GH26">
        <v>0.39397915586933813</v>
      </c>
      <c r="GI26">
        <v>1</v>
      </c>
      <c r="GJ26">
        <v>6.8783504878048776</v>
      </c>
      <c r="GK26">
        <v>-0.15168982578395801</v>
      </c>
      <c r="GL26">
        <v>1.5367517525091631E-2</v>
      </c>
      <c r="GM26">
        <v>1</v>
      </c>
      <c r="GN26">
        <v>2</v>
      </c>
      <c r="GO26">
        <v>2</v>
      </c>
      <c r="GP26" t="s">
        <v>410</v>
      </c>
      <c r="GQ26">
        <v>3.1335899999999999</v>
      </c>
      <c r="GR26">
        <v>2.72343</v>
      </c>
      <c r="GS26">
        <v>9.15821E-2</v>
      </c>
      <c r="GT26">
        <v>9.4811999999999994E-2</v>
      </c>
      <c r="GU26">
        <v>0.13957700000000001</v>
      </c>
      <c r="GV26">
        <v>0.11980399999999999</v>
      </c>
      <c r="GW26">
        <v>22793.200000000001</v>
      </c>
      <c r="GX26">
        <v>30561.200000000001</v>
      </c>
      <c r="GY26">
        <v>27215.4</v>
      </c>
      <c r="GZ26">
        <v>34714.9</v>
      </c>
      <c r="HA26">
        <v>34295.300000000003</v>
      </c>
      <c r="HB26">
        <v>38972.400000000001</v>
      </c>
      <c r="HC26">
        <v>40193.699999999997</v>
      </c>
      <c r="HD26">
        <v>44360.2</v>
      </c>
      <c r="HE26">
        <v>1.974</v>
      </c>
      <c r="HF26">
        <v>1.7869999999999999</v>
      </c>
      <c r="HG26">
        <v>3.0696399999999999E-2</v>
      </c>
      <c r="HH26">
        <v>0</v>
      </c>
      <c r="HI26">
        <v>31.4072</v>
      </c>
      <c r="HJ26">
        <v>999.9</v>
      </c>
      <c r="HK26">
        <v>59.6</v>
      </c>
      <c r="HL26">
        <v>36.9</v>
      </c>
      <c r="HM26">
        <v>38.150300000000001</v>
      </c>
      <c r="HN26">
        <v>59.327500000000001</v>
      </c>
      <c r="HO26">
        <v>6.4503199999999996</v>
      </c>
      <c r="HP26">
        <v>1</v>
      </c>
      <c r="HQ26">
        <v>0.48902400000000001</v>
      </c>
      <c r="HR26">
        <v>0</v>
      </c>
      <c r="HS26">
        <v>20.295000000000002</v>
      </c>
      <c r="HT26">
        <v>5.2112999999999996</v>
      </c>
      <c r="HU26">
        <v>11.908099999999999</v>
      </c>
      <c r="HV26">
        <v>4.9847999999999999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1.8629500000000001</v>
      </c>
      <c r="ID26">
        <v>1.8623400000000001</v>
      </c>
      <c r="IE26">
        <v>1.86188</v>
      </c>
      <c r="IF26">
        <v>1.86188</v>
      </c>
      <c r="IG26">
        <v>1.8626100000000001</v>
      </c>
      <c r="IH26">
        <v>1.8634299999999999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-4.4409999999999998</v>
      </c>
      <c r="IX26">
        <v>7.8E-2</v>
      </c>
      <c r="IY26">
        <v>-2.6271106765127641</v>
      </c>
      <c r="IZ26">
        <v>-4.7754461378838441E-3</v>
      </c>
      <c r="JA26">
        <v>1.175754608921022E-6</v>
      </c>
      <c r="JB26">
        <v>1.4193218893046591E-11</v>
      </c>
      <c r="JC26">
        <v>-0.37401182433872998</v>
      </c>
      <c r="JD26">
        <v>2.7492919904454862E-4</v>
      </c>
      <c r="JE26">
        <v>8.6739513355948885E-4</v>
      </c>
      <c r="JF26">
        <v>-8.2500691715147318E-6</v>
      </c>
      <c r="JG26">
        <v>38</v>
      </c>
      <c r="JH26">
        <v>1780</v>
      </c>
      <c r="JI26">
        <v>2</v>
      </c>
      <c r="JJ26">
        <v>37</v>
      </c>
      <c r="JK26">
        <v>2.7</v>
      </c>
      <c r="JL26">
        <v>2.5</v>
      </c>
      <c r="JM26">
        <v>1.1352500000000001</v>
      </c>
      <c r="JN26">
        <v>2.51831</v>
      </c>
      <c r="JO26">
        <v>1.50024</v>
      </c>
      <c r="JP26">
        <v>2.2717299999999998</v>
      </c>
      <c r="JQ26">
        <v>1.4477500000000001</v>
      </c>
      <c r="JR26">
        <v>2.4279799999999998</v>
      </c>
      <c r="JS26">
        <v>39.868000000000002</v>
      </c>
      <c r="JT26">
        <v>15.103899999999999</v>
      </c>
      <c r="JU26">
        <v>18</v>
      </c>
      <c r="JV26">
        <v>545.99300000000005</v>
      </c>
      <c r="JW26">
        <v>438.15600000000001</v>
      </c>
      <c r="JX26">
        <v>32.8416</v>
      </c>
      <c r="JY26">
        <v>33.460900000000002</v>
      </c>
      <c r="JZ26">
        <v>29.999400000000001</v>
      </c>
      <c r="KA26">
        <v>33.476300000000002</v>
      </c>
      <c r="KB26">
        <v>33.439900000000002</v>
      </c>
      <c r="KC26">
        <v>22.7257</v>
      </c>
      <c r="KD26">
        <v>39.177799999999998</v>
      </c>
      <c r="KE26">
        <v>0</v>
      </c>
      <c r="KF26">
        <v>-999.9</v>
      </c>
      <c r="KG26">
        <v>440.14400000000001</v>
      </c>
      <c r="KH26">
        <v>26.233499999999999</v>
      </c>
      <c r="KI26">
        <v>100.45</v>
      </c>
      <c r="KJ26">
        <v>99.493399999999994</v>
      </c>
    </row>
    <row r="27" spans="1:296" x14ac:dyDescent="0.3">
      <c r="A27">
        <v>11</v>
      </c>
      <c r="B27">
        <v>1783007981</v>
      </c>
      <c r="C27">
        <v>1428.900000095367</v>
      </c>
      <c r="D27" t="s">
        <v>512</v>
      </c>
      <c r="E27" t="s">
        <v>513</v>
      </c>
      <c r="F27">
        <v>15</v>
      </c>
      <c r="H27">
        <v>1783007973.0548389</v>
      </c>
      <c r="I27">
        <f t="shared" si="0"/>
        <v>5.3813814544146701E-3</v>
      </c>
      <c r="J27">
        <f t="shared" si="1"/>
        <v>5.3813814544146705</v>
      </c>
      <c r="K27">
        <f t="shared" si="2"/>
        <v>8.0933359853153579</v>
      </c>
      <c r="L27">
        <f t="shared" si="3"/>
        <v>420.01474193548381</v>
      </c>
      <c r="M27">
        <f t="shared" si="4"/>
        <v>371.8576777047254</v>
      </c>
      <c r="N27">
        <f t="shared" si="5"/>
        <v>36.450443352372439</v>
      </c>
      <c r="O27">
        <f t="shared" si="6"/>
        <v>41.170922307102146</v>
      </c>
      <c r="P27">
        <f t="shared" si="7"/>
        <v>0.3596761533046775</v>
      </c>
      <c r="Q27">
        <f t="shared" si="8"/>
        <v>2.8947306235145622</v>
      </c>
      <c r="R27">
        <f t="shared" si="9"/>
        <v>0.33656502240963143</v>
      </c>
      <c r="S27">
        <f t="shared" si="10"/>
        <v>0.21230571101637752</v>
      </c>
      <c r="T27">
        <f t="shared" si="11"/>
        <v>32.485186310572807</v>
      </c>
      <c r="U27">
        <f t="shared" si="12"/>
        <v>31.021083595474611</v>
      </c>
      <c r="V27">
        <f t="shared" si="13"/>
        <v>31.517235483870969</v>
      </c>
      <c r="W27">
        <f t="shared" si="14"/>
        <v>4.6461468653415432</v>
      </c>
      <c r="X27">
        <f t="shared" si="15"/>
        <v>64.901605877783538</v>
      </c>
      <c r="Y27">
        <f t="shared" si="16"/>
        <v>3.1411071641879262</v>
      </c>
      <c r="Z27">
        <f t="shared" si="17"/>
        <v>4.8397988334879676</v>
      </c>
      <c r="AA27">
        <f t="shared" si="18"/>
        <v>1.505039701153617</v>
      </c>
      <c r="AB27">
        <f t="shared" si="19"/>
        <v>-237.31892213968695</v>
      </c>
      <c r="AC27">
        <f t="shared" si="20"/>
        <v>112.49007534884689</v>
      </c>
      <c r="AD27">
        <f t="shared" si="21"/>
        <v>8.8022680585506574</v>
      </c>
      <c r="AE27">
        <f t="shared" si="22"/>
        <v>-83.541392421716608</v>
      </c>
      <c r="AF27">
        <f t="shared" si="23"/>
        <v>8.0933359853153579</v>
      </c>
      <c r="AG27">
        <f t="shared" si="24"/>
        <v>5.3813814544146705</v>
      </c>
      <c r="AH27">
        <f t="shared" si="25"/>
        <v>8.0461738035817465</v>
      </c>
      <c r="AI27">
        <v>443.9682496286004</v>
      </c>
      <c r="AJ27">
        <v>433.99490303030308</v>
      </c>
      <c r="AK27">
        <v>1.212969174616403E-2</v>
      </c>
      <c r="AL27">
        <v>67.085920903917412</v>
      </c>
      <c r="AM27">
        <f t="shared" si="26"/>
        <v>5.5104189970824402</v>
      </c>
      <c r="AN27">
        <v>25.783532497840771</v>
      </c>
      <c r="AO27">
        <v>32.191291515151512</v>
      </c>
      <c r="AP27">
        <v>-1.399540191384027E-3</v>
      </c>
      <c r="AQ27">
        <v>78.231854767884698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50943.978025637123</v>
      </c>
      <c r="AW27" t="s">
        <v>473</v>
      </c>
      <c r="AX27">
        <v>5096.09</v>
      </c>
      <c r="AY27">
        <v>604.17647058823525</v>
      </c>
      <c r="AZ27">
        <v>2450.66</v>
      </c>
      <c r="BA27">
        <f t="shared" si="30"/>
        <v>0.75346377278437837</v>
      </c>
      <c r="BB27">
        <v>-5.5970321802682754</v>
      </c>
      <c r="BC27" t="s">
        <v>514</v>
      </c>
      <c r="BD27">
        <v>5108.3500000000004</v>
      </c>
      <c r="BE27">
        <v>859.98705882352942</v>
      </c>
      <c r="BF27">
        <v>1977.9</v>
      </c>
      <c r="BG27">
        <f t="shared" si="31"/>
        <v>0.5652019521595989</v>
      </c>
      <c r="BH27">
        <v>0.5</v>
      </c>
      <c r="BI27">
        <f t="shared" si="32"/>
        <v>168.29792392491657</v>
      </c>
      <c r="BJ27">
        <f t="shared" si="33"/>
        <v>8.0933359853153579</v>
      </c>
      <c r="BK27">
        <f t="shared" si="34"/>
        <v>47.561157573385259</v>
      </c>
      <c r="BL27">
        <f t="shared" si="35"/>
        <v>8.1346031170838287E-2</v>
      </c>
      <c r="BM27">
        <f t="shared" si="36"/>
        <v>0.23902118408412951</v>
      </c>
      <c r="BN27">
        <f t="shared" si="37"/>
        <v>570.5551499168364</v>
      </c>
      <c r="BO27" t="s">
        <v>407</v>
      </c>
      <c r="BP27">
        <v>0</v>
      </c>
      <c r="BQ27">
        <f t="shared" si="38"/>
        <v>570.5551499168364</v>
      </c>
      <c r="BR27">
        <f t="shared" si="39"/>
        <v>0.71153488552665123</v>
      </c>
      <c r="BS27">
        <f t="shared" si="40"/>
        <v>0.79434187087152819</v>
      </c>
      <c r="BT27">
        <f t="shared" si="41"/>
        <v>0.25145406118126229</v>
      </c>
      <c r="BU27">
        <f t="shared" si="42"/>
        <v>0.81378306277913603</v>
      </c>
      <c r="BV27">
        <f t="shared" si="43"/>
        <v>0.25603261143120359</v>
      </c>
      <c r="BW27">
        <f t="shared" si="44"/>
        <v>0.52700309914003673</v>
      </c>
      <c r="BX27">
        <f t="shared" si="45"/>
        <v>0.47299690085996327</v>
      </c>
      <c r="DG27">
        <f t="shared" si="46"/>
        <v>200.00670967741939</v>
      </c>
      <c r="DH27">
        <f t="shared" si="47"/>
        <v>168.29792392491657</v>
      </c>
      <c r="DI27">
        <f t="shared" si="48"/>
        <v>0.84146138995214559</v>
      </c>
      <c r="DJ27">
        <f t="shared" si="49"/>
        <v>0.16242048260764105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1783007973.0548389</v>
      </c>
      <c r="DQ27">
        <v>420.01474193548381</v>
      </c>
      <c r="DR27">
        <v>432.43841935483869</v>
      </c>
      <c r="DS27">
        <v>32.044735483870973</v>
      </c>
      <c r="DT27">
        <v>25.794332258064511</v>
      </c>
      <c r="DU27">
        <v>424.45583870967749</v>
      </c>
      <c r="DV27">
        <v>31.970735483870971</v>
      </c>
      <c r="DW27">
        <v>500.0256451612903</v>
      </c>
      <c r="DX27">
        <v>97.974645161290326</v>
      </c>
      <c r="DY27">
        <v>4.791975483870968E-2</v>
      </c>
      <c r="DZ27">
        <v>32.238045161290323</v>
      </c>
      <c r="EA27">
        <v>31.517235483870969</v>
      </c>
      <c r="EB27">
        <v>999.90000000000032</v>
      </c>
      <c r="EC27">
        <v>0</v>
      </c>
      <c r="ED27">
        <v>0</v>
      </c>
      <c r="EE27">
        <v>10005.483870967741</v>
      </c>
      <c r="EF27">
        <v>0</v>
      </c>
      <c r="EG27">
        <v>151.0805161290323</v>
      </c>
      <c r="EH27">
        <v>-12.42374516129032</v>
      </c>
      <c r="EI27">
        <v>433.99970967741928</v>
      </c>
      <c r="EJ27">
        <v>443.88822580645171</v>
      </c>
      <c r="EK27">
        <v>6.4291254838709682</v>
      </c>
      <c r="EL27">
        <v>432.43841935483869</v>
      </c>
      <c r="EM27">
        <v>25.794332258064511</v>
      </c>
      <c r="EN27">
        <v>3.1570816129032262</v>
      </c>
      <c r="EO27">
        <v>2.5271896774193552</v>
      </c>
      <c r="EP27">
        <v>24.880429032258071</v>
      </c>
      <c r="EQ27">
        <v>21.202680645161291</v>
      </c>
      <c r="ER27">
        <v>200.00670967741939</v>
      </c>
      <c r="ES27">
        <v>0.95003412903225792</v>
      </c>
      <c r="ET27">
        <v>4.9965712903225802E-2</v>
      </c>
      <c r="EU27">
        <v>0</v>
      </c>
      <c r="EV27">
        <v>859.8726129032259</v>
      </c>
      <c r="EW27">
        <v>5.0010700000000003</v>
      </c>
      <c r="EX27">
        <v>2318.9880645161288</v>
      </c>
      <c r="EY27">
        <v>1751.9132258064519</v>
      </c>
      <c r="EZ27">
        <v>37.973580645161277</v>
      </c>
      <c r="FA27">
        <v>40.711387096774168</v>
      </c>
      <c r="FB27">
        <v>39.686999999999983</v>
      </c>
      <c r="FC27">
        <v>40.797999999999988</v>
      </c>
      <c r="FD27">
        <v>40.5</v>
      </c>
      <c r="FE27">
        <v>185.26225806451609</v>
      </c>
      <c r="FF27">
        <v>9.742903225806451</v>
      </c>
      <c r="FG27">
        <v>0</v>
      </c>
      <c r="FH27">
        <v>149.60000014305109</v>
      </c>
      <c r="FI27">
        <v>0</v>
      </c>
      <c r="FJ27">
        <v>859.98705882352942</v>
      </c>
      <c r="FK27">
        <v>9.4887254405496364</v>
      </c>
      <c r="FL27">
        <v>-115.6446074453707</v>
      </c>
      <c r="FM27">
        <v>2318.814117647059</v>
      </c>
      <c r="FN27">
        <v>10</v>
      </c>
      <c r="FO27">
        <v>1783008011</v>
      </c>
      <c r="FP27" t="s">
        <v>515</v>
      </c>
      <c r="FQ27">
        <v>1783007667.5999999</v>
      </c>
      <c r="FR27">
        <v>1783008011</v>
      </c>
      <c r="FS27">
        <v>27</v>
      </c>
      <c r="FT27">
        <v>-1.2999999999999999E-2</v>
      </c>
      <c r="FU27">
        <v>8.9999999999999993E-3</v>
      </c>
      <c r="FV27">
        <v>-4.5460000000000003</v>
      </c>
      <c r="FW27">
        <v>7.3999999999999996E-2</v>
      </c>
      <c r="FX27">
        <v>448</v>
      </c>
      <c r="FY27">
        <v>26</v>
      </c>
      <c r="FZ27">
        <v>0.24</v>
      </c>
      <c r="GA27">
        <v>0.05</v>
      </c>
      <c r="GB27">
        <v>432.43896774193553</v>
      </c>
      <c r="GC27">
        <v>0.40126449489872701</v>
      </c>
      <c r="GD27">
        <v>0.10528103216444409</v>
      </c>
      <c r="GE27">
        <v>-1</v>
      </c>
      <c r="GF27">
        <v>859.77817647058828</v>
      </c>
      <c r="GG27">
        <v>3.193063409396069</v>
      </c>
      <c r="GH27">
        <v>0.687723374218419</v>
      </c>
      <c r="GI27">
        <v>1</v>
      </c>
      <c r="GJ27">
        <v>6.4384887804878037</v>
      </c>
      <c r="GK27">
        <v>-0.17986090157228349</v>
      </c>
      <c r="GL27">
        <v>1.8352532249698E-2</v>
      </c>
      <c r="GM27">
        <v>1</v>
      </c>
      <c r="GN27">
        <v>2</v>
      </c>
      <c r="GO27">
        <v>2</v>
      </c>
      <c r="GP27" t="s">
        <v>410</v>
      </c>
      <c r="GQ27">
        <v>3.13165</v>
      </c>
      <c r="GR27">
        <v>2.7247400000000002</v>
      </c>
      <c r="GS27">
        <v>9.1620599999999996E-2</v>
      </c>
      <c r="GT27">
        <v>9.3623799999999993E-2</v>
      </c>
      <c r="GU27">
        <v>0.137105</v>
      </c>
      <c r="GV27">
        <v>0.11842999999999999</v>
      </c>
      <c r="GW27">
        <v>22796.9</v>
      </c>
      <c r="GX27">
        <v>30608.9</v>
      </c>
      <c r="GY27">
        <v>27220.2</v>
      </c>
      <c r="GZ27">
        <v>34722.300000000003</v>
      </c>
      <c r="HA27">
        <v>34399</v>
      </c>
      <c r="HB27">
        <v>39038.800000000003</v>
      </c>
      <c r="HC27">
        <v>40200.699999999997</v>
      </c>
      <c r="HD27">
        <v>44367.1</v>
      </c>
      <c r="HE27">
        <v>1.9728000000000001</v>
      </c>
      <c r="HF27">
        <v>1.792</v>
      </c>
      <c r="HG27">
        <v>2.8759199999999999E-2</v>
      </c>
      <c r="HH27">
        <v>0</v>
      </c>
      <c r="HI27">
        <v>31.041399999999999</v>
      </c>
      <c r="HJ27">
        <v>999.9</v>
      </c>
      <c r="HK27">
        <v>59.1</v>
      </c>
      <c r="HL27">
        <v>36.799999999999997</v>
      </c>
      <c r="HM27">
        <v>37.617800000000003</v>
      </c>
      <c r="HN27">
        <v>59.917499999999997</v>
      </c>
      <c r="HO27">
        <v>6.3902200000000002</v>
      </c>
      <c r="HP27">
        <v>1</v>
      </c>
      <c r="HQ27">
        <v>0.475244</v>
      </c>
      <c r="HR27">
        <v>0</v>
      </c>
      <c r="HS27">
        <v>20.2959</v>
      </c>
      <c r="HT27">
        <v>5.2112999999999996</v>
      </c>
      <c r="HU27">
        <v>11.9069</v>
      </c>
      <c r="HV27">
        <v>4.9851999999999999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1.8629500000000001</v>
      </c>
      <c r="ID27">
        <v>1.8623400000000001</v>
      </c>
      <c r="IE27">
        <v>1.86188</v>
      </c>
      <c r="IF27">
        <v>1.86188</v>
      </c>
      <c r="IG27">
        <v>1.8625799999999999</v>
      </c>
      <c r="IH27">
        <v>1.8633999999999999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-4.4409999999999998</v>
      </c>
      <c r="IX27">
        <v>7.3999999999999996E-2</v>
      </c>
      <c r="IY27">
        <v>-2.6271106765127641</v>
      </c>
      <c r="IZ27">
        <v>-4.7754461378838441E-3</v>
      </c>
      <c r="JA27">
        <v>1.175754608921022E-6</v>
      </c>
      <c r="JB27">
        <v>1.4193218893046591E-11</v>
      </c>
      <c r="JC27">
        <v>-0.37306129427292722</v>
      </c>
      <c r="JD27">
        <v>2.7492919904454862E-4</v>
      </c>
      <c r="JE27">
        <v>8.6739513355948885E-4</v>
      </c>
      <c r="JF27">
        <v>-8.2500691715147318E-6</v>
      </c>
      <c r="JG27">
        <v>38</v>
      </c>
      <c r="JH27">
        <v>1780</v>
      </c>
      <c r="JI27">
        <v>2</v>
      </c>
      <c r="JJ27">
        <v>37</v>
      </c>
      <c r="JK27">
        <v>5.2</v>
      </c>
      <c r="JL27">
        <v>2</v>
      </c>
      <c r="JM27">
        <v>1.1206100000000001</v>
      </c>
      <c r="JN27">
        <v>2.52563</v>
      </c>
      <c r="JO27">
        <v>1.50024</v>
      </c>
      <c r="JP27">
        <v>2.2717299999999998</v>
      </c>
      <c r="JQ27">
        <v>1.4477500000000001</v>
      </c>
      <c r="JR27">
        <v>2.3303199999999999</v>
      </c>
      <c r="JS27">
        <v>39.641800000000003</v>
      </c>
      <c r="JT27">
        <v>15.068899999999999</v>
      </c>
      <c r="JU27">
        <v>18</v>
      </c>
      <c r="JV27">
        <v>543.899</v>
      </c>
      <c r="JW27">
        <v>440.24299999999999</v>
      </c>
      <c r="JX27">
        <v>32.456899999999997</v>
      </c>
      <c r="JY27">
        <v>33.278700000000001</v>
      </c>
      <c r="JZ27">
        <v>29.999600000000001</v>
      </c>
      <c r="KA27">
        <v>33.3215</v>
      </c>
      <c r="KB27">
        <v>33.288899999999998</v>
      </c>
      <c r="KC27">
        <v>22.407</v>
      </c>
      <c r="KD27">
        <v>39.4114</v>
      </c>
      <c r="KE27">
        <v>0</v>
      </c>
      <c r="KF27">
        <v>-999.9</v>
      </c>
      <c r="KG27">
        <v>432.48700000000002</v>
      </c>
      <c r="KH27">
        <v>25.796800000000001</v>
      </c>
      <c r="KI27">
        <v>100.467</v>
      </c>
      <c r="KJ27">
        <v>99.511300000000006</v>
      </c>
    </row>
    <row r="28" spans="1:296" x14ac:dyDescent="0.3">
      <c r="A28">
        <v>12</v>
      </c>
      <c r="B28">
        <v>1783008135.5</v>
      </c>
      <c r="C28">
        <v>1583.400000095367</v>
      </c>
      <c r="D28" t="s">
        <v>516</v>
      </c>
      <c r="E28" t="s">
        <v>517</v>
      </c>
      <c r="F28">
        <v>15</v>
      </c>
      <c r="H28">
        <v>1783008127.75</v>
      </c>
      <c r="I28">
        <f t="shared" si="0"/>
        <v>4.9444203066250324E-3</v>
      </c>
      <c r="J28">
        <f t="shared" si="1"/>
        <v>4.9444203066250321</v>
      </c>
      <c r="K28">
        <f t="shared" si="2"/>
        <v>1.5904709295119159</v>
      </c>
      <c r="L28">
        <f t="shared" si="3"/>
        <v>420.0114333333334</v>
      </c>
      <c r="M28">
        <f t="shared" si="4"/>
        <v>402.3646122838436</v>
      </c>
      <c r="N28">
        <f t="shared" si="5"/>
        <v>39.441426812838955</v>
      </c>
      <c r="O28">
        <f t="shared" si="6"/>
        <v>41.171240468548113</v>
      </c>
      <c r="P28">
        <f t="shared" si="7"/>
        <v>0.34721487408134355</v>
      </c>
      <c r="Q28">
        <f t="shared" si="8"/>
        <v>2.8930977498698014</v>
      </c>
      <c r="R28">
        <f t="shared" si="9"/>
        <v>0.32561448290354977</v>
      </c>
      <c r="S28">
        <f t="shared" si="10"/>
        <v>0.20533768258688398</v>
      </c>
      <c r="T28">
        <f t="shared" si="11"/>
        <v>16.512375924157823</v>
      </c>
      <c r="U28">
        <f t="shared" si="12"/>
        <v>30.422469339069028</v>
      </c>
      <c r="V28">
        <f t="shared" si="13"/>
        <v>30.955629999999999</v>
      </c>
      <c r="W28">
        <f t="shared" si="14"/>
        <v>4.4999776795816233</v>
      </c>
      <c r="X28">
        <f t="shared" si="15"/>
        <v>65.665844268240932</v>
      </c>
      <c r="Y28">
        <f t="shared" si="16"/>
        <v>3.068959265126205</v>
      </c>
      <c r="Z28">
        <f t="shared" si="17"/>
        <v>4.6736005595080679</v>
      </c>
      <c r="AA28">
        <f t="shared" si="18"/>
        <v>1.4310184144554183</v>
      </c>
      <c r="AB28">
        <f t="shared" si="19"/>
        <v>-218.04893552216393</v>
      </c>
      <c r="AC28">
        <f t="shared" si="20"/>
        <v>103.77902610232955</v>
      </c>
      <c r="AD28">
        <f t="shared" si="21"/>
        <v>8.0781893561349118</v>
      </c>
      <c r="AE28">
        <f t="shared" si="22"/>
        <v>-89.679344139541641</v>
      </c>
      <c r="AF28">
        <f t="shared" si="23"/>
        <v>1.5904709295119159</v>
      </c>
      <c r="AG28">
        <f t="shared" si="24"/>
        <v>4.9444203066250321</v>
      </c>
      <c r="AH28">
        <f t="shared" si="25"/>
        <v>1.8545441928921782</v>
      </c>
      <c r="AI28">
        <v>435.56929451959968</v>
      </c>
      <c r="AJ28">
        <v>433.42927878787901</v>
      </c>
      <c r="AK28">
        <v>-2.7730217946628E-2</v>
      </c>
      <c r="AL28">
        <v>67.079500480895675</v>
      </c>
      <c r="AM28">
        <f t="shared" si="26"/>
        <v>4.8853940017456576</v>
      </c>
      <c r="AN28">
        <v>25.50419678780171</v>
      </c>
      <c r="AO28">
        <v>31.234302424242429</v>
      </c>
      <c r="AP28">
        <v>-8.3723633900403219E-3</v>
      </c>
      <c r="AQ28">
        <v>78.211924590078979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51001.369386891143</v>
      </c>
      <c r="AW28" t="s">
        <v>473</v>
      </c>
      <c r="AX28">
        <v>5096.09</v>
      </c>
      <c r="AY28">
        <v>604.17647058823525</v>
      </c>
      <c r="AZ28">
        <v>2450.66</v>
      </c>
      <c r="BA28">
        <f t="shared" si="30"/>
        <v>0.75346377278437837</v>
      </c>
      <c r="BB28">
        <v>-5.5970321802682754</v>
      </c>
      <c r="BC28" t="s">
        <v>518</v>
      </c>
      <c r="BD28">
        <v>5111.22</v>
      </c>
      <c r="BE28">
        <v>846.01017647058814</v>
      </c>
      <c r="BF28">
        <v>2126.83</v>
      </c>
      <c r="BG28">
        <f t="shared" si="31"/>
        <v>0.6022201226846583</v>
      </c>
      <c r="BH28">
        <v>0.5</v>
      </c>
      <c r="BI28">
        <f t="shared" si="32"/>
        <v>84.297254232206114</v>
      </c>
      <c r="BJ28">
        <f t="shared" si="33"/>
        <v>1.5904709295119159</v>
      </c>
      <c r="BK28">
        <f t="shared" si="34"/>
        <v>25.382751392849499</v>
      </c>
      <c r="BL28">
        <f t="shared" si="35"/>
        <v>8.5263786765597593E-2</v>
      </c>
      <c r="BM28">
        <f t="shared" si="36"/>
        <v>0.15225946596578002</v>
      </c>
      <c r="BN28">
        <f t="shared" si="37"/>
        <v>582.31773362939452</v>
      </c>
      <c r="BO28" t="s">
        <v>407</v>
      </c>
      <c r="BP28">
        <v>0</v>
      </c>
      <c r="BQ28">
        <f t="shared" si="38"/>
        <v>582.31773362939452</v>
      </c>
      <c r="BR28">
        <f t="shared" si="39"/>
        <v>0.72620391209951218</v>
      </c>
      <c r="BS28">
        <f t="shared" si="40"/>
        <v>0.82927138321741189</v>
      </c>
      <c r="BT28">
        <f t="shared" si="41"/>
        <v>0.17332477342551583</v>
      </c>
      <c r="BU28">
        <f t="shared" si="42"/>
        <v>0.84117614335036617</v>
      </c>
      <c r="BV28">
        <f t="shared" si="43"/>
        <v>0.17537659818886261</v>
      </c>
      <c r="BW28">
        <f t="shared" si="44"/>
        <v>0.57079624556462372</v>
      </c>
      <c r="BX28">
        <f t="shared" si="45"/>
        <v>0.42920375443537628</v>
      </c>
      <c r="DG28">
        <f t="shared" si="46"/>
        <v>100.01459</v>
      </c>
      <c r="DH28">
        <f t="shared" si="47"/>
        <v>84.297254232206114</v>
      </c>
      <c r="DI28">
        <f t="shared" si="48"/>
        <v>0.8428495705697151</v>
      </c>
      <c r="DJ28">
        <f t="shared" si="49"/>
        <v>0.16509967119955021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1783008127.75</v>
      </c>
      <c r="DQ28">
        <v>420.0114333333334</v>
      </c>
      <c r="DR28">
        <v>424.41213333333332</v>
      </c>
      <c r="DS28">
        <v>31.308213333333331</v>
      </c>
      <c r="DT28">
        <v>25.56056666666667</v>
      </c>
      <c r="DU28">
        <v>424.37013333333329</v>
      </c>
      <c r="DV28">
        <v>31.06903333333333</v>
      </c>
      <c r="DW28">
        <v>499.99099999999999</v>
      </c>
      <c r="DX28">
        <v>97.977376666666672</v>
      </c>
      <c r="DY28">
        <v>4.6717920000000003E-2</v>
      </c>
      <c r="DZ28">
        <v>31.62099666666667</v>
      </c>
      <c r="EA28">
        <v>30.955629999999999</v>
      </c>
      <c r="EB28">
        <v>999.9000000000002</v>
      </c>
      <c r="EC28">
        <v>0</v>
      </c>
      <c r="ED28">
        <v>0</v>
      </c>
      <c r="EE28">
        <v>9995.8333333333339</v>
      </c>
      <c r="EF28">
        <v>0</v>
      </c>
      <c r="EG28">
        <v>116.3624333333333</v>
      </c>
      <c r="EH28">
        <v>-4.4008226666666674</v>
      </c>
      <c r="EI28">
        <v>433.58616666666671</v>
      </c>
      <c r="EJ28">
        <v>435.54503333333338</v>
      </c>
      <c r="EK28">
        <v>5.7476546666666648</v>
      </c>
      <c r="EL28">
        <v>424.41213333333332</v>
      </c>
      <c r="EM28">
        <v>25.56056666666667</v>
      </c>
      <c r="EN28">
        <v>3.0674959999999998</v>
      </c>
      <c r="EO28">
        <v>2.504356333333333</v>
      </c>
      <c r="EP28">
        <v>24.398896666666669</v>
      </c>
      <c r="EQ28">
        <v>21.054819999999999</v>
      </c>
      <c r="ER28">
        <v>100.01459</v>
      </c>
      <c r="ES28">
        <v>0.90002266666666697</v>
      </c>
      <c r="ET28">
        <v>9.9977490000000016E-2</v>
      </c>
      <c r="EU28">
        <v>0</v>
      </c>
      <c r="EV28">
        <v>845.97883333333334</v>
      </c>
      <c r="EW28">
        <v>5.0010700000000003</v>
      </c>
      <c r="EX28">
        <v>1432.3150000000001</v>
      </c>
      <c r="EY28">
        <v>836.70679999999982</v>
      </c>
      <c r="EZ28">
        <v>37.120599999999989</v>
      </c>
      <c r="FA28">
        <v>39.887333333333331</v>
      </c>
      <c r="FB28">
        <v>38.924599999999991</v>
      </c>
      <c r="FC28">
        <v>39.928733333333319</v>
      </c>
      <c r="FD28">
        <v>39.720599999999983</v>
      </c>
      <c r="FE28">
        <v>85.514000000000024</v>
      </c>
      <c r="FF28">
        <v>9.5</v>
      </c>
      <c r="FG28">
        <v>0</v>
      </c>
      <c r="FH28">
        <v>153.80000019073489</v>
      </c>
      <c r="FI28">
        <v>0</v>
      </c>
      <c r="FJ28">
        <v>846.01017647058814</v>
      </c>
      <c r="FK28">
        <v>8.8497548447305707</v>
      </c>
      <c r="FL28">
        <v>-0.16911719861208921</v>
      </c>
      <c r="FM28">
        <v>1436.1982352941179</v>
      </c>
      <c r="FN28">
        <v>10</v>
      </c>
      <c r="FO28">
        <v>1783008099.5</v>
      </c>
      <c r="FP28" t="s">
        <v>519</v>
      </c>
      <c r="FQ28">
        <v>1783008089.5</v>
      </c>
      <c r="FR28">
        <v>1783008099.5</v>
      </c>
      <c r="FS28">
        <v>28</v>
      </c>
      <c r="FT28">
        <v>8.2000000000000003E-2</v>
      </c>
      <c r="FU28">
        <v>5.0000000000000001E-3</v>
      </c>
      <c r="FV28">
        <v>-4.3730000000000002</v>
      </c>
      <c r="FW28">
        <v>7.6999999999999999E-2</v>
      </c>
      <c r="FX28">
        <v>424</v>
      </c>
      <c r="FY28">
        <v>26</v>
      </c>
      <c r="FZ28">
        <v>1.17</v>
      </c>
      <c r="GA28">
        <v>0.05</v>
      </c>
      <c r="GB28">
        <v>424.4255161290323</v>
      </c>
      <c r="GC28">
        <v>-0.1373225806457527</v>
      </c>
      <c r="GD28">
        <v>0.11302436818832889</v>
      </c>
      <c r="GE28">
        <v>-1</v>
      </c>
      <c r="GF28">
        <v>845.94841176470584</v>
      </c>
      <c r="GG28">
        <v>0.95058823625866751</v>
      </c>
      <c r="GH28">
        <v>0.38204989800740469</v>
      </c>
      <c r="GI28">
        <v>1</v>
      </c>
      <c r="GJ28">
        <v>5.7763270731707319</v>
      </c>
      <c r="GK28">
        <v>-0.43654055749128501</v>
      </c>
      <c r="GL28">
        <v>5.9707337713211843E-2</v>
      </c>
      <c r="GM28">
        <v>1</v>
      </c>
      <c r="GN28">
        <v>2</v>
      </c>
      <c r="GO28">
        <v>2</v>
      </c>
      <c r="GP28" t="s">
        <v>410</v>
      </c>
      <c r="GQ28">
        <v>3.1316000000000002</v>
      </c>
      <c r="GR28">
        <v>2.72445</v>
      </c>
      <c r="GS28">
        <v>9.1636999999999996E-2</v>
      </c>
      <c r="GT28">
        <v>9.2362299999999994E-2</v>
      </c>
      <c r="GU28">
        <v>0.134377</v>
      </c>
      <c r="GV28">
        <v>0.117538</v>
      </c>
      <c r="GW28">
        <v>22805.7</v>
      </c>
      <c r="GX28">
        <v>30666.6</v>
      </c>
      <c r="GY28">
        <v>27229.9</v>
      </c>
      <c r="GZ28">
        <v>34737.4</v>
      </c>
      <c r="HA28">
        <v>34518.300000000003</v>
      </c>
      <c r="HB28">
        <v>39091.800000000003</v>
      </c>
      <c r="HC28">
        <v>40214.699999999997</v>
      </c>
      <c r="HD28">
        <v>44383.3</v>
      </c>
      <c r="HE28">
        <v>1.9756</v>
      </c>
      <c r="HF28">
        <v>1.7962</v>
      </c>
      <c r="HG28">
        <v>2.8997700000000001E-2</v>
      </c>
      <c r="HH28">
        <v>0</v>
      </c>
      <c r="HI28">
        <v>30.466799999999999</v>
      </c>
      <c r="HJ28">
        <v>999.9</v>
      </c>
      <c r="HK28">
        <v>58.8</v>
      </c>
      <c r="HL28">
        <v>36.700000000000003</v>
      </c>
      <c r="HM28">
        <v>37.223799999999997</v>
      </c>
      <c r="HN28">
        <v>60.267400000000002</v>
      </c>
      <c r="HO28">
        <v>6.7588100000000004</v>
      </c>
      <c r="HP28">
        <v>1</v>
      </c>
      <c r="HQ28">
        <v>0.45164599999999999</v>
      </c>
      <c r="HR28">
        <v>0</v>
      </c>
      <c r="HS28">
        <v>20.2972</v>
      </c>
      <c r="HT28">
        <v>5.2100999999999997</v>
      </c>
      <c r="HU28">
        <v>11.9033</v>
      </c>
      <c r="HV28">
        <v>4.9847999999999999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1.86734</v>
      </c>
      <c r="IC28">
        <v>1.8629500000000001</v>
      </c>
      <c r="ID28">
        <v>1.8623400000000001</v>
      </c>
      <c r="IE28">
        <v>1.86182</v>
      </c>
      <c r="IF28">
        <v>1.86188</v>
      </c>
      <c r="IG28">
        <v>1.8625499999999999</v>
      </c>
      <c r="IH28">
        <v>1.8633999999999999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-4.359</v>
      </c>
      <c r="IX28">
        <v>0.23699999999999999</v>
      </c>
      <c r="IY28">
        <v>-2.5450797032256101</v>
      </c>
      <c r="IZ28">
        <v>-4.7754461378838441E-3</v>
      </c>
      <c r="JA28">
        <v>1.175754608921022E-6</v>
      </c>
      <c r="JB28">
        <v>1.4193218893046591E-11</v>
      </c>
      <c r="JC28">
        <v>-0.35921319641114341</v>
      </c>
      <c r="JD28">
        <v>2.7492919904454862E-4</v>
      </c>
      <c r="JE28">
        <v>8.6739513355948885E-4</v>
      </c>
      <c r="JF28">
        <v>-8.2500691715147318E-6</v>
      </c>
      <c r="JG28">
        <v>38</v>
      </c>
      <c r="JH28">
        <v>1780</v>
      </c>
      <c r="JI28">
        <v>2</v>
      </c>
      <c r="JJ28">
        <v>37</v>
      </c>
      <c r="JK28">
        <v>0.8</v>
      </c>
      <c r="JL28">
        <v>0.6</v>
      </c>
      <c r="JM28">
        <v>1.1047400000000001</v>
      </c>
      <c r="JN28">
        <v>2.5280800000000001</v>
      </c>
      <c r="JO28">
        <v>1.50024</v>
      </c>
      <c r="JP28">
        <v>2.2717299999999998</v>
      </c>
      <c r="JQ28">
        <v>1.4477500000000001</v>
      </c>
      <c r="JR28">
        <v>2.4035600000000001</v>
      </c>
      <c r="JS28">
        <v>39.341799999999999</v>
      </c>
      <c r="JT28">
        <v>15.051399999999999</v>
      </c>
      <c r="JU28">
        <v>18</v>
      </c>
      <c r="JV28">
        <v>543.76599999999996</v>
      </c>
      <c r="JW28">
        <v>441.17</v>
      </c>
      <c r="JX28">
        <v>31.897200000000002</v>
      </c>
      <c r="JY28">
        <v>32.99</v>
      </c>
      <c r="JZ28">
        <v>29.999300000000002</v>
      </c>
      <c r="KA28">
        <v>33.081800000000001</v>
      </c>
      <c r="KB28">
        <v>33.045000000000002</v>
      </c>
      <c r="KC28">
        <v>22.078299999999999</v>
      </c>
      <c r="KD28">
        <v>39.646799999999999</v>
      </c>
      <c r="KE28">
        <v>0</v>
      </c>
      <c r="KF28">
        <v>-999.9</v>
      </c>
      <c r="KG28">
        <v>424.55099999999999</v>
      </c>
      <c r="KH28">
        <v>25.3689</v>
      </c>
      <c r="KI28">
        <v>100.503</v>
      </c>
      <c r="KJ28">
        <v>99.550700000000006</v>
      </c>
    </row>
    <row r="29" spans="1:296" x14ac:dyDescent="0.3">
      <c r="A29">
        <v>13</v>
      </c>
      <c r="B29">
        <v>1783008264</v>
      </c>
      <c r="C29">
        <v>1711.900000095367</v>
      </c>
      <c r="D29" t="s">
        <v>520</v>
      </c>
      <c r="E29" t="s">
        <v>521</v>
      </c>
      <c r="F29">
        <v>15</v>
      </c>
      <c r="H29">
        <v>1783008256.25</v>
      </c>
      <c r="I29">
        <f t="shared" si="0"/>
        <v>4.3629789946359621E-3</v>
      </c>
      <c r="J29">
        <f t="shared" si="1"/>
        <v>4.3629789946359621</v>
      </c>
      <c r="K29">
        <f t="shared" si="2"/>
        <v>-1.2320805812572384</v>
      </c>
      <c r="L29">
        <f t="shared" si="3"/>
        <v>419.74950000000013</v>
      </c>
      <c r="M29">
        <f t="shared" si="4"/>
        <v>416.41351151543569</v>
      </c>
      <c r="N29">
        <f t="shared" si="5"/>
        <v>40.819513854344201</v>
      </c>
      <c r="O29">
        <f t="shared" si="6"/>
        <v>41.14652876716017</v>
      </c>
      <c r="P29">
        <f t="shared" si="7"/>
        <v>0.29778073376652398</v>
      </c>
      <c r="Q29">
        <f t="shared" si="8"/>
        <v>2.8936992263848373</v>
      </c>
      <c r="R29">
        <f t="shared" si="9"/>
        <v>0.2817437950763062</v>
      </c>
      <c r="S29">
        <f t="shared" si="10"/>
        <v>0.17745872000116963</v>
      </c>
      <c r="T29">
        <f t="shared" si="11"/>
        <v>8.2401033321814214</v>
      </c>
      <c r="U29">
        <f t="shared" si="12"/>
        <v>30.211209301275343</v>
      </c>
      <c r="V29">
        <f t="shared" si="13"/>
        <v>30.686869999999999</v>
      </c>
      <c r="W29">
        <f t="shared" si="14"/>
        <v>4.4314561385482998</v>
      </c>
      <c r="X29">
        <f t="shared" si="15"/>
        <v>64.711169407194362</v>
      </c>
      <c r="Y29">
        <f t="shared" si="16"/>
        <v>2.9707701723108131</v>
      </c>
      <c r="Z29">
        <f t="shared" si="17"/>
        <v>4.5908151552899206</v>
      </c>
      <c r="AA29">
        <f t="shared" si="18"/>
        <v>1.4606859662374867</v>
      </c>
      <c r="AB29">
        <f t="shared" si="19"/>
        <v>-192.40737366344592</v>
      </c>
      <c r="AC29">
        <f t="shared" si="20"/>
        <v>96.661807858579607</v>
      </c>
      <c r="AD29">
        <f t="shared" si="21"/>
        <v>7.5010088428042927</v>
      </c>
      <c r="AE29">
        <f t="shared" si="22"/>
        <v>-80.004453629880601</v>
      </c>
      <c r="AF29">
        <f t="shared" si="23"/>
        <v>-1.2320805812572384</v>
      </c>
      <c r="AG29">
        <f t="shared" si="24"/>
        <v>4.3629789946359621</v>
      </c>
      <c r="AH29">
        <f t="shared" si="25"/>
        <v>-1.560789960818346</v>
      </c>
      <c r="AI29">
        <v>431.33341523072062</v>
      </c>
      <c r="AJ29">
        <v>433.02104848484828</v>
      </c>
      <c r="AK29">
        <v>4.4989890993372472E-2</v>
      </c>
      <c r="AL29">
        <v>67.079500480895675</v>
      </c>
      <c r="AM29">
        <f t="shared" si="26"/>
        <v>4.4762945165247681</v>
      </c>
      <c r="AN29">
        <v>25.21988845350678</v>
      </c>
      <c r="AO29">
        <v>30.429993333333329</v>
      </c>
      <c r="AP29">
        <v>-4.1122219315211419E-4</v>
      </c>
      <c r="AQ29">
        <v>78.211924590078979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51071.050486718217</v>
      </c>
      <c r="AW29" t="s">
        <v>473</v>
      </c>
      <c r="AX29">
        <v>5096.09</v>
      </c>
      <c r="AY29">
        <v>604.17647058823525</v>
      </c>
      <c r="AZ29">
        <v>2450.66</v>
      </c>
      <c r="BA29">
        <f t="shared" si="30"/>
        <v>0.75346377278437837</v>
      </c>
      <c r="BB29">
        <v>-5.5970321802682754</v>
      </c>
      <c r="BC29" t="s">
        <v>522</v>
      </c>
      <c r="BD29">
        <v>5108.2</v>
      </c>
      <c r="BE29">
        <v>812.21417647058831</v>
      </c>
      <c r="BF29">
        <v>2236.4299999999998</v>
      </c>
      <c r="BG29">
        <f t="shared" si="31"/>
        <v>0.63682557626637615</v>
      </c>
      <c r="BH29">
        <v>0.5</v>
      </c>
      <c r="BI29">
        <f t="shared" si="32"/>
        <v>42.132193726518857</v>
      </c>
      <c r="BJ29">
        <f t="shared" si="33"/>
        <v>-1.2320805812572384</v>
      </c>
      <c r="BK29">
        <f t="shared" si="34"/>
        <v>13.415429274628485</v>
      </c>
      <c r="BL29">
        <f t="shared" si="35"/>
        <v>0.10360133695729325</v>
      </c>
      <c r="BM29">
        <f t="shared" si="36"/>
        <v>9.5791059858792826E-2</v>
      </c>
      <c r="BN29">
        <f t="shared" si="37"/>
        <v>590.23744291026333</v>
      </c>
      <c r="BO29" t="s">
        <v>407</v>
      </c>
      <c r="BP29">
        <v>0</v>
      </c>
      <c r="BQ29">
        <f t="shared" si="38"/>
        <v>590.23744291026333</v>
      </c>
      <c r="BR29">
        <f t="shared" si="39"/>
        <v>0.73608051988648726</v>
      </c>
      <c r="BS29">
        <f t="shared" si="40"/>
        <v>0.86515749168933653</v>
      </c>
      <c r="BT29">
        <f t="shared" si="41"/>
        <v>0.11515125915002908</v>
      </c>
      <c r="BU29">
        <f t="shared" si="42"/>
        <v>0.87254571539672121</v>
      </c>
      <c r="BV29">
        <f t="shared" si="43"/>
        <v>0.11602053123552496</v>
      </c>
      <c r="BW29">
        <f t="shared" si="44"/>
        <v>0.62871144139388568</v>
      </c>
      <c r="BX29">
        <f t="shared" si="45"/>
        <v>0.37128855860611432</v>
      </c>
      <c r="DG29">
        <f t="shared" si="46"/>
        <v>49.996599999999987</v>
      </c>
      <c r="DH29">
        <f t="shared" si="47"/>
        <v>42.132193726518857</v>
      </c>
      <c r="DI29">
        <f t="shared" si="48"/>
        <v>0.84270117821049573</v>
      </c>
      <c r="DJ29">
        <f t="shared" si="49"/>
        <v>0.16481327394625683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1783008256.25</v>
      </c>
      <c r="DQ29">
        <v>419.74950000000013</v>
      </c>
      <c r="DR29">
        <v>420.46856666666662</v>
      </c>
      <c r="DS29">
        <v>30.305820000000001</v>
      </c>
      <c r="DT29">
        <v>25.229383333333331</v>
      </c>
      <c r="DU29">
        <v>424.10739999999998</v>
      </c>
      <c r="DV29">
        <v>30.234819999999999</v>
      </c>
      <c r="DW29">
        <v>500.04626666666678</v>
      </c>
      <c r="DX29">
        <v>97.98016666666669</v>
      </c>
      <c r="DY29">
        <v>4.6224710000000009E-2</v>
      </c>
      <c r="DZ29">
        <v>31.306476666666661</v>
      </c>
      <c r="EA29">
        <v>30.686869999999999</v>
      </c>
      <c r="EB29">
        <v>999.9000000000002</v>
      </c>
      <c r="EC29">
        <v>0</v>
      </c>
      <c r="ED29">
        <v>0</v>
      </c>
      <c r="EE29">
        <v>9999</v>
      </c>
      <c r="EF29">
        <v>0</v>
      </c>
      <c r="EG29">
        <v>151.41013333333331</v>
      </c>
      <c r="EH29">
        <v>-0.71900023333333307</v>
      </c>
      <c r="EI29">
        <v>432.93186666666668</v>
      </c>
      <c r="EJ29">
        <v>431.35133333333329</v>
      </c>
      <c r="EK29">
        <v>5.2194406666666664</v>
      </c>
      <c r="EL29">
        <v>420.46856666666662</v>
      </c>
      <c r="EM29">
        <v>25.229383333333331</v>
      </c>
      <c r="EN29">
        <v>2.9833810000000001</v>
      </c>
      <c r="EO29">
        <v>2.4719786666666659</v>
      </c>
      <c r="EP29">
        <v>23.935453333333331</v>
      </c>
      <c r="EQ29">
        <v>20.843173333333329</v>
      </c>
      <c r="ER29">
        <v>49.996599999999987</v>
      </c>
      <c r="ES29">
        <v>0.90002426666666702</v>
      </c>
      <c r="ET29">
        <v>9.997592000000001E-2</v>
      </c>
      <c r="EU29">
        <v>0</v>
      </c>
      <c r="EV29">
        <v>812.52616666666665</v>
      </c>
      <c r="EW29">
        <v>5.0010700000000003</v>
      </c>
      <c r="EX29">
        <v>1082.6196666666669</v>
      </c>
      <c r="EY29">
        <v>396.23950000000002</v>
      </c>
      <c r="EZ29">
        <v>36.472700000000003</v>
      </c>
      <c r="FA29">
        <v>39.489499999999992</v>
      </c>
      <c r="FB29">
        <v>38.410133333333327</v>
      </c>
      <c r="FC29">
        <v>39.491599999999998</v>
      </c>
      <c r="FD29">
        <v>39.106099999999991</v>
      </c>
      <c r="FE29">
        <v>40.497333333333337</v>
      </c>
      <c r="FF29">
        <v>4.5019999999999998</v>
      </c>
      <c r="FG29">
        <v>0</v>
      </c>
      <c r="FH29">
        <v>127.6000001430511</v>
      </c>
      <c r="FI29">
        <v>0</v>
      </c>
      <c r="FJ29">
        <v>812.21417647058831</v>
      </c>
      <c r="FK29">
        <v>-4.4093137277292573</v>
      </c>
      <c r="FL29">
        <v>-23.443626918879811</v>
      </c>
      <c r="FM29">
        <v>1084.667058823529</v>
      </c>
      <c r="FN29">
        <v>10</v>
      </c>
      <c r="FO29">
        <v>1783008287</v>
      </c>
      <c r="FP29" t="s">
        <v>523</v>
      </c>
      <c r="FQ29">
        <v>1783008089.5</v>
      </c>
      <c r="FR29">
        <v>1783008287</v>
      </c>
      <c r="FS29">
        <v>29</v>
      </c>
      <c r="FT29">
        <v>8.2000000000000003E-2</v>
      </c>
      <c r="FU29">
        <v>6.0000000000000001E-3</v>
      </c>
      <c r="FV29">
        <v>-4.3730000000000002</v>
      </c>
      <c r="FW29">
        <v>7.0999999999999994E-2</v>
      </c>
      <c r="FX29">
        <v>424</v>
      </c>
      <c r="FY29">
        <v>25</v>
      </c>
      <c r="FZ29">
        <v>1.17</v>
      </c>
      <c r="GA29">
        <v>0.06</v>
      </c>
      <c r="GB29">
        <v>420.4530666666667</v>
      </c>
      <c r="GC29">
        <v>-3.4758620689306519E-2</v>
      </c>
      <c r="GD29">
        <v>9.7910140208028032E-2</v>
      </c>
      <c r="GE29">
        <v>-1</v>
      </c>
      <c r="GF29">
        <v>813.03667647058819</v>
      </c>
      <c r="GG29">
        <v>-9.2706646353334961</v>
      </c>
      <c r="GH29">
        <v>0.95228560102363158</v>
      </c>
      <c r="GI29">
        <v>1</v>
      </c>
      <c r="GJ29">
        <v>5.2226207499999999</v>
      </c>
      <c r="GK29">
        <v>-5.8269005628535937E-2</v>
      </c>
      <c r="GL29">
        <v>6.778164348664008E-3</v>
      </c>
      <c r="GM29">
        <v>1</v>
      </c>
      <c r="GN29">
        <v>2</v>
      </c>
      <c r="GO29">
        <v>2</v>
      </c>
      <c r="GP29" t="s">
        <v>410</v>
      </c>
      <c r="GQ29">
        <v>3.1323799999999999</v>
      </c>
      <c r="GR29">
        <v>2.7229700000000001</v>
      </c>
      <c r="GS29">
        <v>9.1686400000000001E-2</v>
      </c>
      <c r="GT29">
        <v>9.17988E-2</v>
      </c>
      <c r="GU29">
        <v>0.13211400000000001</v>
      </c>
      <c r="GV29">
        <v>0.116773</v>
      </c>
      <c r="GW29">
        <v>22815.3</v>
      </c>
      <c r="GX29">
        <v>30704</v>
      </c>
      <c r="GY29">
        <v>27241.5</v>
      </c>
      <c r="GZ29">
        <v>34756.1</v>
      </c>
      <c r="HA29">
        <v>34621.1</v>
      </c>
      <c r="HB29">
        <v>39142.6</v>
      </c>
      <c r="HC29">
        <v>40231</v>
      </c>
      <c r="HD29">
        <v>44403.3</v>
      </c>
      <c r="HE29">
        <v>1.9796</v>
      </c>
      <c r="HF29">
        <v>1.8013999999999999</v>
      </c>
      <c r="HG29">
        <v>3.7699900000000001E-2</v>
      </c>
      <c r="HH29">
        <v>0</v>
      </c>
      <c r="HI29">
        <v>30.102599999999999</v>
      </c>
      <c r="HJ29">
        <v>999.9</v>
      </c>
      <c r="HK29">
        <v>58.6</v>
      </c>
      <c r="HL29">
        <v>36.6</v>
      </c>
      <c r="HM29">
        <v>36.892499999999998</v>
      </c>
      <c r="HN29">
        <v>59.697400000000002</v>
      </c>
      <c r="HO29">
        <v>6.4343000000000004</v>
      </c>
      <c r="HP29">
        <v>1</v>
      </c>
      <c r="HQ29">
        <v>0.42585400000000001</v>
      </c>
      <c r="HR29">
        <v>0</v>
      </c>
      <c r="HS29">
        <v>20.2988</v>
      </c>
      <c r="HT29">
        <v>5.2112999999999996</v>
      </c>
      <c r="HU29">
        <v>11.902100000000001</v>
      </c>
      <c r="HV29">
        <v>4.9859999999999998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1.86731</v>
      </c>
      <c r="IC29">
        <v>1.8629199999999999</v>
      </c>
      <c r="ID29">
        <v>1.8623400000000001</v>
      </c>
      <c r="IE29">
        <v>1.86188</v>
      </c>
      <c r="IF29">
        <v>1.86188</v>
      </c>
      <c r="IG29">
        <v>1.86249</v>
      </c>
      <c r="IH29">
        <v>1.8633999999999999</v>
      </c>
      <c r="II29">
        <v>1.8614200000000001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-4.3579999999999997</v>
      </c>
      <c r="IX29">
        <v>7.0999999999999994E-2</v>
      </c>
      <c r="IY29">
        <v>-2.5450797032256101</v>
      </c>
      <c r="IZ29">
        <v>-4.7754461378838441E-3</v>
      </c>
      <c r="JA29">
        <v>1.175754608921022E-6</v>
      </c>
      <c r="JB29">
        <v>1.4193218893046591E-11</v>
      </c>
      <c r="JC29">
        <v>-0.35921319641114341</v>
      </c>
      <c r="JD29">
        <v>2.7492919904454862E-4</v>
      </c>
      <c r="JE29">
        <v>8.6739513355948885E-4</v>
      </c>
      <c r="JF29">
        <v>-8.2500691715147318E-6</v>
      </c>
      <c r="JG29">
        <v>38</v>
      </c>
      <c r="JH29">
        <v>1780</v>
      </c>
      <c r="JI29">
        <v>2</v>
      </c>
      <c r="JJ29">
        <v>37</v>
      </c>
      <c r="JK29">
        <v>2.9</v>
      </c>
      <c r="JL29">
        <v>2.7</v>
      </c>
      <c r="JM29">
        <v>1.09619</v>
      </c>
      <c r="JN29">
        <v>2.5158700000000001</v>
      </c>
      <c r="JO29">
        <v>1.50024</v>
      </c>
      <c r="JP29">
        <v>2.2717299999999998</v>
      </c>
      <c r="JQ29">
        <v>1.4477500000000001</v>
      </c>
      <c r="JR29">
        <v>2.36816</v>
      </c>
      <c r="JS29">
        <v>39.068300000000001</v>
      </c>
      <c r="JT29">
        <v>15.033899999999999</v>
      </c>
      <c r="JU29">
        <v>18</v>
      </c>
      <c r="JV29">
        <v>544.1</v>
      </c>
      <c r="JW29">
        <v>442.57900000000001</v>
      </c>
      <c r="JX29">
        <v>31.488900000000001</v>
      </c>
      <c r="JY29">
        <v>32.679299999999998</v>
      </c>
      <c r="JZ29">
        <v>29.999099999999999</v>
      </c>
      <c r="KA29">
        <v>32.805100000000003</v>
      </c>
      <c r="KB29">
        <v>32.781100000000002</v>
      </c>
      <c r="KC29">
        <v>21.918600000000001</v>
      </c>
      <c r="KD29">
        <v>39.359299999999998</v>
      </c>
      <c r="KE29">
        <v>0</v>
      </c>
      <c r="KF29">
        <v>-999.9</v>
      </c>
      <c r="KG29">
        <v>420.613</v>
      </c>
      <c r="KH29">
        <v>25.3017</v>
      </c>
      <c r="KI29">
        <v>100.544</v>
      </c>
      <c r="KJ29">
        <v>99.599400000000003</v>
      </c>
    </row>
    <row r="30" spans="1:296" x14ac:dyDescent="0.3">
      <c r="A30">
        <v>14</v>
      </c>
      <c r="B30">
        <v>1783008408</v>
      </c>
      <c r="C30">
        <v>1855.900000095367</v>
      </c>
      <c r="D30" t="s">
        <v>524</v>
      </c>
      <c r="E30" t="s">
        <v>525</v>
      </c>
      <c r="F30">
        <v>15</v>
      </c>
      <c r="H30">
        <v>1783008400</v>
      </c>
      <c r="I30">
        <f t="shared" si="0"/>
        <v>4.1731823031714195E-3</v>
      </c>
      <c r="J30">
        <f t="shared" si="1"/>
        <v>4.1731823031714192</v>
      </c>
      <c r="K30">
        <f t="shared" si="2"/>
        <v>-2.6706947872431921</v>
      </c>
      <c r="L30">
        <f t="shared" si="3"/>
        <v>419.81961290322579</v>
      </c>
      <c r="M30">
        <f t="shared" si="4"/>
        <v>425.04433408953309</v>
      </c>
      <c r="N30">
        <f t="shared" si="5"/>
        <v>41.661031695915881</v>
      </c>
      <c r="O30">
        <f t="shared" si="6"/>
        <v>41.148926822405862</v>
      </c>
      <c r="P30">
        <f t="shared" si="7"/>
        <v>0.2912651305356424</v>
      </c>
      <c r="Q30">
        <f t="shared" si="8"/>
        <v>2.8939450676091498</v>
      </c>
      <c r="R30">
        <f t="shared" si="9"/>
        <v>0.27590409931067428</v>
      </c>
      <c r="S30">
        <f t="shared" si="10"/>
        <v>0.17375264990856523</v>
      </c>
      <c r="T30">
        <f t="shared" si="11"/>
        <v>4.9309389040228355</v>
      </c>
      <c r="U30">
        <f t="shared" si="12"/>
        <v>30.029650691340969</v>
      </c>
      <c r="V30">
        <f t="shared" si="13"/>
        <v>30.540541935483859</v>
      </c>
      <c r="W30">
        <f t="shared" si="14"/>
        <v>4.3945327336666908</v>
      </c>
      <c r="X30">
        <f t="shared" si="15"/>
        <v>65.427179015455465</v>
      </c>
      <c r="Y30">
        <f t="shared" si="16"/>
        <v>2.967676079558704</v>
      </c>
      <c r="Z30">
        <f t="shared" si="17"/>
        <v>4.5358459958325081</v>
      </c>
      <c r="AA30">
        <f t="shared" si="18"/>
        <v>1.4268566541079868</v>
      </c>
      <c r="AB30">
        <f t="shared" si="19"/>
        <v>-184.0373395698596</v>
      </c>
      <c r="AC30">
        <f t="shared" si="20"/>
        <v>86.489536388511013</v>
      </c>
      <c r="AD30">
        <f t="shared" si="21"/>
        <v>6.6992186605460633</v>
      </c>
      <c r="AE30">
        <f t="shared" si="22"/>
        <v>-85.917645616779694</v>
      </c>
      <c r="AF30">
        <f t="shared" si="23"/>
        <v>-2.6706947872431921</v>
      </c>
      <c r="AG30">
        <f t="shared" si="24"/>
        <v>4.1731823031714192</v>
      </c>
      <c r="AH30">
        <f t="shared" si="25"/>
        <v>-2.4149068311460438</v>
      </c>
      <c r="AI30">
        <v>429.82474706886541</v>
      </c>
      <c r="AJ30">
        <v>432.8358787878787</v>
      </c>
      <c r="AK30">
        <v>-7.2624754336920562E-3</v>
      </c>
      <c r="AL30">
        <v>67.095462222285676</v>
      </c>
      <c r="AM30">
        <f t="shared" si="26"/>
        <v>4.1046126506367768</v>
      </c>
      <c r="AN30">
        <v>25.412086685513</v>
      </c>
      <c r="AO30">
        <v>30.233343030303029</v>
      </c>
      <c r="AP30">
        <v>-7.38796626027673E-3</v>
      </c>
      <c r="AQ30">
        <v>78.255400433939585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51113.283135769183</v>
      </c>
      <c r="AW30" t="s">
        <v>473</v>
      </c>
      <c r="AX30">
        <v>5096.09</v>
      </c>
      <c r="AY30">
        <v>604.17647058823525</v>
      </c>
      <c r="AZ30">
        <v>2450.66</v>
      </c>
      <c r="BA30">
        <f t="shared" si="30"/>
        <v>0.75346377278437837</v>
      </c>
      <c r="BB30">
        <v>-5.5970321802682754</v>
      </c>
      <c r="BC30" t="s">
        <v>526</v>
      </c>
      <c r="BD30">
        <v>5107.5600000000004</v>
      </c>
      <c r="BE30">
        <v>787.15294117647056</v>
      </c>
      <c r="BF30">
        <v>2357.5300000000002</v>
      </c>
      <c r="BG30">
        <f t="shared" si="31"/>
        <v>0.66611116669714887</v>
      </c>
      <c r="BH30">
        <v>0.5</v>
      </c>
      <c r="BI30">
        <f t="shared" si="32"/>
        <v>25.26423129173839</v>
      </c>
      <c r="BJ30">
        <f t="shared" si="33"/>
        <v>-2.6706947872431921</v>
      </c>
      <c r="BK30">
        <f t="shared" si="34"/>
        <v>8.4143932907232379</v>
      </c>
      <c r="BL30">
        <f t="shared" si="35"/>
        <v>0.11582926704688694</v>
      </c>
      <c r="BM30">
        <f t="shared" si="36"/>
        <v>3.9503208866907162E-2</v>
      </c>
      <c r="BN30">
        <f t="shared" si="37"/>
        <v>598.34916478016999</v>
      </c>
      <c r="BO30" t="s">
        <v>407</v>
      </c>
      <c r="BP30">
        <v>0</v>
      </c>
      <c r="BQ30">
        <f t="shared" si="38"/>
        <v>598.34916478016999</v>
      </c>
      <c r="BR30">
        <f t="shared" si="39"/>
        <v>0.74619658507837872</v>
      </c>
      <c r="BS30">
        <f t="shared" si="40"/>
        <v>0.89267517436733146</v>
      </c>
      <c r="BT30">
        <f t="shared" si="41"/>
        <v>5.0277738611266672E-2</v>
      </c>
      <c r="BU30">
        <f t="shared" si="42"/>
        <v>0.89564199830845159</v>
      </c>
      <c r="BV30">
        <f t="shared" si="43"/>
        <v>5.0436409811718243E-2</v>
      </c>
      <c r="BW30">
        <f t="shared" si="44"/>
        <v>0.67856120083141414</v>
      </c>
      <c r="BX30">
        <f t="shared" si="45"/>
        <v>0.32143879916858586</v>
      </c>
      <c r="DG30">
        <f t="shared" si="46"/>
        <v>29.987019354838711</v>
      </c>
      <c r="DH30">
        <f t="shared" si="47"/>
        <v>25.26423129173839</v>
      </c>
      <c r="DI30">
        <f t="shared" si="48"/>
        <v>0.84250558525956831</v>
      </c>
      <c r="DJ30">
        <f t="shared" si="49"/>
        <v>0.16443577955096689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1783008400</v>
      </c>
      <c r="DQ30">
        <v>419.81961290322579</v>
      </c>
      <c r="DR30">
        <v>418.71719354838712</v>
      </c>
      <c r="DS30">
        <v>30.277548387096779</v>
      </c>
      <c r="DT30">
        <v>25.42150322580645</v>
      </c>
      <c r="DU30">
        <v>424.09238709677419</v>
      </c>
      <c r="DV30">
        <v>30.057793548387099</v>
      </c>
      <c r="DW30">
        <v>500.01535483870958</v>
      </c>
      <c r="DX30">
        <v>97.969970967741943</v>
      </c>
      <c r="DY30">
        <v>4.5761403225806449E-2</v>
      </c>
      <c r="DZ30">
        <v>31.09489677419355</v>
      </c>
      <c r="EA30">
        <v>30.540541935483859</v>
      </c>
      <c r="EB30">
        <v>999.90000000000032</v>
      </c>
      <c r="EC30">
        <v>0</v>
      </c>
      <c r="ED30">
        <v>0</v>
      </c>
      <c r="EE30">
        <v>10001.451612903231</v>
      </c>
      <c r="EF30">
        <v>0</v>
      </c>
      <c r="EG30">
        <v>199.65100000000001</v>
      </c>
      <c r="EH30">
        <v>1.1024178709677419</v>
      </c>
      <c r="EI30">
        <v>432.9275806451613</v>
      </c>
      <c r="EJ30">
        <v>429.63922580645158</v>
      </c>
      <c r="EK30">
        <v>4.8560380645161292</v>
      </c>
      <c r="EL30">
        <v>418.71719354838712</v>
      </c>
      <c r="EM30">
        <v>25.42150322580645</v>
      </c>
      <c r="EN30">
        <v>2.96629064516129</v>
      </c>
      <c r="EO30">
        <v>2.4905448387096771</v>
      </c>
      <c r="EP30">
        <v>23.83987419354839</v>
      </c>
      <c r="EQ30">
        <v>20.964841935483872</v>
      </c>
      <c r="ER30">
        <v>29.987019354838711</v>
      </c>
      <c r="ES30">
        <v>0.89973993548387121</v>
      </c>
      <c r="ET30">
        <v>0.10025993548387099</v>
      </c>
      <c r="EU30">
        <v>0</v>
      </c>
      <c r="EV30">
        <v>787.34232258064515</v>
      </c>
      <c r="EW30">
        <v>5.0010700000000003</v>
      </c>
      <c r="EX30">
        <v>1054.264516129032</v>
      </c>
      <c r="EY30">
        <v>220.0062903225807</v>
      </c>
      <c r="EZ30">
        <v>35.927096774193551</v>
      </c>
      <c r="FA30">
        <v>39.186999999999983</v>
      </c>
      <c r="FB30">
        <v>37.943096774193528</v>
      </c>
      <c r="FC30">
        <v>39.131000000000007</v>
      </c>
      <c r="FD30">
        <v>38.652999999999999</v>
      </c>
      <c r="FE30">
        <v>22.481612903225809</v>
      </c>
      <c r="FF30">
        <v>2.5045161290322588</v>
      </c>
      <c r="FG30">
        <v>0</v>
      </c>
      <c r="FH30">
        <v>143.4000000953674</v>
      </c>
      <c r="FI30">
        <v>0</v>
      </c>
      <c r="FJ30">
        <v>787.15294117647056</v>
      </c>
      <c r="FK30">
        <v>-4.5115196491792942</v>
      </c>
      <c r="FL30">
        <v>187.48284309408231</v>
      </c>
      <c r="FM30">
        <v>1060.2629411764699</v>
      </c>
      <c r="FN30">
        <v>10</v>
      </c>
      <c r="FO30">
        <v>1783008372.5</v>
      </c>
      <c r="FP30" t="s">
        <v>527</v>
      </c>
      <c r="FQ30">
        <v>1783008366</v>
      </c>
      <c r="FR30">
        <v>1783008372.5</v>
      </c>
      <c r="FS30">
        <v>30</v>
      </c>
      <c r="FT30">
        <v>8.5000000000000006E-2</v>
      </c>
      <c r="FU30">
        <v>5.0000000000000001E-3</v>
      </c>
      <c r="FV30">
        <v>-4.2649999999999997</v>
      </c>
      <c r="FW30">
        <v>8.3000000000000004E-2</v>
      </c>
      <c r="FX30">
        <v>418</v>
      </c>
      <c r="FY30">
        <v>25</v>
      </c>
      <c r="FZ30">
        <v>1.71</v>
      </c>
      <c r="GA30">
        <v>0.06</v>
      </c>
      <c r="GB30">
        <v>418.70676666666662</v>
      </c>
      <c r="GC30">
        <v>1.7435639599546751</v>
      </c>
      <c r="GD30">
        <v>0.1695611361394084</v>
      </c>
      <c r="GE30">
        <v>-1</v>
      </c>
      <c r="GF30">
        <v>787.45932352941168</v>
      </c>
      <c r="GG30">
        <v>-2.5325133730023861</v>
      </c>
      <c r="GH30">
        <v>0.34754971887979308</v>
      </c>
      <c r="GI30">
        <v>1</v>
      </c>
      <c r="GJ30">
        <v>4.8768585</v>
      </c>
      <c r="GK30">
        <v>-0.42497268292683571</v>
      </c>
      <c r="GL30">
        <v>4.2106967152123427E-2</v>
      </c>
      <c r="GM30">
        <v>1</v>
      </c>
      <c r="GN30">
        <v>2</v>
      </c>
      <c r="GO30">
        <v>2</v>
      </c>
      <c r="GP30" t="s">
        <v>410</v>
      </c>
      <c r="GQ30">
        <v>3.1324700000000001</v>
      </c>
      <c r="GR30">
        <v>2.72241</v>
      </c>
      <c r="GS30">
        <v>9.1725500000000001E-2</v>
      </c>
      <c r="GT30">
        <v>9.1536800000000001E-2</v>
      </c>
      <c r="GU30">
        <v>0.13155800000000001</v>
      </c>
      <c r="GV30">
        <v>0.117436</v>
      </c>
      <c r="GW30">
        <v>22823.1</v>
      </c>
      <c r="GX30">
        <v>30728</v>
      </c>
      <c r="GY30">
        <v>27250.7</v>
      </c>
      <c r="GZ30">
        <v>34771.4</v>
      </c>
      <c r="HA30">
        <v>34653.5</v>
      </c>
      <c r="HB30">
        <v>39126.800000000003</v>
      </c>
      <c r="HC30">
        <v>40244.699999999997</v>
      </c>
      <c r="HD30">
        <v>44419.6</v>
      </c>
      <c r="HE30">
        <v>1.9810000000000001</v>
      </c>
      <c r="HF30">
        <v>1.8071999999999999</v>
      </c>
      <c r="HG30">
        <v>3.3527599999999998E-2</v>
      </c>
      <c r="HH30">
        <v>0</v>
      </c>
      <c r="HI30">
        <v>29.980399999999999</v>
      </c>
      <c r="HJ30">
        <v>999.9</v>
      </c>
      <c r="HK30">
        <v>58.5</v>
      </c>
      <c r="HL30">
        <v>36.4</v>
      </c>
      <c r="HM30">
        <v>36.431399999999996</v>
      </c>
      <c r="HN30">
        <v>59.6374</v>
      </c>
      <c r="HO30">
        <v>6.3822099999999997</v>
      </c>
      <c r="HP30">
        <v>1</v>
      </c>
      <c r="HQ30">
        <v>0.40426800000000002</v>
      </c>
      <c r="HR30">
        <v>0</v>
      </c>
      <c r="HS30">
        <v>20.299700000000001</v>
      </c>
      <c r="HT30">
        <v>5.2100999999999997</v>
      </c>
      <c r="HU30">
        <v>11.902100000000001</v>
      </c>
      <c r="HV30">
        <v>4.984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1.86737</v>
      </c>
      <c r="IC30">
        <v>1.8628899999999999</v>
      </c>
      <c r="ID30">
        <v>1.8623400000000001</v>
      </c>
      <c r="IE30">
        <v>1.86182</v>
      </c>
      <c r="IF30">
        <v>1.86188</v>
      </c>
      <c r="IG30">
        <v>1.86249</v>
      </c>
      <c r="IH30">
        <v>1.8633999999999999</v>
      </c>
      <c r="II30">
        <v>1.8614200000000001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-4.2720000000000002</v>
      </c>
      <c r="IX30">
        <v>0.21829999999999999</v>
      </c>
      <c r="IY30">
        <v>-2.4601501250979489</v>
      </c>
      <c r="IZ30">
        <v>-4.7754461378838441E-3</v>
      </c>
      <c r="JA30">
        <v>1.175754608921022E-6</v>
      </c>
      <c r="JB30">
        <v>1.4193218893046591E-11</v>
      </c>
      <c r="JC30">
        <v>-0.3481309019526771</v>
      </c>
      <c r="JD30">
        <v>2.7492919904454862E-4</v>
      </c>
      <c r="JE30">
        <v>8.6739513355948885E-4</v>
      </c>
      <c r="JF30">
        <v>-8.2500691715147318E-6</v>
      </c>
      <c r="JG30">
        <v>38</v>
      </c>
      <c r="JH30">
        <v>1780</v>
      </c>
      <c r="JI30">
        <v>2</v>
      </c>
      <c r="JJ30">
        <v>37</v>
      </c>
      <c r="JK30">
        <v>0.7</v>
      </c>
      <c r="JL30">
        <v>0.6</v>
      </c>
      <c r="JM30">
        <v>1.09253</v>
      </c>
      <c r="JN30">
        <v>2.52563</v>
      </c>
      <c r="JO30">
        <v>1.50024</v>
      </c>
      <c r="JP30">
        <v>2.2705099999999998</v>
      </c>
      <c r="JQ30">
        <v>1.4477500000000001</v>
      </c>
      <c r="JR30">
        <v>2.3278799999999999</v>
      </c>
      <c r="JS30">
        <v>38.870399999999997</v>
      </c>
      <c r="JT30">
        <v>15.0076</v>
      </c>
      <c r="JU30">
        <v>18</v>
      </c>
      <c r="JV30">
        <v>542.81600000000003</v>
      </c>
      <c r="JW30">
        <v>444.387</v>
      </c>
      <c r="JX30">
        <v>31.2591</v>
      </c>
      <c r="JY30">
        <v>32.416800000000002</v>
      </c>
      <c r="JZ30">
        <v>29.999400000000001</v>
      </c>
      <c r="KA30">
        <v>32.542299999999997</v>
      </c>
      <c r="KB30">
        <v>32.522300000000001</v>
      </c>
      <c r="KC30">
        <v>21.854800000000001</v>
      </c>
      <c r="KD30">
        <v>38.232799999999997</v>
      </c>
      <c r="KE30">
        <v>0</v>
      </c>
      <c r="KF30">
        <v>-999.9</v>
      </c>
      <c r="KG30">
        <v>418.91</v>
      </c>
      <c r="KH30">
        <v>25.503499999999999</v>
      </c>
      <c r="KI30">
        <v>100.578</v>
      </c>
      <c r="KJ30">
        <v>99.639200000000002</v>
      </c>
    </row>
    <row r="31" spans="1:296" x14ac:dyDescent="0.3">
      <c r="A31">
        <v>15</v>
      </c>
      <c r="B31">
        <v>1783008570.5</v>
      </c>
      <c r="C31">
        <v>2018.400000095367</v>
      </c>
      <c r="D31" t="s">
        <v>528</v>
      </c>
      <c r="E31" t="s">
        <v>529</v>
      </c>
      <c r="F31">
        <v>15</v>
      </c>
      <c r="H31">
        <v>1783008562.5</v>
      </c>
      <c r="I31">
        <f t="shared" si="0"/>
        <v>4.0063731079961942E-3</v>
      </c>
      <c r="J31">
        <f t="shared" si="1"/>
        <v>4.0063731079961942</v>
      </c>
      <c r="K31">
        <f t="shared" si="2"/>
        <v>-5.1755626910524564</v>
      </c>
      <c r="L31">
        <f t="shared" si="3"/>
        <v>420.04148387096768</v>
      </c>
      <c r="M31">
        <f t="shared" si="4"/>
        <v>440.83633527526786</v>
      </c>
      <c r="N31">
        <f t="shared" si="5"/>
        <v>43.204424203490028</v>
      </c>
      <c r="O31">
        <f t="shared" si="6"/>
        <v>41.166412566452614</v>
      </c>
      <c r="P31">
        <f t="shared" si="7"/>
        <v>0.27760853171633038</v>
      </c>
      <c r="Q31">
        <f t="shared" si="8"/>
        <v>2.8934070047288523</v>
      </c>
      <c r="R31">
        <f t="shared" si="9"/>
        <v>0.26361458007429767</v>
      </c>
      <c r="S31">
        <f t="shared" si="10"/>
        <v>0.16595760902575521</v>
      </c>
      <c r="T31">
        <f t="shared" si="11"/>
        <v>1.5966703903835998E-4</v>
      </c>
      <c r="U31">
        <f t="shared" si="12"/>
        <v>29.836282173574748</v>
      </c>
      <c r="V31">
        <f t="shared" si="13"/>
        <v>30.407335483870959</v>
      </c>
      <c r="W31">
        <f t="shared" si="14"/>
        <v>4.3611537010098438</v>
      </c>
      <c r="X31">
        <f t="shared" si="15"/>
        <v>65.299705535940973</v>
      </c>
      <c r="Y31">
        <f t="shared" si="16"/>
        <v>2.927062708969796</v>
      </c>
      <c r="Z31">
        <f t="shared" si="17"/>
        <v>4.4825052195047643</v>
      </c>
      <c r="AA31">
        <f t="shared" si="18"/>
        <v>1.4340909920400478</v>
      </c>
      <c r="AB31">
        <f t="shared" si="19"/>
        <v>-176.68105406263217</v>
      </c>
      <c r="AC31">
        <f t="shared" si="20"/>
        <v>74.890994178016072</v>
      </c>
      <c r="AD31">
        <f t="shared" si="21"/>
        <v>5.7921552190711454</v>
      </c>
      <c r="AE31">
        <f t="shared" si="22"/>
        <v>-95.997744998505922</v>
      </c>
      <c r="AF31">
        <f t="shared" si="23"/>
        <v>-5.1755626910524564</v>
      </c>
      <c r="AG31">
        <f t="shared" si="24"/>
        <v>4.0063731079961942</v>
      </c>
      <c r="AH31">
        <f t="shared" si="25"/>
        <v>-5.1206023016557189</v>
      </c>
      <c r="AI31">
        <v>426.66299871110272</v>
      </c>
      <c r="AJ31">
        <v>432.82952727272709</v>
      </c>
      <c r="AK31">
        <v>2.6377022677524991E-2</v>
      </c>
      <c r="AL31">
        <v>67.035424131077917</v>
      </c>
      <c r="AM31">
        <f t="shared" si="26"/>
        <v>3.9433648192544282</v>
      </c>
      <c r="AN31">
        <v>25.189447129991141</v>
      </c>
      <c r="AO31">
        <v>29.810874545454539</v>
      </c>
      <c r="AP31">
        <v>-5.0343901160964646E-3</v>
      </c>
      <c r="AQ31">
        <v>78.066161608914754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51132.856533395985</v>
      </c>
      <c r="AW31" t="s">
        <v>405</v>
      </c>
      <c r="AX31">
        <v>5103.1499999999996</v>
      </c>
      <c r="AY31">
        <v>584.19705882352946</v>
      </c>
      <c r="AZ31">
        <v>2574.9499999999998</v>
      </c>
      <c r="BA31">
        <f t="shared" si="30"/>
        <v>0.77312295041708401</v>
      </c>
      <c r="BB31">
        <v>-5.1755626910525043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-5.1755626910524564</v>
      </c>
      <c r="BK31" t="e">
        <f t="shared" si="34"/>
        <v>#DIV/0!</v>
      </c>
      <c r="BL31">
        <f t="shared" si="35"/>
        <v>5.7073210858090486E-11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1.2934553287553039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1783008562.5</v>
      </c>
      <c r="DQ31">
        <v>420.04148387096768</v>
      </c>
      <c r="DR31">
        <v>415.85022580645159</v>
      </c>
      <c r="DS31">
        <v>29.866283870967742</v>
      </c>
      <c r="DT31">
        <v>25.20222903225806</v>
      </c>
      <c r="DU31">
        <v>424.27819354838709</v>
      </c>
      <c r="DV31">
        <v>29.653935483870971</v>
      </c>
      <c r="DW31">
        <v>500.00067741935487</v>
      </c>
      <c r="DX31">
        <v>97.961838709677423</v>
      </c>
      <c r="DY31">
        <v>4.3749183870967739E-2</v>
      </c>
      <c r="DZ31">
        <v>30.887438709677419</v>
      </c>
      <c r="EA31">
        <v>30.407335483870959</v>
      </c>
      <c r="EB31">
        <v>999.90000000000032</v>
      </c>
      <c r="EC31">
        <v>0</v>
      </c>
      <c r="ED31">
        <v>0</v>
      </c>
      <c r="EE31">
        <v>9999.1935483870966</v>
      </c>
      <c r="EF31">
        <v>0</v>
      </c>
      <c r="EG31">
        <v>326.04258064516142</v>
      </c>
      <c r="EH31">
        <v>4.1911670967741932</v>
      </c>
      <c r="EI31">
        <v>432.9727419354839</v>
      </c>
      <c r="EJ31">
        <v>426.60164516129032</v>
      </c>
      <c r="EK31">
        <v>4.6640609677419356</v>
      </c>
      <c r="EL31">
        <v>415.85022580645159</v>
      </c>
      <c r="EM31">
        <v>25.20222903225806</v>
      </c>
      <c r="EN31">
        <v>2.925757096774193</v>
      </c>
      <c r="EO31">
        <v>2.468856774193549</v>
      </c>
      <c r="EP31">
        <v>23.611293548387088</v>
      </c>
      <c r="EQ31">
        <v>20.822635483870961</v>
      </c>
      <c r="ER31">
        <v>1.00021E-2</v>
      </c>
      <c r="ES31">
        <v>0</v>
      </c>
      <c r="ET31">
        <v>0</v>
      </c>
      <c r="EU31">
        <v>0</v>
      </c>
      <c r="EV31">
        <v>583.7483870967742</v>
      </c>
      <c r="EW31">
        <v>1.00021E-2</v>
      </c>
      <c r="EX31">
        <v>1224.198387096774</v>
      </c>
      <c r="EY31">
        <v>1.466129032258064</v>
      </c>
      <c r="EZ31">
        <v>35.42499999999999</v>
      </c>
      <c r="FA31">
        <v>38.805999999999997</v>
      </c>
      <c r="FB31">
        <v>37.461387096774182</v>
      </c>
      <c r="FC31">
        <v>38.678999999999988</v>
      </c>
      <c r="FD31">
        <v>37.945129032258052</v>
      </c>
      <c r="FE31">
        <v>0</v>
      </c>
      <c r="FF31">
        <v>0</v>
      </c>
      <c r="FG31">
        <v>0</v>
      </c>
      <c r="FH31">
        <v>161.70000004768369</v>
      </c>
      <c r="FI31">
        <v>0</v>
      </c>
      <c r="FJ31">
        <v>584.19705882352946</v>
      </c>
      <c r="FK31">
        <v>22.867646522532809</v>
      </c>
      <c r="FL31">
        <v>-34.093136596710522</v>
      </c>
      <c r="FM31">
        <v>1225.7823529411769</v>
      </c>
      <c r="FN31">
        <v>10</v>
      </c>
      <c r="FO31">
        <v>1783008542</v>
      </c>
      <c r="FP31" t="s">
        <v>530</v>
      </c>
      <c r="FQ31">
        <v>1783008530.5</v>
      </c>
      <c r="FR31">
        <v>1783008542</v>
      </c>
      <c r="FS31">
        <v>31</v>
      </c>
      <c r="FT31">
        <v>3.6999999999999998E-2</v>
      </c>
      <c r="FU31">
        <v>5.0000000000000001E-3</v>
      </c>
      <c r="FV31">
        <v>-4.22</v>
      </c>
      <c r="FW31">
        <v>8.1000000000000003E-2</v>
      </c>
      <c r="FX31">
        <v>416</v>
      </c>
      <c r="FY31">
        <v>25</v>
      </c>
      <c r="FZ31">
        <v>1.61</v>
      </c>
      <c r="GA31">
        <v>0.06</v>
      </c>
      <c r="GB31">
        <v>415.85629032258072</v>
      </c>
      <c r="GC31">
        <v>-0.2184193548401577</v>
      </c>
      <c r="GD31">
        <v>0.12395894053518521</v>
      </c>
      <c r="GE31">
        <v>-1</v>
      </c>
      <c r="GF31">
        <v>583.51176470588234</v>
      </c>
      <c r="GG31">
        <v>1.3246752666382979</v>
      </c>
      <c r="GH31">
        <v>3.871028492751702</v>
      </c>
      <c r="GI31">
        <v>1</v>
      </c>
      <c r="GJ31">
        <v>4.6292529268292677</v>
      </c>
      <c r="GK31">
        <v>0.46349226480837119</v>
      </c>
      <c r="GL31">
        <v>0.14889750325092929</v>
      </c>
      <c r="GM31">
        <v>1</v>
      </c>
      <c r="GN31">
        <v>2</v>
      </c>
      <c r="GO31">
        <v>2</v>
      </c>
      <c r="GP31" t="s">
        <v>410</v>
      </c>
      <c r="GQ31">
        <v>3.13212</v>
      </c>
      <c r="GR31">
        <v>2.7195999999999998</v>
      </c>
      <c r="GS31">
        <v>9.1746099999999997E-2</v>
      </c>
      <c r="GT31">
        <v>9.1117400000000001E-2</v>
      </c>
      <c r="GU31">
        <v>0.130381</v>
      </c>
      <c r="GV31">
        <v>0.11676599999999999</v>
      </c>
      <c r="GW31">
        <v>22830.5</v>
      </c>
      <c r="GX31">
        <v>30756.400000000001</v>
      </c>
      <c r="GY31">
        <v>27259.1</v>
      </c>
      <c r="GZ31">
        <v>34785.699999999997</v>
      </c>
      <c r="HA31">
        <v>34709.699999999997</v>
      </c>
      <c r="HB31">
        <v>39169</v>
      </c>
      <c r="HC31">
        <v>40257</v>
      </c>
      <c r="HD31">
        <v>44434.5</v>
      </c>
      <c r="HE31">
        <v>1.9822</v>
      </c>
      <c r="HF31">
        <v>1.8118000000000001</v>
      </c>
      <c r="HG31">
        <v>3.6060799999999997E-2</v>
      </c>
      <c r="HH31">
        <v>0</v>
      </c>
      <c r="HI31">
        <v>29.832899999999999</v>
      </c>
      <c r="HJ31">
        <v>999.9</v>
      </c>
      <c r="HK31">
        <v>58.4</v>
      </c>
      <c r="HL31">
        <v>36.299999999999997</v>
      </c>
      <c r="HM31">
        <v>36.174599999999998</v>
      </c>
      <c r="HN31">
        <v>59.6374</v>
      </c>
      <c r="HO31">
        <v>6.3902200000000002</v>
      </c>
      <c r="HP31">
        <v>1</v>
      </c>
      <c r="HQ31">
        <v>0.38398399999999999</v>
      </c>
      <c r="HR31">
        <v>0</v>
      </c>
      <c r="HS31">
        <v>20.299399999999999</v>
      </c>
      <c r="HT31">
        <v>5.2100999999999997</v>
      </c>
      <c r="HU31">
        <v>11.9033</v>
      </c>
      <c r="HV31">
        <v>4.9804000000000004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1.86731</v>
      </c>
      <c r="IC31">
        <v>1.8629199999999999</v>
      </c>
      <c r="ID31">
        <v>1.8623400000000001</v>
      </c>
      <c r="IE31">
        <v>1.86175</v>
      </c>
      <c r="IF31">
        <v>1.86185</v>
      </c>
      <c r="IG31">
        <v>1.86252</v>
      </c>
      <c r="IH31">
        <v>1.8633999999999999</v>
      </c>
      <c r="II31">
        <v>1.8613900000000001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-4.2359999999999998</v>
      </c>
      <c r="IX31">
        <v>0.2107</v>
      </c>
      <c r="IY31">
        <v>-2.4233428685160989</v>
      </c>
      <c r="IZ31">
        <v>-4.7754461378838441E-3</v>
      </c>
      <c r="JA31">
        <v>1.175754608921022E-6</v>
      </c>
      <c r="JB31">
        <v>1.4193218893046591E-11</v>
      </c>
      <c r="JC31">
        <v>-0.34341542690900068</v>
      </c>
      <c r="JD31">
        <v>2.7492919904454862E-4</v>
      </c>
      <c r="JE31">
        <v>8.6739513355948885E-4</v>
      </c>
      <c r="JF31">
        <v>-8.2500691715147318E-6</v>
      </c>
      <c r="JG31">
        <v>38</v>
      </c>
      <c r="JH31">
        <v>1780</v>
      </c>
      <c r="JI31">
        <v>2</v>
      </c>
      <c r="JJ31">
        <v>37</v>
      </c>
      <c r="JK31">
        <v>0.7</v>
      </c>
      <c r="JL31">
        <v>0.5</v>
      </c>
      <c r="JM31">
        <v>1.08643</v>
      </c>
      <c r="JN31">
        <v>2.52319</v>
      </c>
      <c r="JO31">
        <v>1.50024</v>
      </c>
      <c r="JP31">
        <v>2.2717299999999998</v>
      </c>
      <c r="JQ31">
        <v>1.4477500000000001</v>
      </c>
      <c r="JR31">
        <v>2.3046899999999999</v>
      </c>
      <c r="JS31">
        <v>38.697899999999997</v>
      </c>
      <c r="JT31">
        <v>14.981400000000001</v>
      </c>
      <c r="JU31">
        <v>18</v>
      </c>
      <c r="JV31">
        <v>541.41600000000005</v>
      </c>
      <c r="JW31">
        <v>445.41800000000001</v>
      </c>
      <c r="JX31">
        <v>31.002500000000001</v>
      </c>
      <c r="JY31">
        <v>32.158200000000001</v>
      </c>
      <c r="JZ31">
        <v>29.999700000000001</v>
      </c>
      <c r="KA31">
        <v>32.2819</v>
      </c>
      <c r="KB31">
        <v>32.262900000000002</v>
      </c>
      <c r="KC31">
        <v>21.732500000000002</v>
      </c>
      <c r="KD31">
        <v>38.6342</v>
      </c>
      <c r="KE31">
        <v>0</v>
      </c>
      <c r="KF31">
        <v>-999.9</v>
      </c>
      <c r="KG31">
        <v>416.12400000000002</v>
      </c>
      <c r="KH31">
        <v>25.17</v>
      </c>
      <c r="KI31">
        <v>100.60899999999999</v>
      </c>
      <c r="KJ31">
        <v>99.675899999999999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1CB0-D516-40A0-98FF-5ABFF1114058}">
  <dimension ref="A2:KJ31"/>
  <sheetViews>
    <sheetView workbookViewId="0">
      <selection activeCell="N35" sqref="N3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55</v>
      </c>
      <c r="G13" t="s">
        <v>56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256</v>
      </c>
      <c r="GC15" t="s">
        <v>257</v>
      </c>
      <c r="GD15" t="s">
        <v>258</v>
      </c>
      <c r="GE15" t="s">
        <v>259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1783003737.0999999</v>
      </c>
      <c r="C17">
        <v>0</v>
      </c>
      <c r="D17" t="s">
        <v>531</v>
      </c>
      <c r="E17" t="s">
        <v>532</v>
      </c>
      <c r="F17">
        <v>15</v>
      </c>
      <c r="H17">
        <v>1783003729.099999</v>
      </c>
      <c r="I17">
        <f t="shared" ref="I17:I31" si="0">(J17)/1000</f>
        <v>1.0067970874567156E-2</v>
      </c>
      <c r="J17">
        <f t="shared" ref="J17:J31" si="1">IF(DO17, AM17, AG17)</f>
        <v>10.067970874567155</v>
      </c>
      <c r="K17">
        <f t="shared" ref="K17:K31" si="2">IF(DO17, AH17, AF17)</f>
        <v>60.211736659248587</v>
      </c>
      <c r="L17">
        <f t="shared" ref="L17:L31" si="3">DQ17 - IF(AT17&gt;1, K17*DK17*100/(AV17), 0)</f>
        <v>420.13858064516143</v>
      </c>
      <c r="M17">
        <f t="shared" ref="M17:M31" si="4">((S17-I17/2)*L17-K17)/(S17+I17/2)</f>
        <v>227.97381080726288</v>
      </c>
      <c r="N17">
        <f t="shared" ref="N17:N31" si="5">M17*(DX17+DY17)/1000</f>
        <v>22.311710765352469</v>
      </c>
      <c r="O17">
        <f t="shared" ref="O17:O31" si="6">(DQ17 - IF(AT17&gt;1, K17*DK17*100/(AV17), 0))*(DX17+DY17)/1000</f>
        <v>41.118804214952895</v>
      </c>
      <c r="P17">
        <f t="shared" ref="P17:P31" si="7">2/((1/R17-1/Q17)+SIGN(R17)*SQRT((1/R17-1/Q17)*(1/R17-1/Q17) + 4*DL17/((DL17+1)*(DL17+1))*(2*1/R17*1/Q17-1/Q17*1/Q17)))</f>
        <v>0.57844894595185514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2.8908116534471233</v>
      </c>
      <c r="R17">
        <f t="shared" ref="R17:R31" si="9">I17*(1000-(1000*0.61365*EXP(17.502*V17/(240.97+V17))/(DX17+DY17)+DS17)/2)/(1000*0.61365*EXP(17.502*V17/(240.97+V17))/(DX17+DY17)-DS17)</f>
        <v>0.52100393726623806</v>
      </c>
      <c r="S17">
        <f t="shared" ref="S17:S31" si="10">1/((DL17+1)/(P17/1.6)+1/(Q17/1.37)) + DL17/((DL17+1)/(P17/1.6) + DL17/(Q17/1.37))</f>
        <v>0.33031197681597502</v>
      </c>
      <c r="T17">
        <f t="shared" ref="T17:T31" si="11">(DG17*DJ17)</f>
        <v>319.78128020211693</v>
      </c>
      <c r="U17">
        <f t="shared" ref="U17:U31" si="12">(DZ17+(T17+2*0.95*0.0000000567*(((DZ17+$B$7)+273)^4-(DZ17+273)^4)-44100*I17)/(1.84*29.3*Q17+8*0.95*0.0000000567*(DZ17+273)^3))</f>
        <v>35.418216660419134</v>
      </c>
      <c r="V17">
        <f t="shared" ref="V17:V31" si="13">($C$7*EA17+$D$7*EB17+$E$7*U17)</f>
        <v>35.189441935483877</v>
      </c>
      <c r="W17">
        <f t="shared" ref="W17:W31" si="14">0.61365*EXP(17.502*V17/(240.97+V17))</f>
        <v>5.7078973513375475</v>
      </c>
      <c r="X17">
        <f t="shared" ref="X17:X31" si="15">(Y17/Z17*100)</f>
        <v>64.944626786577658</v>
      </c>
      <c r="Y17">
        <f t="shared" ref="Y17:Y31" si="16">DS17*(DX17+DY17)/1000</f>
        <v>3.9095725466299829</v>
      </c>
      <c r="Z17">
        <f t="shared" ref="Z17:Z31" si="17">0.61365*EXP(17.502*DZ17/(240.97+DZ17))</f>
        <v>6.0198552829900756</v>
      </c>
      <c r="AA17">
        <f t="shared" ref="AA17:AA31" si="18">(W17-DS17*(DX17+DY17)/1000)</f>
        <v>1.7983248047075646</v>
      </c>
      <c r="AB17">
        <f t="shared" ref="AB17:AB31" si="19">(-I17*44100)</f>
        <v>-443.99751556841159</v>
      </c>
      <c r="AC17">
        <f t="shared" ref="AC17:AC31" si="20">2*29.3*Q17*0.92*(DZ17-V17)</f>
        <v>150.48871993835559</v>
      </c>
      <c r="AD17">
        <f t="shared" ref="AD17:AD31" si="21">2*0.95*0.0000000567*(((DZ17+$B$7)+273)^4-(V17+273)^4)</f>
        <v>12.237400039919697</v>
      </c>
      <c r="AE17">
        <f t="shared" ref="AE17:AE31" si="22">T17+AD17+AB17+AC17</f>
        <v>38.509884611980624</v>
      </c>
      <c r="AF17">
        <f t="shared" ref="AF17:AF31" si="23">DW17*AT17*(DR17-DQ17*(1000-AT17*DT17)/(1000-AT17*DS17))/(100*DK17)</f>
        <v>60.211736659248587</v>
      </c>
      <c r="AG17">
        <f t="shared" ref="AG17:AG31" si="24">1000*DW17*AT17*(DS17-DT17)/(100*DK17*(1000-AT17*DS17))</f>
        <v>10.067970874567155</v>
      </c>
      <c r="AH17">
        <f t="shared" ref="AH17:AH31" si="25">(AI17 - AJ17 - DX17*1000/(8.314*(DZ17+273.15)) * AL17/DW17 * AK17) * DW17/(100*DK17) * (1000 - DT17)/1000</f>
        <v>60.054962488667698</v>
      </c>
      <c r="AI17">
        <v>510.88015674706082</v>
      </c>
      <c r="AJ17">
        <v>437.11901212121211</v>
      </c>
      <c r="AK17">
        <v>-7.987755146965711E-2</v>
      </c>
      <c r="AL17">
        <v>67.081858535756979</v>
      </c>
      <c r="AM17">
        <f t="shared" ref="AM17:AM31" si="26">(AO17 - AN17 + DX17*1000/(8.314*(DZ17+273.15)) * AQ17/DW17 * AP17) * DW17/(100*DK17) * 1000/(1000 - AO17)</f>
        <v>10.10452705863316</v>
      </c>
      <c r="AN17">
        <v>28.208355362104552</v>
      </c>
      <c r="AO17">
        <v>39.911488484848483</v>
      </c>
      <c r="AP17">
        <v>-1.035076724921723E-2</v>
      </c>
      <c r="AQ17">
        <v>78.218882498912251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50186.816690423242</v>
      </c>
      <c r="AW17" t="s">
        <v>533</v>
      </c>
      <c r="AX17">
        <v>5108.59</v>
      </c>
      <c r="AY17">
        <v>577.7117647058825</v>
      </c>
      <c r="AZ17">
        <v>2527.6</v>
      </c>
      <c r="BA17">
        <f t="shared" ref="BA17:BA31" si="30">1-AY17/AZ17</f>
        <v>0.7714386118429013</v>
      </c>
      <c r="BB17">
        <v>-5.2534396484243606</v>
      </c>
      <c r="BC17" t="s">
        <v>534</v>
      </c>
      <c r="BD17">
        <v>5077.8500000000004</v>
      </c>
      <c r="BE17">
        <v>782.2042941176469</v>
      </c>
      <c r="BF17">
        <v>974.77</v>
      </c>
      <c r="BG17">
        <f t="shared" ref="BG17:BG31" si="31">1-BE17/BF17</f>
        <v>0.19754988959688247</v>
      </c>
      <c r="BH17">
        <v>0.5</v>
      </c>
      <c r="BI17">
        <f t="shared" ref="BI17:BI31" si="32">DH17</f>
        <v>1680.320236240442</v>
      </c>
      <c r="BJ17">
        <f t="shared" ref="BJ17:BJ31" si="33">K17</f>
        <v>60.211736659248587</v>
      </c>
      <c r="BK17">
        <f t="shared" ref="BK17:BK31" si="34">BG17*BH17*BI17</f>
        <v>165.97353857835338</v>
      </c>
      <c r="BL17">
        <f t="shared" ref="BL17:BL31" si="35">(BJ17-BB17)/BI17</f>
        <v>3.8959940430251021E-2</v>
      </c>
      <c r="BM17">
        <f t="shared" ref="BM17:BM31" si="36">(AZ17-BF17)/BF17</f>
        <v>1.5930219436379864</v>
      </c>
      <c r="BN17">
        <f t="shared" ref="BN17:BN31" si="37">AY17/(BA17+AY17/BF17)</f>
        <v>423.51027361703768</v>
      </c>
      <c r="BO17" t="s">
        <v>407</v>
      </c>
      <c r="BP17">
        <v>0</v>
      </c>
      <c r="BQ17">
        <f t="shared" ref="BQ17:BQ31" si="38">IF(BP17&lt;&gt;0, BP17, BN17)</f>
        <v>423.51027361703768</v>
      </c>
      <c r="BR17">
        <f t="shared" ref="BR17:BR31" si="39">1-BQ17/BF17</f>
        <v>0.565527997766614</v>
      </c>
      <c r="BS17">
        <f t="shared" ref="BS17:BS31" si="40">(BF17-BE17)/(BF17-BQ17)</f>
        <v>0.34931938007852387</v>
      </c>
      <c r="BT17">
        <f t="shared" ref="BT17:BT31" si="41">(AZ17-BF17)/(AZ17-BQ17)</f>
        <v>0.73800559953752265</v>
      </c>
      <c r="BU17">
        <f t="shared" ref="BU17:BU31" si="42">(BF17-BE17)/(BF17-AY17)</f>
        <v>0.48498101478668915</v>
      </c>
      <c r="BV17">
        <f t="shared" ref="BV17:BV31" si="43">(AZ17-BF17)/(AZ17-AY17)</f>
        <v>0.79636872098249989</v>
      </c>
      <c r="BW17">
        <f t="shared" ref="BW17:BW31" si="44">(BS17*BQ17/BE17)</f>
        <v>0.1891326183572942</v>
      </c>
      <c r="BX17">
        <f t="shared" ref="BX17:BX31" si="45">(1-BW17)</f>
        <v>0.81086738164270578</v>
      </c>
      <c r="DG17">
        <f t="shared" ref="DG17:DG31" si="46">$B$11*EF17+$C$11*EG17+$F$11*ER17*(1-EU17)</f>
        <v>2000.025161290323</v>
      </c>
      <c r="DH17">
        <f t="shared" ref="DH17:DH31" si="47">DG17*DI17</f>
        <v>1680.320236240442</v>
      </c>
      <c r="DI17">
        <f t="shared" ref="DI17:DI31" si="48">($B$11*$D$9+$C$11*$D$9+$F$11*((FE17+EW17)/MAX(FE17+EW17+FF17, 0.1)*$I$9+FF17/MAX(FE17+EW17+FF17, 0.1)*$J$9))/($B$11+$C$11+$F$11)</f>
        <v>0.84014954849686874</v>
      </c>
      <c r="DJ17">
        <f t="shared" ref="DJ17:DJ31" si="49">($B$11*$K$9+$C$11*$K$9+$F$11*((FE17+EW17)/MAX(FE17+EW17+FF17, 0.1)*$P$9+FF17/MAX(FE17+EW17+FF17, 0.1)*$Q$9))/($B$11+$C$11+$F$11)</f>
        <v>0.15988862859895669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1783003729.099999</v>
      </c>
      <c r="DQ17">
        <v>420.13858064516143</v>
      </c>
      <c r="DR17">
        <v>497.46893548387101</v>
      </c>
      <c r="DS17">
        <v>39.946741935483878</v>
      </c>
      <c r="DT17">
        <v>28.34774516129032</v>
      </c>
      <c r="DU17">
        <v>424.72487096774199</v>
      </c>
      <c r="DV17">
        <v>39.463903225806447</v>
      </c>
      <c r="DW17">
        <v>499.9978064516128</v>
      </c>
      <c r="DX17">
        <v>97.817561290322573</v>
      </c>
      <c r="DY17">
        <v>5.2061041935483873E-2</v>
      </c>
      <c r="DZ17">
        <v>36.155045161290317</v>
      </c>
      <c r="EA17">
        <v>35.189441935483877</v>
      </c>
      <c r="EB17">
        <v>999.90000000000032</v>
      </c>
      <c r="EC17">
        <v>0</v>
      </c>
      <c r="ED17">
        <v>0</v>
      </c>
      <c r="EE17">
        <v>9999.032258064517</v>
      </c>
      <c r="EF17">
        <v>0</v>
      </c>
      <c r="EG17">
        <v>349.64387096774192</v>
      </c>
      <c r="EH17">
        <v>-77.3305193548387</v>
      </c>
      <c r="EI17">
        <v>437.61987096774197</v>
      </c>
      <c r="EJ17">
        <v>511.9826129032258</v>
      </c>
      <c r="EK17">
        <v>11.598990322580651</v>
      </c>
      <c r="EL17">
        <v>497.46893548387101</v>
      </c>
      <c r="EM17">
        <v>28.34774516129032</v>
      </c>
      <c r="EN17">
        <v>3.9074922580645168</v>
      </c>
      <c r="EO17">
        <v>2.7729067741935478</v>
      </c>
      <c r="EP17">
        <v>28.502735483870961</v>
      </c>
      <c r="EQ17">
        <v>22.723606451612898</v>
      </c>
      <c r="ER17">
        <v>2000.025161290323</v>
      </c>
      <c r="ES17">
        <v>0.99500051612903218</v>
      </c>
      <c r="ET17">
        <v>4.9992845161290333E-3</v>
      </c>
      <c r="EU17">
        <v>0</v>
      </c>
      <c r="EV17">
        <v>782.07577419354845</v>
      </c>
      <c r="EW17">
        <v>5.0010700000000003</v>
      </c>
      <c r="EX17">
        <v>20548.822580645159</v>
      </c>
      <c r="EY17">
        <v>18241.874193548389</v>
      </c>
      <c r="EZ17">
        <v>45.5</v>
      </c>
      <c r="FA17">
        <v>46.928999999999981</v>
      </c>
      <c r="FB17">
        <v>46</v>
      </c>
      <c r="FC17">
        <v>46.311999999999969</v>
      </c>
      <c r="FD17">
        <v>47.125</v>
      </c>
      <c r="FE17">
        <v>1985.0490322580649</v>
      </c>
      <c r="FF17">
        <v>9.970000000000006</v>
      </c>
      <c r="FG17">
        <v>0</v>
      </c>
      <c r="FH17">
        <v>1783003745</v>
      </c>
      <c r="FI17">
        <v>0</v>
      </c>
      <c r="FJ17">
        <v>782.2042941176469</v>
      </c>
      <c r="FK17">
        <v>-0.3392156662986095</v>
      </c>
      <c r="FL17">
        <v>838.65196090615393</v>
      </c>
      <c r="FM17">
        <v>20646.158823529411</v>
      </c>
      <c r="FN17">
        <v>10</v>
      </c>
      <c r="FO17">
        <v>1783003702.5999999</v>
      </c>
      <c r="FP17" t="s">
        <v>535</v>
      </c>
      <c r="FQ17">
        <v>1783003693.0999999</v>
      </c>
      <c r="FR17">
        <v>1783003702.5999999</v>
      </c>
      <c r="FS17">
        <v>2</v>
      </c>
      <c r="FT17">
        <v>0.22800000000000001</v>
      </c>
      <c r="FU17">
        <v>-0.33300000000000002</v>
      </c>
      <c r="FV17">
        <v>-4.8719999999999999</v>
      </c>
      <c r="FW17">
        <v>0.109</v>
      </c>
      <c r="FX17">
        <v>497</v>
      </c>
      <c r="FY17">
        <v>27</v>
      </c>
      <c r="FZ17">
        <v>0.13</v>
      </c>
      <c r="GA17">
        <v>0.03</v>
      </c>
      <c r="GB17">
        <v>497.49740000000003</v>
      </c>
      <c r="GC17">
        <v>-14.767501668520371</v>
      </c>
      <c r="GD17">
        <v>1.157937551568885</v>
      </c>
      <c r="GE17">
        <v>-1</v>
      </c>
      <c r="GF17">
        <v>781.83170588235294</v>
      </c>
      <c r="GG17">
        <v>4.1306035215794203</v>
      </c>
      <c r="GH17">
        <v>0.52845855363176475</v>
      </c>
      <c r="GI17">
        <v>1</v>
      </c>
      <c r="GJ17">
        <v>11.591772499999999</v>
      </c>
      <c r="GK17">
        <v>0.39968667917445239</v>
      </c>
      <c r="GL17">
        <v>0.1006179630769278</v>
      </c>
      <c r="GM17">
        <v>1</v>
      </c>
      <c r="GN17">
        <v>2</v>
      </c>
      <c r="GO17">
        <v>2</v>
      </c>
      <c r="GP17" t="s">
        <v>410</v>
      </c>
      <c r="GQ17">
        <v>3.13226</v>
      </c>
      <c r="GR17">
        <v>2.7285900000000001</v>
      </c>
      <c r="GS17">
        <v>9.1025300000000003E-2</v>
      </c>
      <c r="GT17">
        <v>0.103131</v>
      </c>
      <c r="GU17">
        <v>0.15717400000000001</v>
      </c>
      <c r="GV17">
        <v>0.12509100000000001</v>
      </c>
      <c r="GW17">
        <v>22740.2</v>
      </c>
      <c r="GX17">
        <v>30165.4</v>
      </c>
      <c r="GY17">
        <v>27144.7</v>
      </c>
      <c r="GZ17">
        <v>34597.699999999997</v>
      </c>
      <c r="HA17">
        <v>33521.5</v>
      </c>
      <c r="HB17">
        <v>38645.599999999999</v>
      </c>
      <c r="HC17">
        <v>40086.800000000003</v>
      </c>
      <c r="HD17">
        <v>44246.7</v>
      </c>
      <c r="HE17">
        <v>1.9572000000000001</v>
      </c>
      <c r="HF17">
        <v>1.7625999999999999</v>
      </c>
      <c r="HG17">
        <v>6.1243800000000001E-2</v>
      </c>
      <c r="HH17">
        <v>0</v>
      </c>
      <c r="HI17">
        <v>34.205300000000001</v>
      </c>
      <c r="HJ17">
        <v>999.9</v>
      </c>
      <c r="HK17">
        <v>66.7</v>
      </c>
      <c r="HL17">
        <v>35.9</v>
      </c>
      <c r="HM17">
        <v>40.477400000000003</v>
      </c>
      <c r="HN17">
        <v>59.323700000000002</v>
      </c>
      <c r="HO17">
        <v>5.4126599999999998</v>
      </c>
      <c r="HP17">
        <v>1</v>
      </c>
      <c r="HQ17">
        <v>0.67044700000000002</v>
      </c>
      <c r="HR17">
        <v>0</v>
      </c>
      <c r="HS17">
        <v>20.2775</v>
      </c>
      <c r="HT17">
        <v>5.2077099999999996</v>
      </c>
      <c r="HU17">
        <v>11.908099999999999</v>
      </c>
      <c r="HV17">
        <v>4.9828000000000001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1.8629500000000001</v>
      </c>
      <c r="ID17">
        <v>1.8624000000000001</v>
      </c>
      <c r="IE17">
        <v>1.8619399999999999</v>
      </c>
      <c r="IF17">
        <v>1.86188</v>
      </c>
      <c r="IG17">
        <v>1.8626100000000001</v>
      </c>
      <c r="IH17">
        <v>1.8633999999999999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-4.5839999999999996</v>
      </c>
      <c r="IX17">
        <v>0.48159999999999997</v>
      </c>
      <c r="IY17">
        <v>-2.7712866547833919</v>
      </c>
      <c r="IZ17">
        <v>-4.7754461378838441E-3</v>
      </c>
      <c r="JA17">
        <v>1.175754608921022E-6</v>
      </c>
      <c r="JB17">
        <v>1.4193218893046591E-11</v>
      </c>
      <c r="JC17">
        <v>-0.37184079917344831</v>
      </c>
      <c r="JD17">
        <v>2.7492919904454862E-4</v>
      </c>
      <c r="JE17">
        <v>8.6739513355948885E-4</v>
      </c>
      <c r="JF17">
        <v>-8.2500691715147318E-6</v>
      </c>
      <c r="JG17">
        <v>38</v>
      </c>
      <c r="JH17">
        <v>1780</v>
      </c>
      <c r="JI17">
        <v>2</v>
      </c>
      <c r="JJ17">
        <v>37</v>
      </c>
      <c r="JK17">
        <v>0.7</v>
      </c>
      <c r="JL17">
        <v>0.6</v>
      </c>
      <c r="JM17">
        <v>1.24756</v>
      </c>
      <c r="JN17">
        <v>2.52075</v>
      </c>
      <c r="JO17">
        <v>1.50024</v>
      </c>
      <c r="JP17">
        <v>2.2705099999999998</v>
      </c>
      <c r="JQ17">
        <v>1.4477500000000001</v>
      </c>
      <c r="JR17">
        <v>2.3864700000000001</v>
      </c>
      <c r="JS17">
        <v>40.4255</v>
      </c>
      <c r="JT17">
        <v>15.629300000000001</v>
      </c>
      <c r="JU17">
        <v>18</v>
      </c>
      <c r="JV17">
        <v>551.01499999999999</v>
      </c>
      <c r="JW17">
        <v>436.16300000000001</v>
      </c>
      <c r="JX17">
        <v>35.404800000000002</v>
      </c>
      <c r="JY17">
        <v>35.582599999999999</v>
      </c>
      <c r="JZ17">
        <v>30.000299999999999</v>
      </c>
      <c r="KA17">
        <v>35.4589</v>
      </c>
      <c r="KB17">
        <v>35.402999999999999</v>
      </c>
      <c r="KC17">
        <v>24.950399999999998</v>
      </c>
      <c r="KD17">
        <v>39.121099999999998</v>
      </c>
      <c r="KE17">
        <v>27.694099999999999</v>
      </c>
      <c r="KF17">
        <v>-999.9</v>
      </c>
      <c r="KG17">
        <v>497.10399999999998</v>
      </c>
      <c r="KH17">
        <v>28.314800000000002</v>
      </c>
      <c r="KI17">
        <v>100.185</v>
      </c>
      <c r="KJ17">
        <v>99.203199999999995</v>
      </c>
    </row>
    <row r="18" spans="1:296" x14ac:dyDescent="0.3">
      <c r="A18">
        <v>2</v>
      </c>
      <c r="B18">
        <v>1783003863.5999999</v>
      </c>
      <c r="C18">
        <v>126.5</v>
      </c>
      <c r="D18" t="s">
        <v>536</v>
      </c>
      <c r="E18" t="s">
        <v>537</v>
      </c>
      <c r="F18">
        <v>15</v>
      </c>
      <c r="H18">
        <v>1783003855.599999</v>
      </c>
      <c r="I18">
        <f t="shared" si="0"/>
        <v>9.5438703240431286E-3</v>
      </c>
      <c r="J18">
        <f t="shared" si="1"/>
        <v>9.5438703240431284</v>
      </c>
      <c r="K18">
        <f t="shared" si="2"/>
        <v>56.459371955533427</v>
      </c>
      <c r="L18">
        <f t="shared" si="3"/>
        <v>419.82141935483872</v>
      </c>
      <c r="M18">
        <f t="shared" si="4"/>
        <v>228.97356481284115</v>
      </c>
      <c r="N18">
        <f t="shared" si="5"/>
        <v>22.411531248447179</v>
      </c>
      <c r="O18">
        <f t="shared" si="6"/>
        <v>41.091384790768451</v>
      </c>
      <c r="P18">
        <f t="shared" si="7"/>
        <v>0.54364866054623961</v>
      </c>
      <c r="Q18">
        <f t="shared" si="8"/>
        <v>2.8914877918577218</v>
      </c>
      <c r="R18">
        <f t="shared" si="9"/>
        <v>0.49259229878796801</v>
      </c>
      <c r="S18">
        <f t="shared" si="10"/>
        <v>0.3120568459957237</v>
      </c>
      <c r="T18">
        <f t="shared" si="11"/>
        <v>271.91139492575849</v>
      </c>
      <c r="U18">
        <f t="shared" si="12"/>
        <v>35.315798051752807</v>
      </c>
      <c r="V18">
        <f t="shared" si="13"/>
        <v>35.257593548387099</v>
      </c>
      <c r="W18">
        <f t="shared" si="14"/>
        <v>5.7294447298368771</v>
      </c>
      <c r="X18">
        <f t="shared" si="15"/>
        <v>65.069592081348446</v>
      </c>
      <c r="Y18">
        <f t="shared" si="16"/>
        <v>3.9266167018142415</v>
      </c>
      <c r="Z18">
        <f t="shared" si="17"/>
        <v>6.0344879631414914</v>
      </c>
      <c r="AA18">
        <f t="shared" si="18"/>
        <v>1.8028280280226356</v>
      </c>
      <c r="AB18">
        <f t="shared" si="19"/>
        <v>-420.88468129030196</v>
      </c>
      <c r="AC18">
        <f t="shared" si="20"/>
        <v>146.79271388018051</v>
      </c>
      <c r="AD18">
        <f t="shared" si="21"/>
        <v>11.940574341622414</v>
      </c>
      <c r="AE18">
        <f t="shared" si="22"/>
        <v>9.760001857259482</v>
      </c>
      <c r="AF18">
        <f t="shared" si="23"/>
        <v>56.459371955533427</v>
      </c>
      <c r="AG18">
        <f t="shared" si="24"/>
        <v>9.5438703240431284</v>
      </c>
      <c r="AH18">
        <f t="shared" si="25"/>
        <v>56.612136349061494</v>
      </c>
      <c r="AI18">
        <v>507.40935091784547</v>
      </c>
      <c r="AJ18">
        <v>437.19897575757562</v>
      </c>
      <c r="AK18">
        <v>4.658107212930359E-2</v>
      </c>
      <c r="AL18">
        <v>67.03585231941139</v>
      </c>
      <c r="AM18">
        <f t="shared" si="26"/>
        <v>9.5044687245522645</v>
      </c>
      <c r="AN18">
        <v>29.082170818434861</v>
      </c>
      <c r="AO18">
        <v>40.039039999999979</v>
      </c>
      <c r="AP18">
        <v>-1.364960447276729E-3</v>
      </c>
      <c r="AQ18">
        <v>78.070000366150552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50198.49690341502</v>
      </c>
      <c r="AW18" t="s">
        <v>533</v>
      </c>
      <c r="AX18">
        <v>5108.59</v>
      </c>
      <c r="AY18">
        <v>577.7117647058825</v>
      </c>
      <c r="AZ18">
        <v>2527.6</v>
      </c>
      <c r="BA18">
        <f t="shared" si="30"/>
        <v>0.7714386118429013</v>
      </c>
      <c r="BB18">
        <v>-5.2534396484243606</v>
      </c>
      <c r="BC18" t="s">
        <v>538</v>
      </c>
      <c r="BD18">
        <v>5081.12</v>
      </c>
      <c r="BE18">
        <v>791.75323529411764</v>
      </c>
      <c r="BF18">
        <v>1041.79</v>
      </c>
      <c r="BG18">
        <f t="shared" si="31"/>
        <v>0.24000687730337433</v>
      </c>
      <c r="BH18">
        <v>0.5</v>
      </c>
      <c r="BI18">
        <f t="shared" si="32"/>
        <v>1428.3240112769267</v>
      </c>
      <c r="BJ18">
        <f t="shared" si="33"/>
        <v>56.459371955533427</v>
      </c>
      <c r="BK18">
        <f t="shared" si="34"/>
        <v>171.4037928620024</v>
      </c>
      <c r="BL18">
        <f t="shared" si="35"/>
        <v>4.3206451139042548E-2</v>
      </c>
      <c r="BM18">
        <f t="shared" si="36"/>
        <v>1.4262087368855527</v>
      </c>
      <c r="BN18">
        <f t="shared" si="37"/>
        <v>435.68786791647597</v>
      </c>
      <c r="BO18" t="s">
        <v>407</v>
      </c>
      <c r="BP18">
        <v>0</v>
      </c>
      <c r="BQ18">
        <f t="shared" si="38"/>
        <v>435.68786791647597</v>
      </c>
      <c r="BR18">
        <f t="shared" si="39"/>
        <v>0.5817891629632882</v>
      </c>
      <c r="BS18">
        <f t="shared" si="40"/>
        <v>0.41253239589565732</v>
      </c>
      <c r="BT18">
        <f t="shared" si="41"/>
        <v>0.71026405804155257</v>
      </c>
      <c r="BU18">
        <f t="shared" si="42"/>
        <v>0.5387814934855053</v>
      </c>
      <c r="BV18">
        <f t="shared" si="43"/>
        <v>0.76199752021986189</v>
      </c>
      <c r="BW18">
        <f t="shared" si="44"/>
        <v>0.22700931553186149</v>
      </c>
      <c r="BX18">
        <f t="shared" si="45"/>
        <v>0.77299068446813846</v>
      </c>
      <c r="DG18">
        <f t="shared" si="46"/>
        <v>1700.023225806452</v>
      </c>
      <c r="DH18">
        <f t="shared" si="47"/>
        <v>1428.3240112769267</v>
      </c>
      <c r="DI18">
        <f t="shared" si="48"/>
        <v>0.84017911614081775</v>
      </c>
      <c r="DJ18">
        <f t="shared" si="49"/>
        <v>0.15994569415177839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1783003855.599999</v>
      </c>
      <c r="DQ18">
        <v>419.82141935483872</v>
      </c>
      <c r="DR18">
        <v>492.38112903225812</v>
      </c>
      <c r="DS18">
        <v>40.117358064516132</v>
      </c>
      <c r="DT18">
        <v>29.124103225806461</v>
      </c>
      <c r="DU18">
        <v>424.3964838709677</v>
      </c>
      <c r="DV18">
        <v>39.641490322580637</v>
      </c>
      <c r="DW18">
        <v>499.99725806451607</v>
      </c>
      <c r="DX18">
        <v>97.82556451612902</v>
      </c>
      <c r="DY18">
        <v>5.26829870967742E-2</v>
      </c>
      <c r="DZ18">
        <v>36.199261290322568</v>
      </c>
      <c r="EA18">
        <v>35.257593548387099</v>
      </c>
      <c r="EB18">
        <v>999.90000000000032</v>
      </c>
      <c r="EC18">
        <v>0</v>
      </c>
      <c r="ED18">
        <v>0</v>
      </c>
      <c r="EE18">
        <v>10002.096774193549</v>
      </c>
      <c r="EF18">
        <v>0</v>
      </c>
      <c r="EG18">
        <v>372.82277419354841</v>
      </c>
      <c r="EH18">
        <v>-72.559735483870966</v>
      </c>
      <c r="EI18">
        <v>437.36738709677428</v>
      </c>
      <c r="EJ18">
        <v>507.15148387096781</v>
      </c>
      <c r="EK18">
        <v>10.993248387096781</v>
      </c>
      <c r="EL18">
        <v>492.38112903225812</v>
      </c>
      <c r="EM18">
        <v>29.124103225806461</v>
      </c>
      <c r="EN18">
        <v>3.9245019354838711</v>
      </c>
      <c r="EO18">
        <v>2.8490816129032259</v>
      </c>
      <c r="EP18">
        <v>28.57754516129032</v>
      </c>
      <c r="EQ18">
        <v>23.171209677419359</v>
      </c>
      <c r="ER18">
        <v>1700.023225806452</v>
      </c>
      <c r="ES18">
        <v>0.99400877419354827</v>
      </c>
      <c r="ET18">
        <v>5.9907093548387082E-3</v>
      </c>
      <c r="EU18">
        <v>0</v>
      </c>
      <c r="EV18">
        <v>791.72438709677431</v>
      </c>
      <c r="EW18">
        <v>5.0010700000000003</v>
      </c>
      <c r="EX18">
        <v>18405.793548387101</v>
      </c>
      <c r="EY18">
        <v>15492.77419354839</v>
      </c>
      <c r="EZ18">
        <v>45.213419354838692</v>
      </c>
      <c r="FA18">
        <v>47</v>
      </c>
      <c r="FB18">
        <v>45.936999999999969</v>
      </c>
      <c r="FC18">
        <v>46.436999999999969</v>
      </c>
      <c r="FD18">
        <v>46.95529032258063</v>
      </c>
      <c r="FE18">
        <v>1684.863225806452</v>
      </c>
      <c r="FF18">
        <v>10.15</v>
      </c>
      <c r="FG18">
        <v>0</v>
      </c>
      <c r="FH18">
        <v>125.7999999523163</v>
      </c>
      <c r="FI18">
        <v>0</v>
      </c>
      <c r="FJ18">
        <v>791.75323529411764</v>
      </c>
      <c r="FK18">
        <v>1.1073529441672509</v>
      </c>
      <c r="FL18">
        <v>557.20588640471703</v>
      </c>
      <c r="FM18">
        <v>18427.01176470588</v>
      </c>
      <c r="FN18">
        <v>10</v>
      </c>
      <c r="FO18">
        <v>1783003822.0999999</v>
      </c>
      <c r="FP18" t="s">
        <v>539</v>
      </c>
      <c r="FQ18">
        <v>1783003815.5999999</v>
      </c>
      <c r="FR18">
        <v>1783003822.0999999</v>
      </c>
      <c r="FS18">
        <v>3</v>
      </c>
      <c r="FT18">
        <v>0.01</v>
      </c>
      <c r="FU18">
        <v>-1.2E-2</v>
      </c>
      <c r="FV18">
        <v>-4.8460000000000001</v>
      </c>
      <c r="FW18">
        <v>0.14099999999999999</v>
      </c>
      <c r="FX18">
        <v>493</v>
      </c>
      <c r="FY18">
        <v>29</v>
      </c>
      <c r="FZ18">
        <v>0.13</v>
      </c>
      <c r="GA18">
        <v>0.03</v>
      </c>
      <c r="GB18">
        <v>492.38812903225812</v>
      </c>
      <c r="GC18">
        <v>0.78120967741846348</v>
      </c>
      <c r="GD18">
        <v>0.22780789047699851</v>
      </c>
      <c r="GE18">
        <v>-1</v>
      </c>
      <c r="GF18">
        <v>791.65420588235304</v>
      </c>
      <c r="GG18">
        <v>0.96661573738576723</v>
      </c>
      <c r="GH18">
        <v>0.2302918582264584</v>
      </c>
      <c r="GI18">
        <v>1</v>
      </c>
      <c r="GJ18">
        <v>10.957782926829269</v>
      </c>
      <c r="GK18">
        <v>0.48829547038323479</v>
      </c>
      <c r="GL18">
        <v>7.3018300086562016E-2</v>
      </c>
      <c r="GM18">
        <v>1</v>
      </c>
      <c r="GN18">
        <v>2</v>
      </c>
      <c r="GO18">
        <v>2</v>
      </c>
      <c r="GP18" t="s">
        <v>410</v>
      </c>
      <c r="GQ18">
        <v>3.1329500000000001</v>
      </c>
      <c r="GR18">
        <v>2.7287599999999999</v>
      </c>
      <c r="GS18">
        <v>9.1032699999999994E-2</v>
      </c>
      <c r="GT18">
        <v>0.102492</v>
      </c>
      <c r="GU18">
        <v>0.157527</v>
      </c>
      <c r="GV18">
        <v>0.12790299999999999</v>
      </c>
      <c r="GW18">
        <v>22736.1</v>
      </c>
      <c r="GX18">
        <v>30180.400000000001</v>
      </c>
      <c r="GY18">
        <v>27140.5</v>
      </c>
      <c r="GZ18">
        <v>34590.800000000003</v>
      </c>
      <c r="HA18">
        <v>33503.4</v>
      </c>
      <c r="HB18">
        <v>38516.400000000001</v>
      </c>
      <c r="HC18">
        <v>40080.9</v>
      </c>
      <c r="HD18">
        <v>44240.7</v>
      </c>
      <c r="HE18">
        <v>1.9565999999999999</v>
      </c>
      <c r="HF18">
        <v>1.762</v>
      </c>
      <c r="HG18">
        <v>5.6713800000000002E-2</v>
      </c>
      <c r="HH18">
        <v>0</v>
      </c>
      <c r="HI18">
        <v>34.320300000000003</v>
      </c>
      <c r="HJ18">
        <v>999.9</v>
      </c>
      <c r="HK18">
        <v>66.099999999999994</v>
      </c>
      <c r="HL18">
        <v>36.1</v>
      </c>
      <c r="HM18">
        <v>40.551200000000001</v>
      </c>
      <c r="HN18">
        <v>59.953699999999998</v>
      </c>
      <c r="HO18">
        <v>5.6851000000000003</v>
      </c>
      <c r="HP18">
        <v>1</v>
      </c>
      <c r="HQ18">
        <v>0.67800800000000006</v>
      </c>
      <c r="HR18">
        <v>0</v>
      </c>
      <c r="HS18">
        <v>20.280200000000001</v>
      </c>
      <c r="HT18">
        <v>5.2065099999999997</v>
      </c>
      <c r="HU18">
        <v>11.908099999999999</v>
      </c>
      <c r="HV18">
        <v>4.9828000000000001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1.8629500000000001</v>
      </c>
      <c r="ID18">
        <v>1.86243</v>
      </c>
      <c r="IE18">
        <v>1.86188</v>
      </c>
      <c r="IF18">
        <v>1.86188</v>
      </c>
      <c r="IG18">
        <v>1.8626100000000001</v>
      </c>
      <c r="IH18">
        <v>1.8634299999999999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-4.5750000000000002</v>
      </c>
      <c r="IX18">
        <v>0.47339999999999999</v>
      </c>
      <c r="IY18">
        <v>-2.7612516441467321</v>
      </c>
      <c r="IZ18">
        <v>-4.7754461378838441E-3</v>
      </c>
      <c r="JA18">
        <v>1.175754608921022E-6</v>
      </c>
      <c r="JB18">
        <v>1.4193218893046591E-11</v>
      </c>
      <c r="JC18">
        <v>-0.38415878199803261</v>
      </c>
      <c r="JD18">
        <v>2.7492919904454862E-4</v>
      </c>
      <c r="JE18">
        <v>8.6739513355948885E-4</v>
      </c>
      <c r="JF18">
        <v>-8.2500691715147318E-6</v>
      </c>
      <c r="JG18">
        <v>38</v>
      </c>
      <c r="JH18">
        <v>1780</v>
      </c>
      <c r="JI18">
        <v>2</v>
      </c>
      <c r="JJ18">
        <v>37</v>
      </c>
      <c r="JK18">
        <v>0.8</v>
      </c>
      <c r="JL18">
        <v>0.7</v>
      </c>
      <c r="JM18">
        <v>1.24146</v>
      </c>
      <c r="JN18">
        <v>2.5134300000000001</v>
      </c>
      <c r="JO18">
        <v>1.50024</v>
      </c>
      <c r="JP18">
        <v>2.2705099999999998</v>
      </c>
      <c r="JQ18">
        <v>1.4477500000000001</v>
      </c>
      <c r="JR18">
        <v>2.4145500000000002</v>
      </c>
      <c r="JS18">
        <v>40.527500000000003</v>
      </c>
      <c r="JT18">
        <v>15.629300000000001</v>
      </c>
      <c r="JU18">
        <v>18</v>
      </c>
      <c r="JV18">
        <v>551.32299999999998</v>
      </c>
      <c r="JW18">
        <v>436.40899999999999</v>
      </c>
      <c r="JX18">
        <v>35.494500000000002</v>
      </c>
      <c r="JY18">
        <v>35.674599999999998</v>
      </c>
      <c r="JZ18">
        <v>30.000599999999999</v>
      </c>
      <c r="KA18">
        <v>35.547400000000003</v>
      </c>
      <c r="KB18">
        <v>35.4968</v>
      </c>
      <c r="KC18">
        <v>24.839300000000001</v>
      </c>
      <c r="KD18">
        <v>37.075000000000003</v>
      </c>
      <c r="KE18">
        <v>23.757100000000001</v>
      </c>
      <c r="KF18">
        <v>-999.9</v>
      </c>
      <c r="KG18">
        <v>492.81900000000002</v>
      </c>
      <c r="KH18">
        <v>29.205300000000001</v>
      </c>
      <c r="KI18">
        <v>100.17</v>
      </c>
      <c r="KJ18">
        <v>99.186800000000005</v>
      </c>
    </row>
    <row r="19" spans="1:296" x14ac:dyDescent="0.3">
      <c r="A19">
        <v>3</v>
      </c>
      <c r="B19">
        <v>1783003986.0999999</v>
      </c>
      <c r="C19">
        <v>249</v>
      </c>
      <c r="D19" t="s">
        <v>540</v>
      </c>
      <c r="E19" t="s">
        <v>541</v>
      </c>
      <c r="F19">
        <v>15</v>
      </c>
      <c r="H19">
        <v>1783003978.349999</v>
      </c>
      <c r="I19">
        <f t="shared" si="0"/>
        <v>9.1197030761224016E-3</v>
      </c>
      <c r="J19">
        <f t="shared" si="1"/>
        <v>9.1197030761224021</v>
      </c>
      <c r="K19">
        <f t="shared" si="2"/>
        <v>55.079374686341509</v>
      </c>
      <c r="L19">
        <f t="shared" si="3"/>
        <v>420.05610000000001</v>
      </c>
      <c r="M19">
        <f t="shared" si="4"/>
        <v>224.64862466651886</v>
      </c>
      <c r="N19">
        <f t="shared" si="5"/>
        <v>21.989842666737271</v>
      </c>
      <c r="O19">
        <f t="shared" si="6"/>
        <v>41.11740084727932</v>
      </c>
      <c r="P19">
        <f t="shared" si="7"/>
        <v>0.51507296138311065</v>
      </c>
      <c r="Q19">
        <f t="shared" si="8"/>
        <v>2.890667804633396</v>
      </c>
      <c r="R19">
        <f t="shared" si="9"/>
        <v>0.46898781843589343</v>
      </c>
      <c r="S19">
        <f t="shared" si="10"/>
        <v>0.2969135772195633</v>
      </c>
      <c r="T19">
        <f t="shared" si="11"/>
        <v>255.91352362983108</v>
      </c>
      <c r="U19">
        <f t="shared" si="12"/>
        <v>35.340527101063962</v>
      </c>
      <c r="V19">
        <f t="shared" si="13"/>
        <v>35.306363333333337</v>
      </c>
      <c r="W19">
        <f t="shared" si="14"/>
        <v>5.7449075472482738</v>
      </c>
      <c r="X19">
        <f t="shared" si="15"/>
        <v>65.186565338400129</v>
      </c>
      <c r="Y19">
        <f t="shared" si="16"/>
        <v>3.9355961086002909</v>
      </c>
      <c r="Z19">
        <f t="shared" si="17"/>
        <v>6.037434382636369</v>
      </c>
      <c r="AA19">
        <f t="shared" si="18"/>
        <v>1.8093114386479829</v>
      </c>
      <c r="AB19">
        <f t="shared" si="19"/>
        <v>-402.17890565699793</v>
      </c>
      <c r="AC19">
        <f t="shared" si="20"/>
        <v>140.5364710270602</v>
      </c>
      <c r="AD19">
        <f t="shared" si="21"/>
        <v>11.438116617208971</v>
      </c>
      <c r="AE19">
        <f t="shared" si="22"/>
        <v>5.7092056171023273</v>
      </c>
      <c r="AF19">
        <f t="shared" si="23"/>
        <v>55.079374686341509</v>
      </c>
      <c r="AG19">
        <f t="shared" si="24"/>
        <v>9.1197030761224021</v>
      </c>
      <c r="AH19">
        <f t="shared" si="25"/>
        <v>55.611609338586071</v>
      </c>
      <c r="AI19">
        <v>505.21129707293233</v>
      </c>
      <c r="AJ19">
        <v>436.97915151515122</v>
      </c>
      <c r="AK19">
        <v>-0.1066983144761743</v>
      </c>
      <c r="AL19">
        <v>67.081374726444224</v>
      </c>
      <c r="AM19">
        <f t="shared" si="26"/>
        <v>9.1209399066702748</v>
      </c>
      <c r="AN19">
        <v>29.663245174261981</v>
      </c>
      <c r="AO19">
        <v>40.18668545454544</v>
      </c>
      <c r="AP19">
        <v>-3.0552204440514388E-3</v>
      </c>
      <c r="AQ19">
        <v>78.217357730873346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50174.536557933068</v>
      </c>
      <c r="AW19" t="s">
        <v>533</v>
      </c>
      <c r="AX19">
        <v>5108.59</v>
      </c>
      <c r="AY19">
        <v>577.7117647058825</v>
      </c>
      <c r="AZ19">
        <v>2527.6</v>
      </c>
      <c r="BA19">
        <f t="shared" si="30"/>
        <v>0.7714386118429013</v>
      </c>
      <c r="BB19">
        <v>-5.2534396484243606</v>
      </c>
      <c r="BC19" t="s">
        <v>542</v>
      </c>
      <c r="BD19">
        <v>5080.79</v>
      </c>
      <c r="BE19">
        <v>795.57882352941181</v>
      </c>
      <c r="BF19">
        <v>1070.04</v>
      </c>
      <c r="BG19">
        <f t="shared" si="31"/>
        <v>0.25649618376003525</v>
      </c>
      <c r="BH19">
        <v>0.5</v>
      </c>
      <c r="BI19">
        <f t="shared" si="32"/>
        <v>1344.2867998082027</v>
      </c>
      <c r="BJ19">
        <f t="shared" si="33"/>
        <v>55.079374686341509</v>
      </c>
      <c r="BK19">
        <f t="shared" si="34"/>
        <v>172.40221701489722</v>
      </c>
      <c r="BL19">
        <f t="shared" si="35"/>
        <v>4.4880909597099304E-2</v>
      </c>
      <c r="BM19">
        <f t="shared" si="36"/>
        <v>1.3621546858061382</v>
      </c>
      <c r="BN19">
        <f t="shared" si="37"/>
        <v>440.55206273663055</v>
      </c>
      <c r="BO19" t="s">
        <v>407</v>
      </c>
      <c r="BP19">
        <v>0</v>
      </c>
      <c r="BQ19">
        <f t="shared" si="38"/>
        <v>440.55206273663055</v>
      </c>
      <c r="BR19">
        <f t="shared" si="39"/>
        <v>0.58828449148010309</v>
      </c>
      <c r="BS19">
        <f t="shared" si="40"/>
        <v>0.43600704671765178</v>
      </c>
      <c r="BT19">
        <f t="shared" si="41"/>
        <v>0.69838357518094085</v>
      </c>
      <c r="BU19">
        <f t="shared" si="42"/>
        <v>0.5574760023800478</v>
      </c>
      <c r="BV19">
        <f t="shared" si="43"/>
        <v>0.74750951034900959</v>
      </c>
      <c r="BW19">
        <f t="shared" si="44"/>
        <v>0.24143906061630707</v>
      </c>
      <c r="BX19">
        <f t="shared" si="45"/>
        <v>0.75856093938369296</v>
      </c>
      <c r="DG19">
        <f t="shared" si="46"/>
        <v>1600</v>
      </c>
      <c r="DH19">
        <f t="shared" si="47"/>
        <v>1344.2867998082027</v>
      </c>
      <c r="DI19">
        <f t="shared" si="48"/>
        <v>0.8401792498801266</v>
      </c>
      <c r="DJ19">
        <f t="shared" si="49"/>
        <v>0.15994595226864441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1783003978.349999</v>
      </c>
      <c r="DQ19">
        <v>420.05610000000001</v>
      </c>
      <c r="DR19">
        <v>490.74816666666658</v>
      </c>
      <c r="DS19">
        <v>40.206120000000013</v>
      </c>
      <c r="DT19">
        <v>29.702496666666669</v>
      </c>
      <c r="DU19">
        <v>424.59346666666647</v>
      </c>
      <c r="DV19">
        <v>39.732866666666673</v>
      </c>
      <c r="DW19">
        <v>500.00090000000012</v>
      </c>
      <c r="DX19">
        <v>97.832626666666684</v>
      </c>
      <c r="DY19">
        <v>5.2872073333333318E-2</v>
      </c>
      <c r="DZ19">
        <v>36.208153333333343</v>
      </c>
      <c r="EA19">
        <v>35.306363333333337</v>
      </c>
      <c r="EB19">
        <v>999.9000000000002</v>
      </c>
      <c r="EC19">
        <v>0</v>
      </c>
      <c r="ED19">
        <v>0</v>
      </c>
      <c r="EE19">
        <v>9996.6666666666661</v>
      </c>
      <c r="EF19">
        <v>0</v>
      </c>
      <c r="EG19">
        <v>389.23366666666669</v>
      </c>
      <c r="EH19">
        <v>-70.692023333333324</v>
      </c>
      <c r="EI19">
        <v>437.65243333333342</v>
      </c>
      <c r="EJ19">
        <v>505.77089999999998</v>
      </c>
      <c r="EK19">
        <v>10.5036</v>
      </c>
      <c r="EL19">
        <v>490.74816666666658</v>
      </c>
      <c r="EM19">
        <v>29.702496666666669</v>
      </c>
      <c r="EN19">
        <v>3.9334699999999998</v>
      </c>
      <c r="EO19">
        <v>2.905873666666666</v>
      </c>
      <c r="EP19">
        <v>28.61688333333333</v>
      </c>
      <c r="EQ19">
        <v>23.498159999999999</v>
      </c>
      <c r="ER19">
        <v>1600</v>
      </c>
      <c r="ES19">
        <v>0.99400750000000004</v>
      </c>
      <c r="ET19">
        <v>5.9922469999999983E-3</v>
      </c>
      <c r="EU19">
        <v>0</v>
      </c>
      <c r="EV19">
        <v>795.57209999999986</v>
      </c>
      <c r="EW19">
        <v>5.0010700000000003</v>
      </c>
      <c r="EX19">
        <v>17910.73</v>
      </c>
      <c r="EY19">
        <v>14578.54</v>
      </c>
      <c r="EZ19">
        <v>45</v>
      </c>
      <c r="FA19">
        <v>47</v>
      </c>
      <c r="FB19">
        <v>45.811999999999983</v>
      </c>
      <c r="FC19">
        <v>46.436999999999983</v>
      </c>
      <c r="FD19">
        <v>46.820399999999978</v>
      </c>
      <c r="FE19">
        <v>1585.44</v>
      </c>
      <c r="FF19">
        <v>9.56</v>
      </c>
      <c r="FG19">
        <v>0</v>
      </c>
      <c r="FH19">
        <v>121.5999999046326</v>
      </c>
      <c r="FI19">
        <v>0</v>
      </c>
      <c r="FJ19">
        <v>795.57882352941181</v>
      </c>
      <c r="FK19">
        <v>-0.95269606581724098</v>
      </c>
      <c r="FL19">
        <v>36.102940108648873</v>
      </c>
      <c r="FM19">
        <v>17918.52941176471</v>
      </c>
      <c r="FN19">
        <v>10</v>
      </c>
      <c r="FO19">
        <v>1783003950.0999999</v>
      </c>
      <c r="FP19" t="s">
        <v>543</v>
      </c>
      <c r="FQ19">
        <v>1783003943.5999999</v>
      </c>
      <c r="FR19">
        <v>1783003950.0999999</v>
      </c>
      <c r="FS19">
        <v>4</v>
      </c>
      <c r="FT19">
        <v>3.9E-2</v>
      </c>
      <c r="FU19">
        <v>-5.0000000000000001E-3</v>
      </c>
      <c r="FV19">
        <v>-4.8</v>
      </c>
      <c r="FW19">
        <v>0.14599999999999999</v>
      </c>
      <c r="FX19">
        <v>491</v>
      </c>
      <c r="FY19">
        <v>29</v>
      </c>
      <c r="FZ19">
        <v>0.13</v>
      </c>
      <c r="GA19">
        <v>0.04</v>
      </c>
      <c r="GB19">
        <v>490.8325333333334</v>
      </c>
      <c r="GC19">
        <v>-10.021321468298829</v>
      </c>
      <c r="GD19">
        <v>0.82344357156732673</v>
      </c>
      <c r="GE19">
        <v>-1</v>
      </c>
      <c r="GF19">
        <v>795.398411764706</v>
      </c>
      <c r="GG19">
        <v>2.5044461343364559</v>
      </c>
      <c r="GH19">
        <v>0.42653895192426139</v>
      </c>
      <c r="GI19">
        <v>1</v>
      </c>
      <c r="GJ19">
        <v>10.4906925</v>
      </c>
      <c r="GK19">
        <v>0.29538348968102152</v>
      </c>
      <c r="GL19">
        <v>3.8417010473877432E-2</v>
      </c>
      <c r="GM19">
        <v>1</v>
      </c>
      <c r="GN19">
        <v>2</v>
      </c>
      <c r="GO19">
        <v>2</v>
      </c>
      <c r="GP19" t="s">
        <v>410</v>
      </c>
      <c r="GQ19">
        <v>3.13347</v>
      </c>
      <c r="GR19">
        <v>2.72905</v>
      </c>
      <c r="GS19">
        <v>9.0966400000000003E-2</v>
      </c>
      <c r="GT19">
        <v>0.10212599999999999</v>
      </c>
      <c r="GU19">
        <v>0.157889</v>
      </c>
      <c r="GV19">
        <v>0.12942000000000001</v>
      </c>
      <c r="GW19">
        <v>22734.1</v>
      </c>
      <c r="GX19">
        <v>30185.3</v>
      </c>
      <c r="GY19">
        <v>27136.6</v>
      </c>
      <c r="GZ19">
        <v>34583.1</v>
      </c>
      <c r="HA19">
        <v>33485.599999999999</v>
      </c>
      <c r="HB19">
        <v>38441.300000000003</v>
      </c>
      <c r="HC19">
        <v>40075.599999999999</v>
      </c>
      <c r="HD19">
        <v>44230.9</v>
      </c>
      <c r="HE19">
        <v>1.956</v>
      </c>
      <c r="HF19">
        <v>1.7602</v>
      </c>
      <c r="HG19">
        <v>5.75185E-2</v>
      </c>
      <c r="HH19">
        <v>0</v>
      </c>
      <c r="HI19">
        <v>34.407600000000002</v>
      </c>
      <c r="HJ19">
        <v>999.9</v>
      </c>
      <c r="HK19">
        <v>65.5</v>
      </c>
      <c r="HL19">
        <v>36.200000000000003</v>
      </c>
      <c r="HM19">
        <v>40.406399999999998</v>
      </c>
      <c r="HN19">
        <v>59.8337</v>
      </c>
      <c r="HO19">
        <v>5.2123400000000002</v>
      </c>
      <c r="HP19">
        <v>1</v>
      </c>
      <c r="HQ19">
        <v>0.68640199999999996</v>
      </c>
      <c r="HR19">
        <v>0</v>
      </c>
      <c r="HS19">
        <v>20.2807</v>
      </c>
      <c r="HT19">
        <v>5.2100999999999997</v>
      </c>
      <c r="HU19">
        <v>11.908099999999999</v>
      </c>
      <c r="HV19">
        <v>4.9836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1.86249</v>
      </c>
      <c r="IE19">
        <v>1.86191</v>
      </c>
      <c r="IF19">
        <v>1.8619399999999999</v>
      </c>
      <c r="IG19">
        <v>1.8626400000000001</v>
      </c>
      <c r="IH19">
        <v>1.8635600000000001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-4.5350000000000001</v>
      </c>
      <c r="IX19">
        <v>0.47239999999999999</v>
      </c>
      <c r="IY19">
        <v>-2.7227652189789948</v>
      </c>
      <c r="IZ19">
        <v>-4.7754461378838441E-3</v>
      </c>
      <c r="JA19">
        <v>1.175754608921022E-6</v>
      </c>
      <c r="JB19">
        <v>1.4193218893046591E-11</v>
      </c>
      <c r="JC19">
        <v>-0.38953964151773668</v>
      </c>
      <c r="JD19">
        <v>2.7492919904454862E-4</v>
      </c>
      <c r="JE19">
        <v>8.6739513355948885E-4</v>
      </c>
      <c r="JF19">
        <v>-8.2500691715147318E-6</v>
      </c>
      <c r="JG19">
        <v>38</v>
      </c>
      <c r="JH19">
        <v>1780</v>
      </c>
      <c r="JI19">
        <v>2</v>
      </c>
      <c r="JJ19">
        <v>37</v>
      </c>
      <c r="JK19">
        <v>0.7</v>
      </c>
      <c r="JL19">
        <v>0.6</v>
      </c>
      <c r="JM19">
        <v>1.2390099999999999</v>
      </c>
      <c r="JN19">
        <v>2.5280800000000001</v>
      </c>
      <c r="JO19">
        <v>1.50024</v>
      </c>
      <c r="JP19">
        <v>2.2705099999999998</v>
      </c>
      <c r="JQ19">
        <v>1.4477500000000001</v>
      </c>
      <c r="JR19">
        <v>2.3168899999999999</v>
      </c>
      <c r="JS19">
        <v>40.6554</v>
      </c>
      <c r="JT19">
        <v>15.603</v>
      </c>
      <c r="JU19">
        <v>18</v>
      </c>
      <c r="JV19">
        <v>551.76700000000005</v>
      </c>
      <c r="JW19">
        <v>435.94200000000001</v>
      </c>
      <c r="JX19">
        <v>35.563699999999997</v>
      </c>
      <c r="JY19">
        <v>35.780099999999997</v>
      </c>
      <c r="JZ19">
        <v>30.0002</v>
      </c>
      <c r="KA19">
        <v>35.651200000000003</v>
      </c>
      <c r="KB19">
        <v>35.597499999999997</v>
      </c>
      <c r="KC19">
        <v>24.778700000000001</v>
      </c>
      <c r="KD19">
        <v>36.584299999999999</v>
      </c>
      <c r="KE19">
        <v>20.4542</v>
      </c>
      <c r="KF19">
        <v>-999.9</v>
      </c>
      <c r="KG19">
        <v>490.92200000000003</v>
      </c>
      <c r="KH19">
        <v>29.525600000000001</v>
      </c>
      <c r="KI19">
        <v>100.15600000000001</v>
      </c>
      <c r="KJ19">
        <v>99.164699999999996</v>
      </c>
    </row>
    <row r="20" spans="1:296" x14ac:dyDescent="0.3">
      <c r="A20">
        <v>4</v>
      </c>
      <c r="B20">
        <v>1783004110.5999999</v>
      </c>
      <c r="C20">
        <v>373.5</v>
      </c>
      <c r="D20" t="s">
        <v>544</v>
      </c>
      <c r="E20" t="s">
        <v>545</v>
      </c>
      <c r="F20">
        <v>15</v>
      </c>
      <c r="H20">
        <v>1783004102.599999</v>
      </c>
      <c r="I20">
        <f t="shared" si="0"/>
        <v>8.6927284480583684E-3</v>
      </c>
      <c r="J20">
        <f t="shared" si="1"/>
        <v>8.692728448058368</v>
      </c>
      <c r="K20">
        <f t="shared" si="2"/>
        <v>52.01651625612292</v>
      </c>
      <c r="L20">
        <f t="shared" si="3"/>
        <v>419.98916129032261</v>
      </c>
      <c r="M20">
        <f t="shared" si="4"/>
        <v>225.47787443734038</v>
      </c>
      <c r="N20">
        <f t="shared" si="5"/>
        <v>22.071766253472966</v>
      </c>
      <c r="O20">
        <f t="shared" si="6"/>
        <v>41.112249350958976</v>
      </c>
      <c r="P20">
        <f t="shared" si="7"/>
        <v>0.48687051451268554</v>
      </c>
      <c r="Q20">
        <f t="shared" si="8"/>
        <v>2.8901493838147112</v>
      </c>
      <c r="R20">
        <f t="shared" si="9"/>
        <v>0.44547019861116233</v>
      </c>
      <c r="S20">
        <f t="shared" si="10"/>
        <v>0.2818445755769225</v>
      </c>
      <c r="T20">
        <f t="shared" si="11"/>
        <v>224.00563108378566</v>
      </c>
      <c r="U20">
        <f t="shared" si="12"/>
        <v>35.284030415430905</v>
      </c>
      <c r="V20">
        <f t="shared" si="13"/>
        <v>35.340235483870963</v>
      </c>
      <c r="W20">
        <f t="shared" si="14"/>
        <v>5.7556682884835588</v>
      </c>
      <c r="X20">
        <f t="shared" si="15"/>
        <v>65.185248845834991</v>
      </c>
      <c r="Y20">
        <f t="shared" si="16"/>
        <v>3.9401042010506488</v>
      </c>
      <c r="Z20">
        <f t="shared" si="17"/>
        <v>6.0444721325972228</v>
      </c>
      <c r="AA20">
        <f t="shared" si="18"/>
        <v>1.81556408743291</v>
      </c>
      <c r="AB20">
        <f t="shared" si="19"/>
        <v>-383.34932455937405</v>
      </c>
      <c r="AC20">
        <f t="shared" si="20"/>
        <v>138.54052465048602</v>
      </c>
      <c r="AD20">
        <f t="shared" si="21"/>
        <v>11.280709469153384</v>
      </c>
      <c r="AE20">
        <f t="shared" si="22"/>
        <v>-9.5224593559489961</v>
      </c>
      <c r="AF20">
        <f t="shared" si="23"/>
        <v>52.01651625612292</v>
      </c>
      <c r="AG20">
        <f t="shared" si="24"/>
        <v>8.692728448058368</v>
      </c>
      <c r="AH20">
        <f t="shared" si="25"/>
        <v>51.98089947898103</v>
      </c>
      <c r="AI20">
        <v>501.67652491977441</v>
      </c>
      <c r="AJ20">
        <v>437.22609696969698</v>
      </c>
      <c r="AK20">
        <v>2.5006836730160669E-2</v>
      </c>
      <c r="AL20">
        <v>67.081627601904827</v>
      </c>
      <c r="AM20">
        <f t="shared" si="26"/>
        <v>8.6372656862578836</v>
      </c>
      <c r="AN20">
        <v>30.234296851576389</v>
      </c>
      <c r="AO20">
        <v>40.189718787878782</v>
      </c>
      <c r="AP20">
        <v>-1.2021258275001321E-3</v>
      </c>
      <c r="AQ20">
        <v>78.218138833014478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50156.828348239258</v>
      </c>
      <c r="AW20" t="s">
        <v>533</v>
      </c>
      <c r="AX20">
        <v>5108.59</v>
      </c>
      <c r="AY20">
        <v>577.7117647058825</v>
      </c>
      <c r="AZ20">
        <v>2527.6</v>
      </c>
      <c r="BA20">
        <f t="shared" si="30"/>
        <v>0.7714386118429013</v>
      </c>
      <c r="BB20">
        <v>-5.2534396484243606</v>
      </c>
      <c r="BC20" t="s">
        <v>546</v>
      </c>
      <c r="BD20">
        <v>5083.88</v>
      </c>
      <c r="BE20">
        <v>804.32905882352952</v>
      </c>
      <c r="BF20">
        <v>1135.57</v>
      </c>
      <c r="BG20">
        <f t="shared" si="31"/>
        <v>0.2916957485460786</v>
      </c>
      <c r="BH20">
        <v>0.5</v>
      </c>
      <c r="BI20">
        <f t="shared" si="32"/>
        <v>1176.2928288082453</v>
      </c>
      <c r="BJ20">
        <f t="shared" si="33"/>
        <v>52.01651625612292</v>
      </c>
      <c r="BK20">
        <f t="shared" si="34"/>
        <v>171.5598086043027</v>
      </c>
      <c r="BL20">
        <f t="shared" si="35"/>
        <v>4.8686818878739595E-2</v>
      </c>
      <c r="BM20">
        <f t="shared" si="36"/>
        <v>1.2258425284218499</v>
      </c>
      <c r="BN20">
        <f t="shared" si="37"/>
        <v>451.27376062809361</v>
      </c>
      <c r="BO20" t="s">
        <v>407</v>
      </c>
      <c r="BP20">
        <v>0</v>
      </c>
      <c r="BQ20">
        <f t="shared" si="38"/>
        <v>451.27376062809361</v>
      </c>
      <c r="BR20">
        <f t="shared" si="39"/>
        <v>0.60260154756809914</v>
      </c>
      <c r="BS20">
        <f t="shared" si="40"/>
        <v>0.48406073585981696</v>
      </c>
      <c r="BT20">
        <f t="shared" si="41"/>
        <v>0.67042932541328004</v>
      </c>
      <c r="BU20">
        <f t="shared" si="42"/>
        <v>0.59377261142668536</v>
      </c>
      <c r="BV20">
        <f t="shared" si="43"/>
        <v>0.71390245594770152</v>
      </c>
      <c r="BW20">
        <f t="shared" si="44"/>
        <v>0.27158525015044699</v>
      </c>
      <c r="BX20">
        <f t="shared" si="45"/>
        <v>0.72841474984955301</v>
      </c>
      <c r="DG20">
        <f t="shared" si="46"/>
        <v>1399.9996774193539</v>
      </c>
      <c r="DH20">
        <f t="shared" si="47"/>
        <v>1176.2928288082453</v>
      </c>
      <c r="DI20">
        <f t="shared" si="48"/>
        <v>0.84020935703108746</v>
      </c>
      <c r="DJ20">
        <f t="shared" si="49"/>
        <v>0.16000405906999887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1783004102.599999</v>
      </c>
      <c r="DQ20">
        <v>419.98916129032261</v>
      </c>
      <c r="DR20">
        <v>486.79070967741927</v>
      </c>
      <c r="DS20">
        <v>40.25080322580645</v>
      </c>
      <c r="DT20">
        <v>30.239290322580651</v>
      </c>
      <c r="DU20">
        <v>424.51093548387109</v>
      </c>
      <c r="DV20">
        <v>39.790516129032262</v>
      </c>
      <c r="DW20">
        <v>499.99470967741928</v>
      </c>
      <c r="DX20">
        <v>97.835599999999985</v>
      </c>
      <c r="DY20">
        <v>5.3234141935483863E-2</v>
      </c>
      <c r="DZ20">
        <v>36.229377419354847</v>
      </c>
      <c r="EA20">
        <v>35.340235483870963</v>
      </c>
      <c r="EB20">
        <v>999.90000000000032</v>
      </c>
      <c r="EC20">
        <v>0</v>
      </c>
      <c r="ED20">
        <v>0</v>
      </c>
      <c r="EE20">
        <v>9993.3870967741932</v>
      </c>
      <c r="EF20">
        <v>0</v>
      </c>
      <c r="EG20">
        <v>518.90303225806451</v>
      </c>
      <c r="EH20">
        <v>-66.801448387096769</v>
      </c>
      <c r="EI20">
        <v>437.60306451612888</v>
      </c>
      <c r="EJ20">
        <v>501.96980645161278</v>
      </c>
      <c r="EK20">
        <v>10.011529354838711</v>
      </c>
      <c r="EL20">
        <v>486.79070967741927</v>
      </c>
      <c r="EM20">
        <v>30.239290322580651</v>
      </c>
      <c r="EN20">
        <v>3.9379619354838709</v>
      </c>
      <c r="EO20">
        <v>2.958477741935484</v>
      </c>
      <c r="EP20">
        <v>28.636538709677421</v>
      </c>
      <c r="EQ20">
        <v>23.796054838709669</v>
      </c>
      <c r="ER20">
        <v>1399.9996774193539</v>
      </c>
      <c r="ES20">
        <v>0.99299422580645136</v>
      </c>
      <c r="ET20">
        <v>7.0058945161290322E-3</v>
      </c>
      <c r="EU20">
        <v>0</v>
      </c>
      <c r="EV20">
        <v>804.38261290322566</v>
      </c>
      <c r="EW20">
        <v>5.0010700000000003</v>
      </c>
      <c r="EX20">
        <v>16487.3129032258</v>
      </c>
      <c r="EY20">
        <v>12745.48709677419</v>
      </c>
      <c r="EZ20">
        <v>44.699193548387072</v>
      </c>
      <c r="FA20">
        <v>47.01</v>
      </c>
      <c r="FB20">
        <v>45.684999999999967</v>
      </c>
      <c r="FC20">
        <v>46.487806451612897</v>
      </c>
      <c r="FD20">
        <v>46.628999999999998</v>
      </c>
      <c r="FE20">
        <v>1385.2296774193551</v>
      </c>
      <c r="FF20">
        <v>9.7699999999999978</v>
      </c>
      <c r="FG20">
        <v>0</v>
      </c>
      <c r="FH20">
        <v>123.5999999046326</v>
      </c>
      <c r="FI20">
        <v>0</v>
      </c>
      <c r="FJ20">
        <v>804.32905882352952</v>
      </c>
      <c r="FK20">
        <v>-8.6764678703645806E-2</v>
      </c>
      <c r="FL20">
        <v>619.06862123646567</v>
      </c>
      <c r="FM20">
        <v>16513.48823529412</v>
      </c>
      <c r="FN20">
        <v>10</v>
      </c>
      <c r="FO20">
        <v>1783004073.0999999</v>
      </c>
      <c r="FP20" t="s">
        <v>547</v>
      </c>
      <c r="FQ20">
        <v>1783004068.0999999</v>
      </c>
      <c r="FR20">
        <v>1783004073.0999999</v>
      </c>
      <c r="FS20">
        <v>5</v>
      </c>
      <c r="FT20">
        <v>1.4999999999999999E-2</v>
      </c>
      <c r="FU20">
        <v>-1.4999999999999999E-2</v>
      </c>
      <c r="FV20">
        <v>-4.7720000000000002</v>
      </c>
      <c r="FW20">
        <v>0.156</v>
      </c>
      <c r="FX20">
        <v>487</v>
      </c>
      <c r="FY20">
        <v>30</v>
      </c>
      <c r="FZ20">
        <v>0.11</v>
      </c>
      <c r="GA20">
        <v>0.04</v>
      </c>
      <c r="GB20">
        <v>486.84264516129031</v>
      </c>
      <c r="GC20">
        <v>-6.3314032258071293</v>
      </c>
      <c r="GD20">
        <v>0.60453215973512231</v>
      </c>
      <c r="GE20">
        <v>-1</v>
      </c>
      <c r="GF20">
        <v>804.22885294117657</v>
      </c>
      <c r="GG20">
        <v>1.8655920526439851</v>
      </c>
      <c r="GH20">
        <v>0.39700838132751082</v>
      </c>
      <c r="GI20">
        <v>1</v>
      </c>
      <c r="GJ20">
        <v>10.037334390243901</v>
      </c>
      <c r="GK20">
        <v>-0.48615428571427538</v>
      </c>
      <c r="GL20">
        <v>4.9004371833281712E-2</v>
      </c>
      <c r="GM20">
        <v>1</v>
      </c>
      <c r="GN20">
        <v>2</v>
      </c>
      <c r="GO20">
        <v>2</v>
      </c>
      <c r="GP20" t="s">
        <v>410</v>
      </c>
      <c r="GQ20">
        <v>3.1330800000000001</v>
      </c>
      <c r="GR20">
        <v>2.72905</v>
      </c>
      <c r="GS20">
        <v>9.0953300000000001E-2</v>
      </c>
      <c r="GT20">
        <v>0.10153</v>
      </c>
      <c r="GU20">
        <v>0.157918</v>
      </c>
      <c r="GV20">
        <v>0.13128000000000001</v>
      </c>
      <c r="GW20">
        <v>22729.4</v>
      </c>
      <c r="GX20">
        <v>30198.799999999999</v>
      </c>
      <c r="GY20">
        <v>27131.1</v>
      </c>
      <c r="GZ20">
        <v>34576.400000000001</v>
      </c>
      <c r="HA20">
        <v>33479.5</v>
      </c>
      <c r="HB20">
        <v>38354.199999999997</v>
      </c>
      <c r="HC20">
        <v>40068.199999999997</v>
      </c>
      <c r="HD20">
        <v>44224.7</v>
      </c>
      <c r="HE20">
        <v>1.9521999999999999</v>
      </c>
      <c r="HF20">
        <v>1.7598</v>
      </c>
      <c r="HG20">
        <v>4.7981700000000002E-2</v>
      </c>
      <c r="HH20">
        <v>0</v>
      </c>
      <c r="HI20">
        <v>34.536099999999998</v>
      </c>
      <c r="HJ20">
        <v>999.9</v>
      </c>
      <c r="HK20">
        <v>64.8</v>
      </c>
      <c r="HL20">
        <v>36.299999999999997</v>
      </c>
      <c r="HM20">
        <v>40.190800000000003</v>
      </c>
      <c r="HN20">
        <v>59.613700000000001</v>
      </c>
      <c r="HO20">
        <v>5.5488799999999996</v>
      </c>
      <c r="HP20">
        <v>1</v>
      </c>
      <c r="HQ20">
        <v>0.69686999999999999</v>
      </c>
      <c r="HR20">
        <v>0</v>
      </c>
      <c r="HS20">
        <v>20.282</v>
      </c>
      <c r="HT20">
        <v>5.2100999999999997</v>
      </c>
      <c r="HU20">
        <v>11.908099999999999</v>
      </c>
      <c r="HV20">
        <v>4.9828000000000001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1.86243</v>
      </c>
      <c r="IE20">
        <v>1.86191</v>
      </c>
      <c r="IF20">
        <v>1.8620000000000001</v>
      </c>
      <c r="IG20">
        <v>1.8626400000000001</v>
      </c>
      <c r="IH20">
        <v>1.8634999999999999</v>
      </c>
      <c r="II20">
        <v>1.86145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-4.5199999999999996</v>
      </c>
      <c r="IX20">
        <v>0.45850000000000002</v>
      </c>
      <c r="IY20">
        <v>-2.7075546376982169</v>
      </c>
      <c r="IZ20">
        <v>-4.7754461378838441E-3</v>
      </c>
      <c r="JA20">
        <v>1.175754608921022E-6</v>
      </c>
      <c r="JB20">
        <v>1.4193218893046591E-11</v>
      </c>
      <c r="JC20">
        <v>-0.40421703009010568</v>
      </c>
      <c r="JD20">
        <v>2.7492919904454862E-4</v>
      </c>
      <c r="JE20">
        <v>8.6739513355948885E-4</v>
      </c>
      <c r="JF20">
        <v>-8.2500691715147318E-6</v>
      </c>
      <c r="JG20">
        <v>38</v>
      </c>
      <c r="JH20">
        <v>1780</v>
      </c>
      <c r="JI20">
        <v>2</v>
      </c>
      <c r="JJ20">
        <v>37</v>
      </c>
      <c r="JK20">
        <v>0.7</v>
      </c>
      <c r="JL20">
        <v>0.6</v>
      </c>
      <c r="JM20">
        <v>1.23169</v>
      </c>
      <c r="JN20">
        <v>2.51831</v>
      </c>
      <c r="JO20">
        <v>1.50024</v>
      </c>
      <c r="JP20">
        <v>2.2705099999999998</v>
      </c>
      <c r="JQ20">
        <v>1.4477500000000001</v>
      </c>
      <c r="JR20">
        <v>2.47437</v>
      </c>
      <c r="JS20">
        <v>40.8093</v>
      </c>
      <c r="JT20">
        <v>15.5943</v>
      </c>
      <c r="JU20">
        <v>18</v>
      </c>
      <c r="JV20">
        <v>550.15800000000002</v>
      </c>
      <c r="JW20">
        <v>436.49200000000002</v>
      </c>
      <c r="JX20">
        <v>35.669199999999996</v>
      </c>
      <c r="JY20">
        <v>35.909999999999997</v>
      </c>
      <c r="JZ20">
        <v>30.000499999999999</v>
      </c>
      <c r="KA20">
        <v>35.772599999999997</v>
      </c>
      <c r="KB20">
        <v>35.718200000000003</v>
      </c>
      <c r="KC20">
        <v>24.6435</v>
      </c>
      <c r="KD20">
        <v>35.021599999999999</v>
      </c>
      <c r="KE20">
        <v>17.826799999999999</v>
      </c>
      <c r="KF20">
        <v>-999.9</v>
      </c>
      <c r="KG20">
        <v>487.05900000000003</v>
      </c>
      <c r="KH20">
        <v>30.290900000000001</v>
      </c>
      <c r="KI20">
        <v>100.137</v>
      </c>
      <c r="KJ20">
        <v>99.148499999999999</v>
      </c>
    </row>
    <row r="21" spans="1:296" x14ac:dyDescent="0.3">
      <c r="A21">
        <v>5</v>
      </c>
      <c r="B21">
        <v>1783004253.5999999</v>
      </c>
      <c r="C21">
        <v>516.5</v>
      </c>
      <c r="D21" t="s">
        <v>548</v>
      </c>
      <c r="E21" t="s">
        <v>549</v>
      </c>
      <c r="F21">
        <v>15</v>
      </c>
      <c r="H21">
        <v>1783004245.849999</v>
      </c>
      <c r="I21">
        <f t="shared" si="0"/>
        <v>7.9022963138940597E-3</v>
      </c>
      <c r="J21">
        <f t="shared" si="1"/>
        <v>7.902296313894059</v>
      </c>
      <c r="K21">
        <f t="shared" si="2"/>
        <v>46.044628380611208</v>
      </c>
      <c r="L21">
        <f t="shared" si="3"/>
        <v>420.07990000000001</v>
      </c>
      <c r="M21">
        <f t="shared" si="4"/>
        <v>229.28342596472098</v>
      </c>
      <c r="N21">
        <f t="shared" si="5"/>
        <v>22.445206820183991</v>
      </c>
      <c r="O21">
        <f t="shared" si="6"/>
        <v>41.122816430494986</v>
      </c>
      <c r="P21">
        <f t="shared" si="7"/>
        <v>0.4367640980302509</v>
      </c>
      <c r="Q21">
        <f t="shared" si="8"/>
        <v>2.8923971447119836</v>
      </c>
      <c r="R21">
        <f t="shared" si="9"/>
        <v>0.40315559278243968</v>
      </c>
      <c r="S21">
        <f t="shared" si="10"/>
        <v>0.25477598228674525</v>
      </c>
      <c r="T21">
        <f t="shared" si="11"/>
        <v>176.12760124523101</v>
      </c>
      <c r="U21">
        <f t="shared" si="12"/>
        <v>35.164547860136018</v>
      </c>
      <c r="V21">
        <f t="shared" si="13"/>
        <v>35.318573333333333</v>
      </c>
      <c r="W21">
        <f t="shared" si="14"/>
        <v>5.7487844884171695</v>
      </c>
      <c r="X21">
        <f t="shared" si="15"/>
        <v>65.085007402214771</v>
      </c>
      <c r="Y21">
        <f t="shared" si="16"/>
        <v>3.9247825828703555</v>
      </c>
      <c r="Z21">
        <f t="shared" si="17"/>
        <v>6.0302406645140829</v>
      </c>
      <c r="AA21">
        <f t="shared" si="18"/>
        <v>1.824001905546814</v>
      </c>
      <c r="AB21">
        <f t="shared" si="19"/>
        <v>-348.49126744272803</v>
      </c>
      <c r="AC21">
        <f t="shared" si="20"/>
        <v>135.33019499840773</v>
      </c>
      <c r="AD21">
        <f t="shared" si="21"/>
        <v>11.007287719017471</v>
      </c>
      <c r="AE21">
        <f t="shared" si="22"/>
        <v>-26.026183480071808</v>
      </c>
      <c r="AF21">
        <f t="shared" si="23"/>
        <v>46.044628380611208</v>
      </c>
      <c r="AG21">
        <f t="shared" si="24"/>
        <v>7.902296313894059</v>
      </c>
      <c r="AH21">
        <f t="shared" si="25"/>
        <v>46.422403296247204</v>
      </c>
      <c r="AI21">
        <v>494.45318517386522</v>
      </c>
      <c r="AJ21">
        <v>437.18906666666641</v>
      </c>
      <c r="AK21">
        <v>-4.404609878658311E-2</v>
      </c>
      <c r="AL21">
        <v>67.082447148434184</v>
      </c>
      <c r="AM21">
        <f t="shared" si="26"/>
        <v>7.8937223333437538</v>
      </c>
      <c r="AN21">
        <v>30.98505875238585</v>
      </c>
      <c r="AO21">
        <v>40.085144242424242</v>
      </c>
      <c r="AP21">
        <v>-1.217747640515027E-3</v>
      </c>
      <c r="AQ21">
        <v>78.220751739652741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50226.026194078899</v>
      </c>
      <c r="AW21" t="s">
        <v>533</v>
      </c>
      <c r="AX21">
        <v>5108.59</v>
      </c>
      <c r="AY21">
        <v>577.7117647058825</v>
      </c>
      <c r="AZ21">
        <v>2527.6</v>
      </c>
      <c r="BA21">
        <f t="shared" si="30"/>
        <v>0.7714386118429013</v>
      </c>
      <c r="BB21">
        <v>-5.2534396484243606</v>
      </c>
      <c r="BC21" t="s">
        <v>550</v>
      </c>
      <c r="BD21">
        <v>5087.66</v>
      </c>
      <c r="BE21">
        <v>819.80794117647065</v>
      </c>
      <c r="BF21">
        <v>1267.43</v>
      </c>
      <c r="BG21">
        <f t="shared" si="31"/>
        <v>0.3531730027090485</v>
      </c>
      <c r="BH21">
        <v>0.5</v>
      </c>
      <c r="BI21">
        <f t="shared" si="32"/>
        <v>924.28121971255484</v>
      </c>
      <c r="BJ21">
        <f t="shared" si="33"/>
        <v>46.044628380611208</v>
      </c>
      <c r="BK21">
        <f t="shared" si="34"/>
        <v>163.21558685673239</v>
      </c>
      <c r="BL21">
        <f t="shared" si="35"/>
        <v>5.5500498046459193E-2</v>
      </c>
      <c r="BM21">
        <f t="shared" si="36"/>
        <v>0.99427187300284814</v>
      </c>
      <c r="BN21">
        <f t="shared" si="37"/>
        <v>470.73599360516027</v>
      </c>
      <c r="BO21" t="s">
        <v>407</v>
      </c>
      <c r="BP21">
        <v>0</v>
      </c>
      <c r="BQ21">
        <f t="shared" si="38"/>
        <v>470.73599360516027</v>
      </c>
      <c r="BR21">
        <f t="shared" si="39"/>
        <v>0.62859014414590142</v>
      </c>
      <c r="BS21">
        <f t="shared" si="40"/>
        <v>0.56184941173222391</v>
      </c>
      <c r="BT21">
        <f t="shared" si="41"/>
        <v>0.61266568722195591</v>
      </c>
      <c r="BU21">
        <f t="shared" si="42"/>
        <v>0.64899264064353657</v>
      </c>
      <c r="BV21">
        <f t="shared" si="43"/>
        <v>0.64627806721953907</v>
      </c>
      <c r="BW21">
        <f t="shared" si="44"/>
        <v>0.32261549053635125</v>
      </c>
      <c r="BX21">
        <f t="shared" si="45"/>
        <v>0.67738450946364881</v>
      </c>
      <c r="DG21">
        <f t="shared" si="46"/>
        <v>1099.9829999999999</v>
      </c>
      <c r="DH21">
        <f t="shared" si="47"/>
        <v>924.28121971255484</v>
      </c>
      <c r="DI21">
        <f t="shared" si="48"/>
        <v>0.84026864025403569</v>
      </c>
      <c r="DJ21">
        <f t="shared" si="49"/>
        <v>0.16011847569028886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1783004245.849999</v>
      </c>
      <c r="DQ21">
        <v>420.07990000000001</v>
      </c>
      <c r="DR21">
        <v>479.31746666666658</v>
      </c>
      <c r="DS21">
        <v>40.092640000000003</v>
      </c>
      <c r="DT21">
        <v>30.98999666666667</v>
      </c>
      <c r="DU21">
        <v>424.64830000000001</v>
      </c>
      <c r="DV21">
        <v>39.636960000000002</v>
      </c>
      <c r="DW21">
        <v>499.99579999999997</v>
      </c>
      <c r="DX21">
        <v>97.840099999999978</v>
      </c>
      <c r="DY21">
        <v>5.2744743333333337E-2</v>
      </c>
      <c r="DZ21">
        <v>36.186436666666673</v>
      </c>
      <c r="EA21">
        <v>35.318573333333333</v>
      </c>
      <c r="EB21">
        <v>999.9000000000002</v>
      </c>
      <c r="EC21">
        <v>0</v>
      </c>
      <c r="ED21">
        <v>0</v>
      </c>
      <c r="EE21">
        <v>10005.83333333333</v>
      </c>
      <c r="EF21">
        <v>0</v>
      </c>
      <c r="EG21">
        <v>554.37686666666673</v>
      </c>
      <c r="EH21">
        <v>-59.237543333333328</v>
      </c>
      <c r="EI21">
        <v>437.62543333333338</v>
      </c>
      <c r="EJ21">
        <v>494.64659999999998</v>
      </c>
      <c r="EK21">
        <v>9.1026413333333327</v>
      </c>
      <c r="EL21">
        <v>479.31746666666658</v>
      </c>
      <c r="EM21">
        <v>30.98999666666667</v>
      </c>
      <c r="EN21">
        <v>3.922667666666666</v>
      </c>
      <c r="EO21">
        <v>3.0320649999999998</v>
      </c>
      <c r="EP21">
        <v>28.569489999999991</v>
      </c>
      <c r="EQ21">
        <v>24.205046666666661</v>
      </c>
      <c r="ER21">
        <v>1099.9829999999999</v>
      </c>
      <c r="ES21">
        <v>0.99100246666666658</v>
      </c>
      <c r="ET21">
        <v>8.9974646666666665E-3</v>
      </c>
      <c r="EU21">
        <v>0</v>
      </c>
      <c r="EV21">
        <v>819.86383333333333</v>
      </c>
      <c r="EW21">
        <v>5.0010700000000003</v>
      </c>
      <c r="EX21">
        <v>14589.136666666671</v>
      </c>
      <c r="EY21">
        <v>9996.6223333333346</v>
      </c>
      <c r="EZ21">
        <v>44.120800000000003</v>
      </c>
      <c r="FA21">
        <v>46.875</v>
      </c>
      <c r="FB21">
        <v>45.3645</v>
      </c>
      <c r="FC21">
        <v>46.311999999999983</v>
      </c>
      <c r="FD21">
        <v>46.25</v>
      </c>
      <c r="FE21">
        <v>1085.133</v>
      </c>
      <c r="FF21">
        <v>9.8500000000000014</v>
      </c>
      <c r="FG21">
        <v>0</v>
      </c>
      <c r="FH21">
        <v>142.4000000953674</v>
      </c>
      <c r="FI21">
        <v>0</v>
      </c>
      <c r="FJ21">
        <v>819.80794117647065</v>
      </c>
      <c r="FK21">
        <v>-3.6409313654903221</v>
      </c>
      <c r="FL21">
        <v>551.47058911526244</v>
      </c>
      <c r="FM21">
        <v>14594.45882352941</v>
      </c>
      <c r="FN21">
        <v>10</v>
      </c>
      <c r="FO21">
        <v>1783004216.5999999</v>
      </c>
      <c r="FP21" t="s">
        <v>551</v>
      </c>
      <c r="FQ21">
        <v>1783004200.5999999</v>
      </c>
      <c r="FR21">
        <v>1783004073.0999999</v>
      </c>
      <c r="FS21">
        <v>6</v>
      </c>
      <c r="FT21">
        <v>-4.5999999999999999E-2</v>
      </c>
      <c r="FU21">
        <v>-1.4999999999999999E-2</v>
      </c>
      <c r="FV21">
        <v>-4.7910000000000004</v>
      </c>
      <c r="FW21">
        <v>0.156</v>
      </c>
      <c r="FX21">
        <v>480</v>
      </c>
      <c r="FY21">
        <v>30</v>
      </c>
      <c r="FZ21">
        <v>0.11</v>
      </c>
      <c r="GA21">
        <v>0.04</v>
      </c>
      <c r="GB21">
        <v>479.41580645161292</v>
      </c>
      <c r="GC21">
        <v>-6.4497580645165877</v>
      </c>
      <c r="GD21">
        <v>0.60009092963428912</v>
      </c>
      <c r="GE21">
        <v>-1</v>
      </c>
      <c r="GF21">
        <v>819.72488235294122</v>
      </c>
      <c r="GG21">
        <v>1.4961955752238489</v>
      </c>
      <c r="GH21">
        <v>0.3305726550651405</v>
      </c>
      <c r="GI21">
        <v>1</v>
      </c>
      <c r="GJ21">
        <v>9.1347824390243915</v>
      </c>
      <c r="GK21">
        <v>-0.45553024390241947</v>
      </c>
      <c r="GL21">
        <v>5.5725703172334738E-2</v>
      </c>
      <c r="GM21">
        <v>1</v>
      </c>
      <c r="GN21">
        <v>2</v>
      </c>
      <c r="GO21">
        <v>2</v>
      </c>
      <c r="GP21" t="s">
        <v>410</v>
      </c>
      <c r="GQ21">
        <v>3.1334599999999999</v>
      </c>
      <c r="GR21">
        <v>2.7292900000000002</v>
      </c>
      <c r="GS21">
        <v>9.0958999999999998E-2</v>
      </c>
      <c r="GT21">
        <v>0.10036200000000001</v>
      </c>
      <c r="GU21">
        <v>0.15761700000000001</v>
      </c>
      <c r="GV21">
        <v>0.13347200000000001</v>
      </c>
      <c r="GW21">
        <v>22725.200000000001</v>
      </c>
      <c r="GX21">
        <v>30233.200000000001</v>
      </c>
      <c r="GY21">
        <v>27126.9</v>
      </c>
      <c r="GZ21">
        <v>34571.4</v>
      </c>
      <c r="HA21">
        <v>33488.199999999997</v>
      </c>
      <c r="HB21">
        <v>38252.300000000003</v>
      </c>
      <c r="HC21">
        <v>40063</v>
      </c>
      <c r="HD21">
        <v>44218.3</v>
      </c>
      <c r="HE21">
        <v>1.9516</v>
      </c>
      <c r="HF21">
        <v>1.7584</v>
      </c>
      <c r="HG21">
        <v>4.90248E-2</v>
      </c>
      <c r="HH21">
        <v>0</v>
      </c>
      <c r="HI21">
        <v>34.542400000000001</v>
      </c>
      <c r="HJ21">
        <v>999.9</v>
      </c>
      <c r="HK21">
        <v>64.2</v>
      </c>
      <c r="HL21">
        <v>36.5</v>
      </c>
      <c r="HM21">
        <v>40.254300000000001</v>
      </c>
      <c r="HN21">
        <v>59.593699999999998</v>
      </c>
      <c r="HO21">
        <v>5.1482400000000004</v>
      </c>
      <c r="HP21">
        <v>1</v>
      </c>
      <c r="HQ21">
        <v>0.70528500000000005</v>
      </c>
      <c r="HR21">
        <v>0</v>
      </c>
      <c r="HS21">
        <v>20.284199999999998</v>
      </c>
      <c r="HT21">
        <v>5.2088999999999999</v>
      </c>
      <c r="HU21">
        <v>11.908099999999999</v>
      </c>
      <c r="HV21">
        <v>4.9832000000000001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1.8673999999999999</v>
      </c>
      <c r="IC21">
        <v>1.8629800000000001</v>
      </c>
      <c r="ID21">
        <v>1.86249</v>
      </c>
      <c r="IE21">
        <v>1.8619699999999999</v>
      </c>
      <c r="IF21">
        <v>1.8619699999999999</v>
      </c>
      <c r="IG21">
        <v>1.8626400000000001</v>
      </c>
      <c r="IH21">
        <v>1.8635299999999999</v>
      </c>
      <c r="II21">
        <v>1.86148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-4.5670000000000002</v>
      </c>
      <c r="IX21">
        <v>0.45540000000000003</v>
      </c>
      <c r="IY21">
        <v>-2.7535335012109559</v>
      </c>
      <c r="IZ21">
        <v>-4.7754461378838441E-3</v>
      </c>
      <c r="JA21">
        <v>1.175754608921022E-6</v>
      </c>
      <c r="JB21">
        <v>1.4193218893046591E-11</v>
      </c>
      <c r="JC21">
        <v>-0.40421703009010568</v>
      </c>
      <c r="JD21">
        <v>2.7492919904454862E-4</v>
      </c>
      <c r="JE21">
        <v>8.6739513355948885E-4</v>
      </c>
      <c r="JF21">
        <v>-8.2500691715147318E-6</v>
      </c>
      <c r="JG21">
        <v>38</v>
      </c>
      <c r="JH21">
        <v>1780</v>
      </c>
      <c r="JI21">
        <v>2</v>
      </c>
      <c r="JJ21">
        <v>37</v>
      </c>
      <c r="JK21">
        <v>0.9</v>
      </c>
      <c r="JL21">
        <v>3</v>
      </c>
      <c r="JM21">
        <v>1.2182599999999999</v>
      </c>
      <c r="JN21">
        <v>2.52441</v>
      </c>
      <c r="JO21">
        <v>1.50024</v>
      </c>
      <c r="JP21">
        <v>2.2705099999999998</v>
      </c>
      <c r="JQ21">
        <v>1.4477500000000001</v>
      </c>
      <c r="JR21">
        <v>2.34497</v>
      </c>
      <c r="JS21">
        <v>40.938000000000002</v>
      </c>
      <c r="JT21">
        <v>15.568</v>
      </c>
      <c r="JU21">
        <v>18</v>
      </c>
      <c r="JV21">
        <v>550.65599999999995</v>
      </c>
      <c r="JW21">
        <v>436.34399999999999</v>
      </c>
      <c r="JX21">
        <v>35.728299999999997</v>
      </c>
      <c r="JY21">
        <v>36.022599999999997</v>
      </c>
      <c r="JZ21">
        <v>30.000399999999999</v>
      </c>
      <c r="KA21">
        <v>35.885300000000001</v>
      </c>
      <c r="KB21">
        <v>35.829700000000003</v>
      </c>
      <c r="KC21">
        <v>24.3536</v>
      </c>
      <c r="KD21">
        <v>33.561900000000001</v>
      </c>
      <c r="KE21">
        <v>15.5741</v>
      </c>
      <c r="KF21">
        <v>-999.9</v>
      </c>
      <c r="KG21">
        <v>479.46199999999999</v>
      </c>
      <c r="KH21">
        <v>30.974399999999999</v>
      </c>
      <c r="KI21">
        <v>100.123</v>
      </c>
      <c r="KJ21">
        <v>99.134299999999996</v>
      </c>
    </row>
    <row r="22" spans="1:296" x14ac:dyDescent="0.3">
      <c r="A22">
        <v>6</v>
      </c>
      <c r="B22">
        <v>1783004382.0999999</v>
      </c>
      <c r="C22">
        <v>645</v>
      </c>
      <c r="D22" t="s">
        <v>552</v>
      </c>
      <c r="E22" t="s">
        <v>553</v>
      </c>
      <c r="F22">
        <v>15</v>
      </c>
      <c r="H22">
        <v>1783004374.349999</v>
      </c>
      <c r="I22">
        <f t="shared" si="0"/>
        <v>7.1826901833976905E-3</v>
      </c>
      <c r="J22">
        <f t="shared" si="1"/>
        <v>7.1826901833976908</v>
      </c>
      <c r="K22">
        <f t="shared" si="2"/>
        <v>43.456332532634384</v>
      </c>
      <c r="L22">
        <f t="shared" si="3"/>
        <v>419.90406666666672</v>
      </c>
      <c r="M22">
        <f t="shared" si="4"/>
        <v>225.44660340733293</v>
      </c>
      <c r="N22">
        <f t="shared" si="5"/>
        <v>22.071098465922198</v>
      </c>
      <c r="O22">
        <f t="shared" si="6"/>
        <v>41.108377157035115</v>
      </c>
      <c r="P22">
        <f t="shared" si="7"/>
        <v>0.40138677250317595</v>
      </c>
      <c r="Q22">
        <f t="shared" si="8"/>
        <v>2.890126615242409</v>
      </c>
      <c r="R22">
        <f t="shared" si="9"/>
        <v>0.37279069126984604</v>
      </c>
      <c r="S22">
        <f t="shared" si="10"/>
        <v>0.23539343117411612</v>
      </c>
      <c r="T22">
        <f t="shared" si="11"/>
        <v>160.17638611652339</v>
      </c>
      <c r="U22">
        <f t="shared" si="12"/>
        <v>35.067132320700317</v>
      </c>
      <c r="V22">
        <f t="shared" si="13"/>
        <v>35.138553333333327</v>
      </c>
      <c r="W22">
        <f t="shared" si="14"/>
        <v>5.6918539474794017</v>
      </c>
      <c r="X22">
        <f t="shared" si="15"/>
        <v>65.319446147853867</v>
      </c>
      <c r="Y22">
        <f t="shared" si="16"/>
        <v>3.8979759206789737</v>
      </c>
      <c r="Z22">
        <f t="shared" si="17"/>
        <v>5.9675581324674862</v>
      </c>
      <c r="AA22">
        <f t="shared" si="18"/>
        <v>1.793878026800428</v>
      </c>
      <c r="AB22">
        <f t="shared" si="19"/>
        <v>-316.75663708783816</v>
      </c>
      <c r="AC22">
        <f t="shared" si="20"/>
        <v>133.63986709061209</v>
      </c>
      <c r="AD22">
        <f t="shared" si="21"/>
        <v>10.858787710725837</v>
      </c>
      <c r="AE22">
        <f t="shared" si="22"/>
        <v>-12.081596169976848</v>
      </c>
      <c r="AF22">
        <f t="shared" si="23"/>
        <v>43.456332532634384</v>
      </c>
      <c r="AG22">
        <f t="shared" si="24"/>
        <v>7.1826901833976908</v>
      </c>
      <c r="AH22">
        <f t="shared" si="25"/>
        <v>43.759827115309918</v>
      </c>
      <c r="AI22">
        <v>491.424430730805</v>
      </c>
      <c r="AJ22">
        <v>437.17313939393932</v>
      </c>
      <c r="AK22">
        <v>5.9224323292388229E-3</v>
      </c>
      <c r="AL22">
        <v>67.082120614117741</v>
      </c>
      <c r="AM22">
        <f t="shared" si="26"/>
        <v>7.1624943407221497</v>
      </c>
      <c r="AN22">
        <v>31.534239655703381</v>
      </c>
      <c r="AO22">
        <v>39.791875757575752</v>
      </c>
      <c r="AP22">
        <v>-8.0500333926362879E-4</v>
      </c>
      <c r="AQ22">
        <v>78.219657275359481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50194.26313067798</v>
      </c>
      <c r="AW22" t="s">
        <v>533</v>
      </c>
      <c r="AX22">
        <v>5108.59</v>
      </c>
      <c r="AY22">
        <v>577.7117647058825</v>
      </c>
      <c r="AZ22">
        <v>2527.6</v>
      </c>
      <c r="BA22">
        <f t="shared" si="30"/>
        <v>0.7714386118429013</v>
      </c>
      <c r="BB22">
        <v>-5.2534396484243606</v>
      </c>
      <c r="BC22" t="s">
        <v>554</v>
      </c>
      <c r="BD22">
        <v>5089.24</v>
      </c>
      <c r="BE22">
        <v>826.6270588235293</v>
      </c>
      <c r="BF22">
        <v>1324.2</v>
      </c>
      <c r="BG22">
        <f t="shared" si="31"/>
        <v>0.37575361816679564</v>
      </c>
      <c r="BH22">
        <v>0.5</v>
      </c>
      <c r="BI22">
        <f t="shared" si="32"/>
        <v>840.29723201892386</v>
      </c>
      <c r="BJ22">
        <f t="shared" si="33"/>
        <v>43.456332532634384</v>
      </c>
      <c r="BK22">
        <f t="shared" si="34"/>
        <v>157.87236263332701</v>
      </c>
      <c r="BL22">
        <f t="shared" si="35"/>
        <v>5.796731242827869E-2</v>
      </c>
      <c r="BM22">
        <f t="shared" si="36"/>
        <v>0.90877510950007534</v>
      </c>
      <c r="BN22">
        <f t="shared" si="37"/>
        <v>478.35269553566945</v>
      </c>
      <c r="BO22" t="s">
        <v>407</v>
      </c>
      <c r="BP22">
        <v>0</v>
      </c>
      <c r="BQ22">
        <f t="shared" si="38"/>
        <v>478.35269553566945</v>
      </c>
      <c r="BR22">
        <f t="shared" si="39"/>
        <v>0.63876099113754004</v>
      </c>
      <c r="BS22">
        <f t="shared" si="40"/>
        <v>0.58825385923713547</v>
      </c>
      <c r="BT22">
        <f t="shared" si="41"/>
        <v>0.58724000630786077</v>
      </c>
      <c r="BU22">
        <f t="shared" si="42"/>
        <v>0.66655161816505548</v>
      </c>
      <c r="BV22">
        <f t="shared" si="43"/>
        <v>0.61716357800296251</v>
      </c>
      <c r="BW22">
        <f t="shared" si="44"/>
        <v>0.34041084939298671</v>
      </c>
      <c r="BX22">
        <f t="shared" si="45"/>
        <v>0.65958915060701329</v>
      </c>
      <c r="DG22">
        <f t="shared" si="46"/>
        <v>999.99813333333339</v>
      </c>
      <c r="DH22">
        <f t="shared" si="47"/>
        <v>840.29723201892386</v>
      </c>
      <c r="DI22">
        <f t="shared" si="48"/>
        <v>0.84029880057668493</v>
      </c>
      <c r="DJ22">
        <f t="shared" si="49"/>
        <v>0.16017668511300226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1783004374.349999</v>
      </c>
      <c r="DQ22">
        <v>419.90406666666672</v>
      </c>
      <c r="DR22">
        <v>475.66996666666648</v>
      </c>
      <c r="DS22">
        <v>39.816116666666673</v>
      </c>
      <c r="DT22">
        <v>31.54021333333333</v>
      </c>
      <c r="DU22">
        <v>424.43439999999998</v>
      </c>
      <c r="DV22">
        <v>39.381200000000007</v>
      </c>
      <c r="DW22">
        <v>500.00850000000003</v>
      </c>
      <c r="DX22">
        <v>97.84626999999999</v>
      </c>
      <c r="DY22">
        <v>5.3179946666666658E-2</v>
      </c>
      <c r="DZ22">
        <v>35.996250000000011</v>
      </c>
      <c r="EA22">
        <v>35.138553333333327</v>
      </c>
      <c r="EB22">
        <v>999.9000000000002</v>
      </c>
      <c r="EC22">
        <v>0</v>
      </c>
      <c r="ED22">
        <v>0</v>
      </c>
      <c r="EE22">
        <v>9992.1666666666661</v>
      </c>
      <c r="EF22">
        <v>0</v>
      </c>
      <c r="EG22">
        <v>653.41689999999994</v>
      </c>
      <c r="EH22">
        <v>-55.765859999999989</v>
      </c>
      <c r="EI22">
        <v>437.31630000000001</v>
      </c>
      <c r="EJ22">
        <v>491.16129999999993</v>
      </c>
      <c r="EK22">
        <v>8.2758980000000015</v>
      </c>
      <c r="EL22">
        <v>475.66996666666648</v>
      </c>
      <c r="EM22">
        <v>31.54021333333333</v>
      </c>
      <c r="EN22">
        <v>3.895858</v>
      </c>
      <c r="EO22">
        <v>3.086093</v>
      </c>
      <c r="EP22">
        <v>28.45141666666666</v>
      </c>
      <c r="EQ22">
        <v>24.499870000000001</v>
      </c>
      <c r="ER22">
        <v>999.99813333333339</v>
      </c>
      <c r="ES22">
        <v>0.98998869999999994</v>
      </c>
      <c r="ET22">
        <v>1.0011000000000001E-2</v>
      </c>
      <c r="EU22">
        <v>0</v>
      </c>
      <c r="EV22">
        <v>826.75483333333318</v>
      </c>
      <c r="EW22">
        <v>5.0010700000000003</v>
      </c>
      <c r="EX22">
        <v>13066.06333333333</v>
      </c>
      <c r="EY22">
        <v>9080.2199999999993</v>
      </c>
      <c r="EZ22">
        <v>43.691199999999967</v>
      </c>
      <c r="FA22">
        <v>46.537199999999999</v>
      </c>
      <c r="FB22">
        <v>45.004133333333343</v>
      </c>
      <c r="FC22">
        <v>46.112399999999987</v>
      </c>
      <c r="FD22">
        <v>45.875</v>
      </c>
      <c r="FE22">
        <v>985.03700000000026</v>
      </c>
      <c r="FF22">
        <v>9.9599999999999991</v>
      </c>
      <c r="FG22">
        <v>0</v>
      </c>
      <c r="FH22">
        <v>128.20000004768369</v>
      </c>
      <c r="FI22">
        <v>0</v>
      </c>
      <c r="FJ22">
        <v>826.6270588235293</v>
      </c>
      <c r="FK22">
        <v>-2.9715686170271209</v>
      </c>
      <c r="FL22">
        <v>541.74019450832191</v>
      </c>
      <c r="FM22">
        <v>13061.5</v>
      </c>
      <c r="FN22">
        <v>10</v>
      </c>
      <c r="FO22">
        <v>1783004340.0999999</v>
      </c>
      <c r="FP22" t="s">
        <v>555</v>
      </c>
      <c r="FQ22">
        <v>1783004335.0999999</v>
      </c>
      <c r="FR22">
        <v>1783004340.0999999</v>
      </c>
      <c r="FS22">
        <v>7</v>
      </c>
      <c r="FT22">
        <v>3.6999999999999998E-2</v>
      </c>
      <c r="FU22">
        <v>-1.2999999999999999E-2</v>
      </c>
      <c r="FV22">
        <v>-4.7409999999999997</v>
      </c>
      <c r="FW22">
        <v>0.17799999999999999</v>
      </c>
      <c r="FX22">
        <v>477</v>
      </c>
      <c r="FY22">
        <v>31</v>
      </c>
      <c r="FZ22">
        <v>0.15</v>
      </c>
      <c r="GA22">
        <v>0.03</v>
      </c>
      <c r="GB22">
        <v>475.66449999999992</v>
      </c>
      <c r="GC22">
        <v>1.3716307007790201</v>
      </c>
      <c r="GD22">
        <v>0.18335952843162301</v>
      </c>
      <c r="GE22">
        <v>-1</v>
      </c>
      <c r="GF22">
        <v>826.70676470588239</v>
      </c>
      <c r="GG22">
        <v>-0.24354468895981571</v>
      </c>
      <c r="GH22">
        <v>0.28653519020343138</v>
      </c>
      <c r="GI22">
        <v>1</v>
      </c>
      <c r="GJ22">
        <v>8.2930384999999998</v>
      </c>
      <c r="GK22">
        <v>-0.29745748592874671</v>
      </c>
      <c r="GL22">
        <v>3.6041031932368427E-2</v>
      </c>
      <c r="GM22">
        <v>1</v>
      </c>
      <c r="GN22">
        <v>2</v>
      </c>
      <c r="GO22">
        <v>2</v>
      </c>
      <c r="GP22" t="s">
        <v>410</v>
      </c>
      <c r="GQ22">
        <v>3.1335299999999999</v>
      </c>
      <c r="GR22">
        <v>2.7290299999999998</v>
      </c>
      <c r="GS22">
        <v>9.0957700000000002E-2</v>
      </c>
      <c r="GT22">
        <v>9.9863800000000003E-2</v>
      </c>
      <c r="GU22">
        <v>0.15687699999999999</v>
      </c>
      <c r="GV22">
        <v>0.13506499999999999</v>
      </c>
      <c r="GW22">
        <v>22722.400000000001</v>
      </c>
      <c r="GX22">
        <v>30245.8</v>
      </c>
      <c r="GY22">
        <v>27123.9</v>
      </c>
      <c r="GZ22">
        <v>34567.199999999997</v>
      </c>
      <c r="HA22">
        <v>33514.400000000001</v>
      </c>
      <c r="HB22">
        <v>38179.699999999997</v>
      </c>
      <c r="HC22">
        <v>40058.6</v>
      </c>
      <c r="HD22">
        <v>44215.3</v>
      </c>
      <c r="HE22">
        <v>1.9503999999999999</v>
      </c>
      <c r="HF22">
        <v>1.7572000000000001</v>
      </c>
      <c r="HG22">
        <v>4.7385700000000003E-2</v>
      </c>
      <c r="HH22">
        <v>0</v>
      </c>
      <c r="HI22">
        <v>34.389499999999998</v>
      </c>
      <c r="HJ22">
        <v>999.9</v>
      </c>
      <c r="HK22">
        <v>63.6</v>
      </c>
      <c r="HL22">
        <v>36.700000000000003</v>
      </c>
      <c r="HM22">
        <v>40.314100000000003</v>
      </c>
      <c r="HN22">
        <v>59.893700000000003</v>
      </c>
      <c r="HO22">
        <v>5.3645899999999997</v>
      </c>
      <c r="HP22">
        <v>1</v>
      </c>
      <c r="HQ22">
        <v>0.71117900000000001</v>
      </c>
      <c r="HR22">
        <v>0</v>
      </c>
      <c r="HS22">
        <v>20.2851</v>
      </c>
      <c r="HT22">
        <v>5.2100999999999997</v>
      </c>
      <c r="HU22">
        <v>11.908099999999999</v>
      </c>
      <c r="HV22">
        <v>4.9832000000000001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1.8673999999999999</v>
      </c>
      <c r="IC22">
        <v>1.8630100000000001</v>
      </c>
      <c r="ID22">
        <v>1.86249</v>
      </c>
      <c r="IE22">
        <v>1.8619399999999999</v>
      </c>
      <c r="IF22">
        <v>1.8619699999999999</v>
      </c>
      <c r="IG22">
        <v>1.8626400000000001</v>
      </c>
      <c r="IH22">
        <v>1.8635600000000001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-4.53</v>
      </c>
      <c r="IX22">
        <v>0.43430000000000002</v>
      </c>
      <c r="IY22">
        <v>-2.716328971937525</v>
      </c>
      <c r="IZ22">
        <v>-4.7754461378838441E-3</v>
      </c>
      <c r="JA22">
        <v>1.175754608921022E-6</v>
      </c>
      <c r="JB22">
        <v>1.4193218893046591E-11</v>
      </c>
      <c r="JC22">
        <v>-0.41725628373562063</v>
      </c>
      <c r="JD22">
        <v>2.7492919904454862E-4</v>
      </c>
      <c r="JE22">
        <v>8.6739513355948885E-4</v>
      </c>
      <c r="JF22">
        <v>-8.2500691715147318E-6</v>
      </c>
      <c r="JG22">
        <v>38</v>
      </c>
      <c r="JH22">
        <v>1780</v>
      </c>
      <c r="JI22">
        <v>2</v>
      </c>
      <c r="JJ22">
        <v>37</v>
      </c>
      <c r="JK22">
        <v>0.8</v>
      </c>
      <c r="JL22">
        <v>0.7</v>
      </c>
      <c r="JM22">
        <v>1.2109399999999999</v>
      </c>
      <c r="JN22">
        <v>2.51709</v>
      </c>
      <c r="JO22">
        <v>1.50024</v>
      </c>
      <c r="JP22">
        <v>2.2705099999999998</v>
      </c>
      <c r="JQ22">
        <v>1.4477500000000001</v>
      </c>
      <c r="JR22">
        <v>2.36938</v>
      </c>
      <c r="JS22">
        <v>41.067</v>
      </c>
      <c r="JT22">
        <v>15.559200000000001</v>
      </c>
      <c r="JU22">
        <v>18</v>
      </c>
      <c r="JV22">
        <v>550.50599999999997</v>
      </c>
      <c r="JW22">
        <v>436.12900000000002</v>
      </c>
      <c r="JX22">
        <v>35.7303</v>
      </c>
      <c r="JY22">
        <v>36.099499999999999</v>
      </c>
      <c r="JZ22">
        <v>30.0001</v>
      </c>
      <c r="KA22">
        <v>35.967399999999998</v>
      </c>
      <c r="KB22">
        <v>35.911900000000003</v>
      </c>
      <c r="KC22">
        <v>24.226500000000001</v>
      </c>
      <c r="KD22">
        <v>32.573700000000002</v>
      </c>
      <c r="KE22">
        <v>13.8912</v>
      </c>
      <c r="KF22">
        <v>-999.9</v>
      </c>
      <c r="KG22">
        <v>476.012</v>
      </c>
      <c r="KH22">
        <v>31.507100000000001</v>
      </c>
      <c r="KI22">
        <v>100.11199999999999</v>
      </c>
      <c r="KJ22">
        <v>99.125100000000003</v>
      </c>
    </row>
    <row r="23" spans="1:296" x14ac:dyDescent="0.3">
      <c r="A23">
        <v>7</v>
      </c>
      <c r="B23">
        <v>1783004519</v>
      </c>
      <c r="C23">
        <v>781.90000009536743</v>
      </c>
      <c r="D23" t="s">
        <v>556</v>
      </c>
      <c r="E23" t="s">
        <v>557</v>
      </c>
      <c r="F23">
        <v>15</v>
      </c>
      <c r="H23">
        <v>1783004511.25</v>
      </c>
      <c r="I23">
        <f t="shared" si="0"/>
        <v>6.2981965873523602E-3</v>
      </c>
      <c r="J23">
        <f t="shared" si="1"/>
        <v>6.2981965873523604</v>
      </c>
      <c r="K23">
        <f t="shared" si="2"/>
        <v>37.369253882174085</v>
      </c>
      <c r="L23">
        <f t="shared" si="3"/>
        <v>420.0440333333334</v>
      </c>
      <c r="M23">
        <f t="shared" si="4"/>
        <v>226.56808255365323</v>
      </c>
      <c r="N23">
        <f t="shared" si="5"/>
        <v>22.180350323561033</v>
      </c>
      <c r="O23">
        <f t="shared" si="6"/>
        <v>41.121078069099184</v>
      </c>
      <c r="P23">
        <f t="shared" si="7"/>
        <v>0.34425454288721136</v>
      </c>
      <c r="Q23">
        <f t="shared" si="8"/>
        <v>2.890775039303997</v>
      </c>
      <c r="R23">
        <f t="shared" si="9"/>
        <v>0.32299287909832858</v>
      </c>
      <c r="S23">
        <f t="shared" si="10"/>
        <v>0.20367130299236502</v>
      </c>
      <c r="T23">
        <f t="shared" si="11"/>
        <v>128.27917155385364</v>
      </c>
      <c r="U23">
        <f t="shared" si="12"/>
        <v>34.995605562405146</v>
      </c>
      <c r="V23">
        <f t="shared" si="13"/>
        <v>35.075736666666657</v>
      </c>
      <c r="W23">
        <f t="shared" si="14"/>
        <v>5.6721040962617275</v>
      </c>
      <c r="X23">
        <f t="shared" si="15"/>
        <v>65.022811912756609</v>
      </c>
      <c r="Y23">
        <f t="shared" si="16"/>
        <v>3.8560583595080096</v>
      </c>
      <c r="Z23">
        <f t="shared" si="17"/>
        <v>5.9303162168406658</v>
      </c>
      <c r="AA23">
        <f t="shared" si="18"/>
        <v>1.8160457367537179</v>
      </c>
      <c r="AB23">
        <f t="shared" si="19"/>
        <v>-277.75046950223907</v>
      </c>
      <c r="AC23">
        <f t="shared" si="20"/>
        <v>125.72111016033129</v>
      </c>
      <c r="AD23">
        <f t="shared" si="21"/>
        <v>10.204295500098432</v>
      </c>
      <c r="AE23">
        <f t="shared" si="22"/>
        <v>-13.545892287955709</v>
      </c>
      <c r="AF23">
        <f t="shared" si="23"/>
        <v>37.369253882174085</v>
      </c>
      <c r="AG23">
        <f t="shared" si="24"/>
        <v>6.2981965873523604</v>
      </c>
      <c r="AH23">
        <f t="shared" si="25"/>
        <v>37.653842051278865</v>
      </c>
      <c r="AI23">
        <v>483.71170619832623</v>
      </c>
      <c r="AJ23">
        <v>437.05911515151519</v>
      </c>
      <c r="AK23">
        <v>-6.5030608051294247E-3</v>
      </c>
      <c r="AL23">
        <v>67.081680151285781</v>
      </c>
      <c r="AM23">
        <f t="shared" si="26"/>
        <v>6.2828049201949598</v>
      </c>
      <c r="AN23">
        <v>32.130580226650054</v>
      </c>
      <c r="AO23">
        <v>39.379963636363627</v>
      </c>
      <c r="AP23">
        <v>-1.1272257586261449E-3</v>
      </c>
      <c r="AQ23">
        <v>78.218326170077361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50230.676488169105</v>
      </c>
      <c r="AW23" t="s">
        <v>533</v>
      </c>
      <c r="AX23">
        <v>5108.59</v>
      </c>
      <c r="AY23">
        <v>577.7117647058825</v>
      </c>
      <c r="AZ23">
        <v>2527.6</v>
      </c>
      <c r="BA23">
        <f t="shared" si="30"/>
        <v>0.7714386118429013</v>
      </c>
      <c r="BB23">
        <v>-5.2534396484243606</v>
      </c>
      <c r="BC23" t="s">
        <v>558</v>
      </c>
      <c r="BD23">
        <v>5093.0200000000004</v>
      </c>
      <c r="BE23">
        <v>841.99541176470586</v>
      </c>
      <c r="BF23">
        <v>1455.95</v>
      </c>
      <c r="BG23">
        <f t="shared" si="31"/>
        <v>0.42168658829993766</v>
      </c>
      <c r="BH23">
        <v>0.5</v>
      </c>
      <c r="BI23">
        <f t="shared" si="32"/>
        <v>672.31825183101205</v>
      </c>
      <c r="BJ23">
        <f t="shared" si="33"/>
        <v>37.369253882174085</v>
      </c>
      <c r="BK23">
        <f t="shared" si="34"/>
        <v>141.75379493319889</v>
      </c>
      <c r="BL23">
        <f t="shared" si="35"/>
        <v>6.3396603341525387E-2</v>
      </c>
      <c r="BM23">
        <f t="shared" si="36"/>
        <v>0.73604862804354532</v>
      </c>
      <c r="BN23">
        <f t="shared" si="37"/>
        <v>494.51788535254741</v>
      </c>
      <c r="BO23" t="s">
        <v>407</v>
      </c>
      <c r="BP23">
        <v>0</v>
      </c>
      <c r="BQ23">
        <f t="shared" si="38"/>
        <v>494.51788535254741</v>
      </c>
      <c r="BR23">
        <f t="shared" si="39"/>
        <v>0.660346931314573</v>
      </c>
      <c r="BS23">
        <f t="shared" si="40"/>
        <v>0.63858339957826882</v>
      </c>
      <c r="BT23">
        <f t="shared" si="41"/>
        <v>0.52710610765755017</v>
      </c>
      <c r="BU23">
        <f t="shared" si="42"/>
        <v>0.69907522077956885</v>
      </c>
      <c r="BV23">
        <f t="shared" si="43"/>
        <v>0.54959560276456265</v>
      </c>
      <c r="BW23">
        <f t="shared" si="44"/>
        <v>0.37505063325562821</v>
      </c>
      <c r="BX23">
        <f t="shared" si="45"/>
        <v>0.62494936674437174</v>
      </c>
      <c r="DG23">
        <f t="shared" si="46"/>
        <v>800.01029999999992</v>
      </c>
      <c r="DH23">
        <f t="shared" si="47"/>
        <v>672.31825183101205</v>
      </c>
      <c r="DI23">
        <f t="shared" si="48"/>
        <v>0.84038699480620704</v>
      </c>
      <c r="DJ23">
        <f t="shared" si="49"/>
        <v>0.1603468999759799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1783004511.25</v>
      </c>
      <c r="DQ23">
        <v>420.0440333333334</v>
      </c>
      <c r="DR23">
        <v>468.06310000000002</v>
      </c>
      <c r="DS23">
        <v>39.388906666666671</v>
      </c>
      <c r="DT23">
        <v>32.128563333333332</v>
      </c>
      <c r="DU23">
        <v>424.52776666666682</v>
      </c>
      <c r="DV23">
        <v>38.973269999999999</v>
      </c>
      <c r="DW23">
        <v>499.98606666666672</v>
      </c>
      <c r="DX23">
        <v>97.845176666666674</v>
      </c>
      <c r="DY23">
        <v>5.1888416666666659E-2</v>
      </c>
      <c r="DZ23">
        <v>35.882429999999999</v>
      </c>
      <c r="EA23">
        <v>35.075736666666657</v>
      </c>
      <c r="EB23">
        <v>999.9000000000002</v>
      </c>
      <c r="EC23">
        <v>0</v>
      </c>
      <c r="ED23">
        <v>0</v>
      </c>
      <c r="EE23">
        <v>9996</v>
      </c>
      <c r="EF23">
        <v>0</v>
      </c>
      <c r="EG23">
        <v>610.4136666666667</v>
      </c>
      <c r="EH23">
        <v>-48.018979999999978</v>
      </c>
      <c r="EI23">
        <v>437.26749999999993</v>
      </c>
      <c r="EJ23">
        <v>483.60039999999998</v>
      </c>
      <c r="EK23">
        <v>7.2603479999999978</v>
      </c>
      <c r="EL23">
        <v>468.06310000000002</v>
      </c>
      <c r="EM23">
        <v>32.128563333333332</v>
      </c>
      <c r="EN23">
        <v>3.8540150000000009</v>
      </c>
      <c r="EO23">
        <v>3.1436256666666669</v>
      </c>
      <c r="EP23">
        <v>28.265686666666671</v>
      </c>
      <c r="EQ23">
        <v>24.808876666666659</v>
      </c>
      <c r="ER23">
        <v>800.01029999999992</v>
      </c>
      <c r="ES23">
        <v>0.98701970000000006</v>
      </c>
      <c r="ET23">
        <v>1.298004E-2</v>
      </c>
      <c r="EU23">
        <v>0</v>
      </c>
      <c r="EV23">
        <v>842.05370000000005</v>
      </c>
      <c r="EW23">
        <v>5.0010700000000003</v>
      </c>
      <c r="EX23">
        <v>10615.59</v>
      </c>
      <c r="EY23">
        <v>7246.7703333333329</v>
      </c>
      <c r="EZ23">
        <v>43.070399999999971</v>
      </c>
      <c r="FA23">
        <v>45.949599999999982</v>
      </c>
      <c r="FB23">
        <v>44.508266666666671</v>
      </c>
      <c r="FC23">
        <v>45.682866666666648</v>
      </c>
      <c r="FD23">
        <v>45.366599999999991</v>
      </c>
      <c r="FE23">
        <v>784.68966666666665</v>
      </c>
      <c r="FF23">
        <v>10.32</v>
      </c>
      <c r="FG23">
        <v>0</v>
      </c>
      <c r="FH23">
        <v>136.20000004768369</v>
      </c>
      <c r="FI23">
        <v>0</v>
      </c>
      <c r="FJ23">
        <v>841.99541176470586</v>
      </c>
      <c r="FK23">
        <v>-1.2566176441418351</v>
      </c>
      <c r="FL23">
        <v>1052.4019583655661</v>
      </c>
      <c r="FM23">
        <v>10627.952941176471</v>
      </c>
      <c r="FN23">
        <v>10</v>
      </c>
      <c r="FO23">
        <v>1783004479</v>
      </c>
      <c r="FP23" t="s">
        <v>559</v>
      </c>
      <c r="FQ23">
        <v>1783004471.0999999</v>
      </c>
      <c r="FR23">
        <v>1783004479</v>
      </c>
      <c r="FS23">
        <v>8</v>
      </c>
      <c r="FT23">
        <v>4.7E-2</v>
      </c>
      <c r="FU23">
        <v>-7.0000000000000001E-3</v>
      </c>
      <c r="FV23">
        <v>-4.6660000000000004</v>
      </c>
      <c r="FW23">
        <v>0.183</v>
      </c>
      <c r="FX23">
        <v>469</v>
      </c>
      <c r="FY23">
        <v>32</v>
      </c>
      <c r="FZ23">
        <v>0.17</v>
      </c>
      <c r="GA23">
        <v>0.04</v>
      </c>
      <c r="GB23">
        <v>468.07493333333332</v>
      </c>
      <c r="GC23">
        <v>-0.5951679644061415</v>
      </c>
      <c r="GD23">
        <v>0.22876682937485401</v>
      </c>
      <c r="GE23">
        <v>-1</v>
      </c>
      <c r="GF23">
        <v>842.01020588235303</v>
      </c>
      <c r="GG23">
        <v>0.41657754174031908</v>
      </c>
      <c r="GH23">
        <v>0.27819351912480278</v>
      </c>
      <c r="GI23">
        <v>1</v>
      </c>
      <c r="GJ23">
        <v>7.2852595000000004</v>
      </c>
      <c r="GK23">
        <v>-0.42634446529080561</v>
      </c>
      <c r="GL23">
        <v>5.5987535128365837E-2</v>
      </c>
      <c r="GM23">
        <v>1</v>
      </c>
      <c r="GN23">
        <v>2</v>
      </c>
      <c r="GO23">
        <v>2</v>
      </c>
      <c r="GP23" t="s">
        <v>410</v>
      </c>
      <c r="GQ23">
        <v>3.13286</v>
      </c>
      <c r="GR23">
        <v>2.7282999999999999</v>
      </c>
      <c r="GS23">
        <v>9.0950199999999995E-2</v>
      </c>
      <c r="GT23">
        <v>9.8663399999999998E-2</v>
      </c>
      <c r="GU23">
        <v>0.15579399999999999</v>
      </c>
      <c r="GV23">
        <v>0.13680300000000001</v>
      </c>
      <c r="GW23">
        <v>22723.5</v>
      </c>
      <c r="GX23">
        <v>30287.8</v>
      </c>
      <c r="GY23">
        <v>27124.9</v>
      </c>
      <c r="GZ23">
        <v>34568.9</v>
      </c>
      <c r="HA23">
        <v>33558.400000000001</v>
      </c>
      <c r="HB23">
        <v>38105.1</v>
      </c>
      <c r="HC23">
        <v>40060.1</v>
      </c>
      <c r="HD23">
        <v>44217.8</v>
      </c>
      <c r="HE23">
        <v>1.9498</v>
      </c>
      <c r="HF23">
        <v>1.758</v>
      </c>
      <c r="HG23">
        <v>5.126E-2</v>
      </c>
      <c r="HH23">
        <v>0</v>
      </c>
      <c r="HI23">
        <v>34.2425</v>
      </c>
      <c r="HJ23">
        <v>999.9</v>
      </c>
      <c r="HK23">
        <v>62.9</v>
      </c>
      <c r="HL23">
        <v>36.799999999999997</v>
      </c>
      <c r="HM23">
        <v>40.093200000000003</v>
      </c>
      <c r="HN23">
        <v>59.033700000000003</v>
      </c>
      <c r="HO23">
        <v>5.2604100000000003</v>
      </c>
      <c r="HP23">
        <v>1</v>
      </c>
      <c r="HQ23">
        <v>0.70983700000000005</v>
      </c>
      <c r="HR23">
        <v>0</v>
      </c>
      <c r="HS23">
        <v>20.286799999999999</v>
      </c>
      <c r="HT23">
        <v>5.2088999999999999</v>
      </c>
      <c r="HU23">
        <v>11.908099999999999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1.8629500000000001</v>
      </c>
      <c r="ID23">
        <v>1.86249</v>
      </c>
      <c r="IE23">
        <v>1.8619399999999999</v>
      </c>
      <c r="IF23">
        <v>1.8620300000000001</v>
      </c>
      <c r="IG23">
        <v>1.8626400000000001</v>
      </c>
      <c r="IH23">
        <v>1.8635600000000001</v>
      </c>
      <c r="II23">
        <v>1.86145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-4.4829999999999997</v>
      </c>
      <c r="IX23">
        <v>0.4153</v>
      </c>
      <c r="IY23">
        <v>-2.669350126990202</v>
      </c>
      <c r="IZ23">
        <v>-4.7754461378838441E-3</v>
      </c>
      <c r="JA23">
        <v>1.175754608921022E-6</v>
      </c>
      <c r="JB23">
        <v>1.4193218893046591E-11</v>
      </c>
      <c r="JC23">
        <v>-0.42419783689775098</v>
      </c>
      <c r="JD23">
        <v>2.7492919904454862E-4</v>
      </c>
      <c r="JE23">
        <v>8.6739513355948885E-4</v>
      </c>
      <c r="JF23">
        <v>-8.2500691715147318E-6</v>
      </c>
      <c r="JG23">
        <v>38</v>
      </c>
      <c r="JH23">
        <v>1780</v>
      </c>
      <c r="JI23">
        <v>2</v>
      </c>
      <c r="JJ23">
        <v>37</v>
      </c>
      <c r="JK23">
        <v>0.8</v>
      </c>
      <c r="JL23">
        <v>0.7</v>
      </c>
      <c r="JM23">
        <v>1.1962900000000001</v>
      </c>
      <c r="JN23">
        <v>2.5158700000000001</v>
      </c>
      <c r="JO23">
        <v>1.50024</v>
      </c>
      <c r="JP23">
        <v>2.2705099999999998</v>
      </c>
      <c r="JQ23">
        <v>1.4477500000000001</v>
      </c>
      <c r="JR23">
        <v>2.4682599999999999</v>
      </c>
      <c r="JS23">
        <v>41.118699999999997</v>
      </c>
      <c r="JT23">
        <v>15.5505</v>
      </c>
      <c r="JU23">
        <v>18</v>
      </c>
      <c r="JV23">
        <v>550.20500000000004</v>
      </c>
      <c r="JW23">
        <v>436.73599999999999</v>
      </c>
      <c r="JX23">
        <v>35.648800000000001</v>
      </c>
      <c r="JY23">
        <v>36.086100000000002</v>
      </c>
      <c r="JZ23">
        <v>30</v>
      </c>
      <c r="KA23">
        <v>35.980699999999999</v>
      </c>
      <c r="KB23">
        <v>35.927799999999998</v>
      </c>
      <c r="KC23">
        <v>23.922899999999998</v>
      </c>
      <c r="KD23">
        <v>31.4343</v>
      </c>
      <c r="KE23">
        <v>12.724500000000001</v>
      </c>
      <c r="KF23">
        <v>-999.9</v>
      </c>
      <c r="KG23">
        <v>468.24599999999998</v>
      </c>
      <c r="KH23">
        <v>32.113999999999997</v>
      </c>
      <c r="KI23">
        <v>100.116</v>
      </c>
      <c r="KJ23">
        <v>99.130499999999998</v>
      </c>
    </row>
    <row r="24" spans="1:296" x14ac:dyDescent="0.3">
      <c r="A24">
        <v>8</v>
      </c>
      <c r="B24">
        <v>1783004650.5</v>
      </c>
      <c r="C24">
        <v>913.40000009536743</v>
      </c>
      <c r="D24" t="s">
        <v>560</v>
      </c>
      <c r="E24" t="s">
        <v>561</v>
      </c>
      <c r="F24">
        <v>15</v>
      </c>
      <c r="H24">
        <v>1783004642.75</v>
      </c>
      <c r="I24">
        <f t="shared" si="0"/>
        <v>5.2699927893169194E-3</v>
      </c>
      <c r="J24">
        <f t="shared" si="1"/>
        <v>5.2699927893169196</v>
      </c>
      <c r="K24">
        <f t="shared" si="2"/>
        <v>30.225885728126698</v>
      </c>
      <c r="L24">
        <f t="shared" si="3"/>
        <v>419.88073333333341</v>
      </c>
      <c r="M24">
        <f t="shared" si="4"/>
        <v>229.26712226962283</v>
      </c>
      <c r="N24">
        <f t="shared" si="5"/>
        <v>22.445232507739007</v>
      </c>
      <c r="O24">
        <f t="shared" si="6"/>
        <v>41.106289431693725</v>
      </c>
      <c r="P24">
        <f t="shared" si="7"/>
        <v>0.2803699269999223</v>
      </c>
      <c r="Q24">
        <f t="shared" si="8"/>
        <v>2.8969637593909576</v>
      </c>
      <c r="R24">
        <f t="shared" si="9"/>
        <v>0.26612043556710308</v>
      </c>
      <c r="S24">
        <f t="shared" si="10"/>
        <v>0.16754516012272791</v>
      </c>
      <c r="T24">
        <f t="shared" si="11"/>
        <v>96.342896920383936</v>
      </c>
      <c r="U24">
        <f t="shared" si="12"/>
        <v>35.068093139588107</v>
      </c>
      <c r="V24">
        <f t="shared" si="13"/>
        <v>35.138296666666662</v>
      </c>
      <c r="W24">
        <f t="shared" si="14"/>
        <v>5.6917731288511764</v>
      </c>
      <c r="X24">
        <f t="shared" si="15"/>
        <v>64.909567227855717</v>
      </c>
      <c r="Y24">
        <f t="shared" si="16"/>
        <v>3.8475108387821728</v>
      </c>
      <c r="Z24">
        <f t="shared" si="17"/>
        <v>5.9274942094068175</v>
      </c>
      <c r="AA24">
        <f t="shared" si="18"/>
        <v>1.8442622900690036</v>
      </c>
      <c r="AB24">
        <f t="shared" si="19"/>
        <v>-232.40668200887615</v>
      </c>
      <c r="AC24">
        <f t="shared" si="20"/>
        <v>114.86860353086477</v>
      </c>
      <c r="AD24">
        <f t="shared" si="21"/>
        <v>9.3059584775838502</v>
      </c>
      <c r="AE24">
        <f t="shared" si="22"/>
        <v>-11.889223080043578</v>
      </c>
      <c r="AF24">
        <f t="shared" si="23"/>
        <v>30.225885728126698</v>
      </c>
      <c r="AG24">
        <f t="shared" si="24"/>
        <v>5.2699927893169196</v>
      </c>
      <c r="AH24">
        <f t="shared" si="25"/>
        <v>29.031990806280046</v>
      </c>
      <c r="AI24">
        <v>473.34405581565198</v>
      </c>
      <c r="AJ24">
        <v>437.54832727272742</v>
      </c>
      <c r="AK24">
        <v>-4.5107515180453639E-2</v>
      </c>
      <c r="AL24">
        <v>67.08217943447066</v>
      </c>
      <c r="AM24">
        <f t="shared" si="26"/>
        <v>5.1684489849684763</v>
      </c>
      <c r="AN24">
        <v>33.217333400262063</v>
      </c>
      <c r="AO24">
        <v>39.223372121212108</v>
      </c>
      <c r="AP24">
        <v>-8.1849719390220104E-3</v>
      </c>
      <c r="AQ24">
        <v>78.220067149814682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50403.519347069683</v>
      </c>
      <c r="AW24" t="s">
        <v>533</v>
      </c>
      <c r="AX24">
        <v>5108.59</v>
      </c>
      <c r="AY24">
        <v>577.7117647058825</v>
      </c>
      <c r="AZ24">
        <v>2527.6</v>
      </c>
      <c r="BA24">
        <f t="shared" si="30"/>
        <v>0.7714386118429013</v>
      </c>
      <c r="BB24">
        <v>-5.2534396484243606</v>
      </c>
      <c r="BC24" t="s">
        <v>562</v>
      </c>
      <c r="BD24">
        <v>5095.6099999999997</v>
      </c>
      <c r="BE24">
        <v>853.97758823529421</v>
      </c>
      <c r="BF24">
        <v>1611.49</v>
      </c>
      <c r="BG24">
        <f t="shared" si="31"/>
        <v>0.47006957025157203</v>
      </c>
      <c r="BH24">
        <v>0.5</v>
      </c>
      <c r="BI24">
        <f t="shared" si="32"/>
        <v>504.29028089139064</v>
      </c>
      <c r="BJ24">
        <f t="shared" si="33"/>
        <v>30.225885728126698</v>
      </c>
      <c r="BK24">
        <f t="shared" si="34"/>
        <v>118.52575781033028</v>
      </c>
      <c r="BL24">
        <f t="shared" si="35"/>
        <v>7.0354965623841303E-2</v>
      </c>
      <c r="BM24">
        <f t="shared" si="36"/>
        <v>0.56848630770280917</v>
      </c>
      <c r="BN24">
        <f t="shared" si="37"/>
        <v>511.27920273747463</v>
      </c>
      <c r="BO24" t="s">
        <v>407</v>
      </c>
      <c r="BP24">
        <v>0</v>
      </c>
      <c r="BQ24">
        <f t="shared" si="38"/>
        <v>511.27920273747463</v>
      </c>
      <c r="BR24">
        <f t="shared" si="39"/>
        <v>0.68272890136614273</v>
      </c>
      <c r="BS24">
        <f t="shared" si="40"/>
        <v>0.68851570412642749</v>
      </c>
      <c r="BT24">
        <f t="shared" si="41"/>
        <v>0.45434734455140485</v>
      </c>
      <c r="BU24">
        <f t="shared" si="42"/>
        <v>0.73276103704116757</v>
      </c>
      <c r="BV24">
        <f t="shared" si="43"/>
        <v>0.46982692824023098</v>
      </c>
      <c r="BW24">
        <f t="shared" si="44"/>
        <v>0.41221662620611849</v>
      </c>
      <c r="BX24">
        <f t="shared" si="45"/>
        <v>0.58778337379388157</v>
      </c>
      <c r="DG24">
        <f t="shared" si="46"/>
        <v>599.98450000000003</v>
      </c>
      <c r="DH24">
        <f t="shared" si="47"/>
        <v>504.29028089139064</v>
      </c>
      <c r="DI24">
        <f t="shared" si="48"/>
        <v>0.84050551454477673</v>
      </c>
      <c r="DJ24">
        <f t="shared" si="49"/>
        <v>0.16057564307141922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1783004642.75</v>
      </c>
      <c r="DQ24">
        <v>419.88073333333341</v>
      </c>
      <c r="DR24">
        <v>458.79676666666649</v>
      </c>
      <c r="DS24">
        <v>39.300449999999998</v>
      </c>
      <c r="DT24">
        <v>33.226609999999987</v>
      </c>
      <c r="DU24">
        <v>424.37569999999999</v>
      </c>
      <c r="DV24">
        <v>38.903799999999997</v>
      </c>
      <c r="DW24">
        <v>500.13299999999998</v>
      </c>
      <c r="DX24">
        <v>97.849076666666662</v>
      </c>
      <c r="DY24">
        <v>5.0841496666666673E-2</v>
      </c>
      <c r="DZ24">
        <v>35.873779999999996</v>
      </c>
      <c r="EA24">
        <v>35.138296666666662</v>
      </c>
      <c r="EB24">
        <v>999.9000000000002</v>
      </c>
      <c r="EC24">
        <v>0</v>
      </c>
      <c r="ED24">
        <v>0</v>
      </c>
      <c r="EE24">
        <v>10031.16666666667</v>
      </c>
      <c r="EF24">
        <v>0</v>
      </c>
      <c r="EG24">
        <v>511.82016666666669</v>
      </c>
      <c r="EH24">
        <v>-38.916043333333327</v>
      </c>
      <c r="EI24">
        <v>437.0571333333333</v>
      </c>
      <c r="EJ24">
        <v>474.56486666666672</v>
      </c>
      <c r="EK24">
        <v>6.0738216666666656</v>
      </c>
      <c r="EL24">
        <v>458.79676666666649</v>
      </c>
      <c r="EM24">
        <v>33.226609999999987</v>
      </c>
      <c r="EN24">
        <v>3.845512666666667</v>
      </c>
      <c r="EO24">
        <v>3.2511946666666658</v>
      </c>
      <c r="EP24">
        <v>28.227709999999998</v>
      </c>
      <c r="EQ24">
        <v>25.373603333333332</v>
      </c>
      <c r="ER24">
        <v>599.98450000000003</v>
      </c>
      <c r="ES24">
        <v>0.98300406666666651</v>
      </c>
      <c r="ET24">
        <v>1.6995983333333339E-2</v>
      </c>
      <c r="EU24">
        <v>0</v>
      </c>
      <c r="EV24">
        <v>854.03930000000025</v>
      </c>
      <c r="EW24">
        <v>5.0010700000000003</v>
      </c>
      <c r="EX24">
        <v>8206.7556666666678</v>
      </c>
      <c r="EY24">
        <v>5414.978000000001</v>
      </c>
      <c r="EZ24">
        <v>42.457999999999977</v>
      </c>
      <c r="FA24">
        <v>45.399800000000013</v>
      </c>
      <c r="FB24">
        <v>44.053733333333319</v>
      </c>
      <c r="FC24">
        <v>45.291333333333327</v>
      </c>
      <c r="FD24">
        <v>44.879133333333343</v>
      </c>
      <c r="FE24">
        <v>584.87166666666656</v>
      </c>
      <c r="FF24">
        <v>10.11</v>
      </c>
      <c r="FG24">
        <v>0</v>
      </c>
      <c r="FH24">
        <v>131</v>
      </c>
      <c r="FI24">
        <v>0</v>
      </c>
      <c r="FJ24">
        <v>853.97758823529421</v>
      </c>
      <c r="FK24">
        <v>0.93946080567205537</v>
      </c>
      <c r="FL24">
        <v>-13.612745923890211</v>
      </c>
      <c r="FM24">
        <v>8211.7729411764703</v>
      </c>
      <c r="FN24">
        <v>10</v>
      </c>
      <c r="FO24">
        <v>1783004621.5</v>
      </c>
      <c r="FP24" t="s">
        <v>563</v>
      </c>
      <c r="FQ24">
        <v>1783004616</v>
      </c>
      <c r="FR24">
        <v>1783004621.5</v>
      </c>
      <c r="FS24">
        <v>9</v>
      </c>
      <c r="FT24">
        <v>-1.2E-2</v>
      </c>
      <c r="FU24">
        <v>-1.7000000000000001E-2</v>
      </c>
      <c r="FV24">
        <v>-4.6399999999999997</v>
      </c>
      <c r="FW24">
        <v>0.20399999999999999</v>
      </c>
      <c r="FX24">
        <v>459</v>
      </c>
      <c r="FY24">
        <v>33</v>
      </c>
      <c r="FZ24">
        <v>0.2</v>
      </c>
      <c r="GA24">
        <v>0.05</v>
      </c>
      <c r="GB24">
        <v>458.8517419354838</v>
      </c>
      <c r="GC24">
        <v>-9.2172096774208931</v>
      </c>
      <c r="GD24">
        <v>0.78837231124935336</v>
      </c>
      <c r="GE24">
        <v>-1</v>
      </c>
      <c r="GF24">
        <v>854.34455882352938</v>
      </c>
      <c r="GG24">
        <v>-4.8095187220042099</v>
      </c>
      <c r="GH24">
        <v>0.60622550605104408</v>
      </c>
      <c r="GI24">
        <v>1</v>
      </c>
      <c r="GJ24">
        <v>6.0586968292682926</v>
      </c>
      <c r="GK24">
        <v>0.157898885017413</v>
      </c>
      <c r="GL24">
        <v>0.13892694355683499</v>
      </c>
      <c r="GM24">
        <v>1</v>
      </c>
      <c r="GN24">
        <v>2</v>
      </c>
      <c r="GO24">
        <v>2</v>
      </c>
      <c r="GP24" t="s">
        <v>410</v>
      </c>
      <c r="GQ24">
        <v>3.1342099999999999</v>
      </c>
      <c r="GR24">
        <v>2.72641</v>
      </c>
      <c r="GS24">
        <v>9.1032100000000005E-2</v>
      </c>
      <c r="GT24">
        <v>9.6979099999999999E-2</v>
      </c>
      <c r="GU24">
        <v>0.15545600000000001</v>
      </c>
      <c r="GV24">
        <v>0.139934</v>
      </c>
      <c r="GW24">
        <v>22722.7</v>
      </c>
      <c r="GX24">
        <v>30346.5</v>
      </c>
      <c r="GY24">
        <v>27126.2</v>
      </c>
      <c r="GZ24">
        <v>34571</v>
      </c>
      <c r="HA24">
        <v>33573.300000000003</v>
      </c>
      <c r="HB24">
        <v>37967.9</v>
      </c>
      <c r="HC24">
        <v>40062.199999999997</v>
      </c>
      <c r="HD24">
        <v>44218.9</v>
      </c>
      <c r="HE24">
        <v>1.9492</v>
      </c>
      <c r="HF24">
        <v>1.7589999999999999</v>
      </c>
      <c r="HG24">
        <v>5.6117800000000002E-2</v>
      </c>
      <c r="HH24">
        <v>0</v>
      </c>
      <c r="HI24">
        <v>34.2363</v>
      </c>
      <c r="HJ24">
        <v>999.9</v>
      </c>
      <c r="HK24">
        <v>62.4</v>
      </c>
      <c r="HL24">
        <v>37</v>
      </c>
      <c r="HM24">
        <v>40.207999999999998</v>
      </c>
      <c r="HN24">
        <v>58.563699999999997</v>
      </c>
      <c r="HO24">
        <v>5.1843000000000004</v>
      </c>
      <c r="HP24">
        <v>1</v>
      </c>
      <c r="HQ24">
        <v>0.70703300000000002</v>
      </c>
      <c r="HR24">
        <v>0</v>
      </c>
      <c r="HS24">
        <v>20.2882</v>
      </c>
      <c r="HT24">
        <v>5.2065099999999997</v>
      </c>
      <c r="HU24">
        <v>11.908099999999999</v>
      </c>
      <c r="HV24">
        <v>4.9828000000000001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1.8630100000000001</v>
      </c>
      <c r="ID24">
        <v>1.86249</v>
      </c>
      <c r="IE24">
        <v>1.8619699999999999</v>
      </c>
      <c r="IF24">
        <v>1.8620300000000001</v>
      </c>
      <c r="IG24">
        <v>1.8626400000000001</v>
      </c>
      <c r="IH24">
        <v>1.8635299999999999</v>
      </c>
      <c r="II24">
        <v>1.86154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-4.4960000000000004</v>
      </c>
      <c r="IX24">
        <v>0.39429999999999998</v>
      </c>
      <c r="IY24">
        <v>-2.681287800715598</v>
      </c>
      <c r="IZ24">
        <v>-4.7754461378838441E-3</v>
      </c>
      <c r="JA24">
        <v>1.175754608921022E-6</v>
      </c>
      <c r="JB24">
        <v>1.4193218893046591E-11</v>
      </c>
      <c r="JC24">
        <v>-0.441091057956911</v>
      </c>
      <c r="JD24">
        <v>2.7492919904454862E-4</v>
      </c>
      <c r="JE24">
        <v>8.6739513355948885E-4</v>
      </c>
      <c r="JF24">
        <v>-8.2500691715147318E-6</v>
      </c>
      <c r="JG24">
        <v>38</v>
      </c>
      <c r="JH24">
        <v>1780</v>
      </c>
      <c r="JI24">
        <v>2</v>
      </c>
      <c r="JJ24">
        <v>37</v>
      </c>
      <c r="JK24">
        <v>0.6</v>
      </c>
      <c r="JL24">
        <v>0.5</v>
      </c>
      <c r="JM24">
        <v>1.17432</v>
      </c>
      <c r="JN24">
        <v>2.5122100000000001</v>
      </c>
      <c r="JO24">
        <v>1.50024</v>
      </c>
      <c r="JP24">
        <v>2.2705099999999998</v>
      </c>
      <c r="JQ24">
        <v>1.4477500000000001</v>
      </c>
      <c r="JR24">
        <v>2.4145500000000002</v>
      </c>
      <c r="JS24">
        <v>41.196399999999997</v>
      </c>
      <c r="JT24">
        <v>15.532999999999999</v>
      </c>
      <c r="JU24">
        <v>18</v>
      </c>
      <c r="JV24">
        <v>549.66</v>
      </c>
      <c r="JW24">
        <v>437.226</v>
      </c>
      <c r="JX24">
        <v>35.664700000000003</v>
      </c>
      <c r="JY24">
        <v>36.059399999999997</v>
      </c>
      <c r="JZ24">
        <v>29.999700000000001</v>
      </c>
      <c r="KA24">
        <v>35.964100000000002</v>
      </c>
      <c r="KB24">
        <v>35.9054</v>
      </c>
      <c r="KC24">
        <v>23.504999999999999</v>
      </c>
      <c r="KD24">
        <v>29.097000000000001</v>
      </c>
      <c r="KE24">
        <v>12.492599999999999</v>
      </c>
      <c r="KF24">
        <v>-999.9</v>
      </c>
      <c r="KG24">
        <v>457.40100000000001</v>
      </c>
      <c r="KH24">
        <v>33.338799999999999</v>
      </c>
      <c r="KI24">
        <v>100.121</v>
      </c>
      <c r="KJ24">
        <v>99.134500000000003</v>
      </c>
    </row>
    <row r="25" spans="1:296" x14ac:dyDescent="0.3">
      <c r="A25">
        <v>9</v>
      </c>
      <c r="B25">
        <v>1783004816</v>
      </c>
      <c r="C25">
        <v>1078.900000095367</v>
      </c>
      <c r="D25" t="s">
        <v>564</v>
      </c>
      <c r="E25" t="s">
        <v>565</v>
      </c>
      <c r="F25">
        <v>15</v>
      </c>
      <c r="H25">
        <v>1783004808.25</v>
      </c>
      <c r="I25">
        <f t="shared" si="0"/>
        <v>4.0573074208241598E-3</v>
      </c>
      <c r="J25">
        <f t="shared" si="1"/>
        <v>4.0573074208241602</v>
      </c>
      <c r="K25">
        <f t="shared" si="2"/>
        <v>20.096054621852716</v>
      </c>
      <c r="L25">
        <f t="shared" si="3"/>
        <v>419.79756666666668</v>
      </c>
      <c r="M25">
        <f t="shared" si="4"/>
        <v>253.726169639695</v>
      </c>
      <c r="N25">
        <f t="shared" si="5"/>
        <v>24.841654515967271</v>
      </c>
      <c r="O25">
        <f t="shared" si="6"/>
        <v>41.101263352479812</v>
      </c>
      <c r="P25">
        <f t="shared" si="7"/>
        <v>0.21403624383560088</v>
      </c>
      <c r="Q25">
        <f t="shared" si="8"/>
        <v>2.8924848018186946</v>
      </c>
      <c r="R25">
        <f t="shared" si="9"/>
        <v>0.20561057931769192</v>
      </c>
      <c r="S25">
        <f t="shared" si="10"/>
        <v>0.12923598785090917</v>
      </c>
      <c r="T25">
        <f t="shared" si="11"/>
        <v>64.409261399222416</v>
      </c>
      <c r="U25">
        <f t="shared" si="12"/>
        <v>35.027970480973671</v>
      </c>
      <c r="V25">
        <f t="shared" si="13"/>
        <v>35.06892666666667</v>
      </c>
      <c r="W25">
        <f t="shared" si="14"/>
        <v>5.6699665833667128</v>
      </c>
      <c r="X25">
        <f t="shared" si="15"/>
        <v>65.238921225543095</v>
      </c>
      <c r="Y25">
        <f t="shared" si="16"/>
        <v>3.8317121260844393</v>
      </c>
      <c r="Z25">
        <f t="shared" si="17"/>
        <v>5.87335298331727</v>
      </c>
      <c r="AA25">
        <f t="shared" si="18"/>
        <v>1.8382544572822734</v>
      </c>
      <c r="AB25">
        <f t="shared" si="19"/>
        <v>-178.92725725834543</v>
      </c>
      <c r="AC25">
        <f t="shared" si="20"/>
        <v>99.521198452474152</v>
      </c>
      <c r="AD25">
        <f t="shared" si="21"/>
        <v>8.0658235186046223</v>
      </c>
      <c r="AE25">
        <f t="shared" si="22"/>
        <v>-6.9309738880442495</v>
      </c>
      <c r="AF25">
        <f t="shared" si="23"/>
        <v>20.096054621852716</v>
      </c>
      <c r="AG25">
        <f t="shared" si="24"/>
        <v>4.0573074208241602</v>
      </c>
      <c r="AH25">
        <f t="shared" si="25"/>
        <v>19.456223651648607</v>
      </c>
      <c r="AI25">
        <v>461.30323486554943</v>
      </c>
      <c r="AJ25">
        <v>437.28756363636347</v>
      </c>
      <c r="AK25">
        <v>-3.200831919579436E-2</v>
      </c>
      <c r="AL25">
        <v>67.080485154139808</v>
      </c>
      <c r="AM25">
        <f t="shared" si="26"/>
        <v>3.9724433025809245</v>
      </c>
      <c r="AN25">
        <v>34.449685712040733</v>
      </c>
      <c r="AO25">
        <v>39.082452121212107</v>
      </c>
      <c r="AP25">
        <v>-8.7906617398226354E-3</v>
      </c>
      <c r="AQ25">
        <v>78.214754155633344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50306.745996084675</v>
      </c>
      <c r="AW25" t="s">
        <v>533</v>
      </c>
      <c r="AX25">
        <v>5108.59</v>
      </c>
      <c r="AY25">
        <v>577.7117647058825</v>
      </c>
      <c r="AZ25">
        <v>2527.6</v>
      </c>
      <c r="BA25">
        <f t="shared" si="30"/>
        <v>0.7714386118429013</v>
      </c>
      <c r="BB25">
        <v>-5.2534396484243606</v>
      </c>
      <c r="BC25" t="s">
        <v>566</v>
      </c>
      <c r="BD25">
        <v>5099.17</v>
      </c>
      <c r="BE25">
        <v>859.11364705882352</v>
      </c>
      <c r="BF25">
        <v>1781.86</v>
      </c>
      <c r="BG25">
        <f t="shared" si="31"/>
        <v>0.51785569738429305</v>
      </c>
      <c r="BH25">
        <v>0.5</v>
      </c>
      <c r="BI25">
        <f t="shared" si="32"/>
        <v>336.2844527871618</v>
      </c>
      <c r="BJ25">
        <f t="shared" si="33"/>
        <v>20.096054621852716</v>
      </c>
      <c r="BK25">
        <f t="shared" si="34"/>
        <v>87.073409908795526</v>
      </c>
      <c r="BL25">
        <f t="shared" si="35"/>
        <v>7.5381106858130778E-2</v>
      </c>
      <c r="BM25">
        <f t="shared" si="36"/>
        <v>0.41851772866555176</v>
      </c>
      <c r="BN25">
        <f t="shared" si="37"/>
        <v>527.27429147976818</v>
      </c>
      <c r="BO25" t="s">
        <v>407</v>
      </c>
      <c r="BP25">
        <v>0</v>
      </c>
      <c r="BQ25">
        <f t="shared" si="38"/>
        <v>527.27429147976818</v>
      </c>
      <c r="BR25">
        <f t="shared" si="39"/>
        <v>0.70408769966228091</v>
      </c>
      <c r="BS25">
        <f t="shared" si="40"/>
        <v>0.73549885565773288</v>
      </c>
      <c r="BT25">
        <f t="shared" si="41"/>
        <v>0.37280928641949584</v>
      </c>
      <c r="BU25">
        <f t="shared" si="42"/>
        <v>0.76630627849219268</v>
      </c>
      <c r="BV25">
        <f t="shared" si="43"/>
        <v>0.38245268959608553</v>
      </c>
      <c r="BW25">
        <f t="shared" si="44"/>
        <v>0.45140667864930106</v>
      </c>
      <c r="BX25">
        <f t="shared" si="45"/>
        <v>0.54859332135069894</v>
      </c>
      <c r="DG25">
        <f t="shared" si="46"/>
        <v>399.98613333333321</v>
      </c>
      <c r="DH25">
        <f t="shared" si="47"/>
        <v>336.2844527871618</v>
      </c>
      <c r="DI25">
        <f t="shared" si="48"/>
        <v>0.84074027763086256</v>
      </c>
      <c r="DJ25">
        <f t="shared" si="49"/>
        <v>0.16102873582756477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1783004808.25</v>
      </c>
      <c r="DQ25">
        <v>419.79756666666668</v>
      </c>
      <c r="DR25">
        <v>445.9552333333333</v>
      </c>
      <c r="DS25">
        <v>39.136106666666663</v>
      </c>
      <c r="DT25">
        <v>34.458150000000003</v>
      </c>
      <c r="DU25">
        <v>424.29360000000003</v>
      </c>
      <c r="DV25">
        <v>38.751523333333331</v>
      </c>
      <c r="DW25">
        <v>500.02859999999998</v>
      </c>
      <c r="DX25">
        <v>97.854803333333322</v>
      </c>
      <c r="DY25">
        <v>5.253729E-2</v>
      </c>
      <c r="DZ25">
        <v>35.707130000000006</v>
      </c>
      <c r="EA25">
        <v>35.06892666666667</v>
      </c>
      <c r="EB25">
        <v>999.9000000000002</v>
      </c>
      <c r="EC25">
        <v>0</v>
      </c>
      <c r="ED25">
        <v>0</v>
      </c>
      <c r="EE25">
        <v>10004.83333333333</v>
      </c>
      <c r="EF25">
        <v>0</v>
      </c>
      <c r="EG25">
        <v>503.0564</v>
      </c>
      <c r="EH25">
        <v>-26.157683333333331</v>
      </c>
      <c r="EI25">
        <v>436.89593333333329</v>
      </c>
      <c r="EJ25">
        <v>461.87043333333332</v>
      </c>
      <c r="EK25">
        <v>4.6779506666666659</v>
      </c>
      <c r="EL25">
        <v>445.9552333333333</v>
      </c>
      <c r="EM25">
        <v>34.458150000000003</v>
      </c>
      <c r="EN25">
        <v>3.8296559999999999</v>
      </c>
      <c r="EO25">
        <v>3.371896</v>
      </c>
      <c r="EP25">
        <v>28.15674666666667</v>
      </c>
      <c r="EQ25">
        <v>25.988160000000001</v>
      </c>
      <c r="ER25">
        <v>399.98613333333321</v>
      </c>
      <c r="ES25">
        <v>0.97500766666666638</v>
      </c>
      <c r="ET25">
        <v>2.499265333333334E-2</v>
      </c>
      <c r="EU25">
        <v>0</v>
      </c>
      <c r="EV25">
        <v>859.2597333333332</v>
      </c>
      <c r="EW25">
        <v>5.0010700000000003</v>
      </c>
      <c r="EX25">
        <v>6285.7513333333354</v>
      </c>
      <c r="EY25">
        <v>3583.5583333333329</v>
      </c>
      <c r="EZ25">
        <v>41.606099999999977</v>
      </c>
      <c r="FA25">
        <v>44.660133333333327</v>
      </c>
      <c r="FB25">
        <v>43.351899999999979</v>
      </c>
      <c r="FC25">
        <v>44.664266666666663</v>
      </c>
      <c r="FD25">
        <v>44.160133333333327</v>
      </c>
      <c r="FE25">
        <v>385.11399999999992</v>
      </c>
      <c r="FF25">
        <v>9.870000000000001</v>
      </c>
      <c r="FG25">
        <v>0</v>
      </c>
      <c r="FH25">
        <v>164.79999995231631</v>
      </c>
      <c r="FI25">
        <v>0</v>
      </c>
      <c r="FJ25">
        <v>859.11364705882352</v>
      </c>
      <c r="FK25">
        <v>-2.5914215808617951</v>
      </c>
      <c r="FL25">
        <v>81.610298312904362</v>
      </c>
      <c r="FM25">
        <v>6286.0470588235294</v>
      </c>
      <c r="FN25">
        <v>10</v>
      </c>
      <c r="FO25">
        <v>1783004787</v>
      </c>
      <c r="FP25" t="s">
        <v>567</v>
      </c>
      <c r="FQ25">
        <v>1783004779</v>
      </c>
      <c r="FR25">
        <v>1783004787</v>
      </c>
      <c r="FS25">
        <v>10</v>
      </c>
      <c r="FT25">
        <v>-1E-3</v>
      </c>
      <c r="FU25">
        <v>-7.0000000000000001E-3</v>
      </c>
      <c r="FV25">
        <v>-4.593</v>
      </c>
      <c r="FW25">
        <v>0.23499999999999999</v>
      </c>
      <c r="FX25">
        <v>446</v>
      </c>
      <c r="FY25">
        <v>34</v>
      </c>
      <c r="FZ25">
        <v>0.3</v>
      </c>
      <c r="GA25">
        <v>0.06</v>
      </c>
      <c r="GB25">
        <v>445.99136666666669</v>
      </c>
      <c r="GC25">
        <v>-5.8521290322580048</v>
      </c>
      <c r="GD25">
        <v>0.46138541252286053</v>
      </c>
      <c r="GE25">
        <v>-1</v>
      </c>
      <c r="GF25">
        <v>859.42626470588232</v>
      </c>
      <c r="GG25">
        <v>-3.4011153536326049</v>
      </c>
      <c r="GH25">
        <v>0.42587842153693661</v>
      </c>
      <c r="GI25">
        <v>1</v>
      </c>
      <c r="GJ25">
        <v>4.6719900000000001</v>
      </c>
      <c r="GK25">
        <v>2.4670919324570609E-2</v>
      </c>
      <c r="GL25">
        <v>7.9327885418684879E-2</v>
      </c>
      <c r="GM25">
        <v>1</v>
      </c>
      <c r="GN25">
        <v>2</v>
      </c>
      <c r="GO25">
        <v>2</v>
      </c>
      <c r="GP25" t="s">
        <v>410</v>
      </c>
      <c r="GQ25">
        <v>3.1344699999999999</v>
      </c>
      <c r="GR25">
        <v>2.7284000000000002</v>
      </c>
      <c r="GS25">
        <v>9.1042499999999998E-2</v>
      </c>
      <c r="GT25">
        <v>9.5041299999999995E-2</v>
      </c>
      <c r="GU25">
        <v>0.155141</v>
      </c>
      <c r="GV25">
        <v>0.143485</v>
      </c>
      <c r="GW25">
        <v>22729</v>
      </c>
      <c r="GX25">
        <v>30421.5</v>
      </c>
      <c r="GY25">
        <v>27133.4</v>
      </c>
      <c r="GZ25">
        <v>34581</v>
      </c>
      <c r="HA25">
        <v>33592.9</v>
      </c>
      <c r="HB25">
        <v>37820.300000000003</v>
      </c>
      <c r="HC25">
        <v>40072.300000000003</v>
      </c>
      <c r="HD25">
        <v>44230.2</v>
      </c>
      <c r="HE25">
        <v>1.9496</v>
      </c>
      <c r="HF25">
        <v>1.7616000000000001</v>
      </c>
      <c r="HG25">
        <v>5.5730300000000003E-2</v>
      </c>
      <c r="HH25">
        <v>0</v>
      </c>
      <c r="HI25">
        <v>34.155799999999999</v>
      </c>
      <c r="HJ25">
        <v>999.9</v>
      </c>
      <c r="HK25">
        <v>62</v>
      </c>
      <c r="HL25">
        <v>37.1</v>
      </c>
      <c r="HM25">
        <v>40.167999999999999</v>
      </c>
      <c r="HN25">
        <v>59.093699999999998</v>
      </c>
      <c r="HO25">
        <v>5.0200300000000002</v>
      </c>
      <c r="HP25">
        <v>1</v>
      </c>
      <c r="HQ25">
        <v>0.69313000000000002</v>
      </c>
      <c r="HR25">
        <v>0</v>
      </c>
      <c r="HS25">
        <v>20.290299999999998</v>
      </c>
      <c r="HT25">
        <v>5.2100999999999997</v>
      </c>
      <c r="HU25">
        <v>11.908099999999999</v>
      </c>
      <c r="HV25">
        <v>4.984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1.8630100000000001</v>
      </c>
      <c r="ID25">
        <v>1.86249</v>
      </c>
      <c r="IE25">
        <v>1.8619399999999999</v>
      </c>
      <c r="IF25">
        <v>1.8620300000000001</v>
      </c>
      <c r="IG25">
        <v>1.8626400000000001</v>
      </c>
      <c r="IH25">
        <v>1.8635600000000001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-4.4969999999999999</v>
      </c>
      <c r="IX25">
        <v>0.38290000000000002</v>
      </c>
      <c r="IY25">
        <v>-2.6826144280551998</v>
      </c>
      <c r="IZ25">
        <v>-4.7754461378838441E-3</v>
      </c>
      <c r="JA25">
        <v>1.175754608921022E-6</v>
      </c>
      <c r="JB25">
        <v>1.4193218893046591E-11</v>
      </c>
      <c r="JC25">
        <v>-0.44853094306612001</v>
      </c>
      <c r="JD25">
        <v>2.7492919904454862E-4</v>
      </c>
      <c r="JE25">
        <v>8.6739513355948885E-4</v>
      </c>
      <c r="JF25">
        <v>-8.2500691715147318E-6</v>
      </c>
      <c r="JG25">
        <v>38</v>
      </c>
      <c r="JH25">
        <v>1780</v>
      </c>
      <c r="JI25">
        <v>2</v>
      </c>
      <c r="JJ25">
        <v>37</v>
      </c>
      <c r="JK25">
        <v>0.6</v>
      </c>
      <c r="JL25">
        <v>0.5</v>
      </c>
      <c r="JM25">
        <v>1.1511199999999999</v>
      </c>
      <c r="JN25">
        <v>2.5268600000000001</v>
      </c>
      <c r="JO25">
        <v>1.50024</v>
      </c>
      <c r="JP25">
        <v>2.2692899999999998</v>
      </c>
      <c r="JQ25">
        <v>1.4477500000000001</v>
      </c>
      <c r="JR25">
        <v>2.3645</v>
      </c>
      <c r="JS25">
        <v>41.248199999999997</v>
      </c>
      <c r="JT25">
        <v>15.5067</v>
      </c>
      <c r="JU25">
        <v>18</v>
      </c>
      <c r="JV25">
        <v>548.89200000000005</v>
      </c>
      <c r="JW25">
        <v>438.04500000000002</v>
      </c>
      <c r="JX25">
        <v>35.597200000000001</v>
      </c>
      <c r="JY25">
        <v>35.909300000000002</v>
      </c>
      <c r="JZ25">
        <v>29.999700000000001</v>
      </c>
      <c r="KA25">
        <v>35.835099999999997</v>
      </c>
      <c r="KB25">
        <v>35.7804</v>
      </c>
      <c r="KC25">
        <v>23.0185</v>
      </c>
      <c r="KD25">
        <v>26.838200000000001</v>
      </c>
      <c r="KE25">
        <v>15.5829</v>
      </c>
      <c r="KF25">
        <v>-999.9</v>
      </c>
      <c r="KG25">
        <v>445.01100000000002</v>
      </c>
      <c r="KH25">
        <v>34.436199999999999</v>
      </c>
      <c r="KI25">
        <v>100.14700000000001</v>
      </c>
      <c r="KJ25">
        <v>99.161199999999994</v>
      </c>
    </row>
    <row r="26" spans="1:296" x14ac:dyDescent="0.3">
      <c r="A26">
        <v>10</v>
      </c>
      <c r="B26">
        <v>1783004940</v>
      </c>
      <c r="C26">
        <v>1202.900000095367</v>
      </c>
      <c r="D26" t="s">
        <v>568</v>
      </c>
      <c r="E26" t="s">
        <v>569</v>
      </c>
      <c r="F26">
        <v>15</v>
      </c>
      <c r="H26">
        <v>1783004932</v>
      </c>
      <c r="I26">
        <f t="shared" si="0"/>
        <v>3.5478327998737813E-3</v>
      </c>
      <c r="J26">
        <f t="shared" si="1"/>
        <v>3.5478327998737811</v>
      </c>
      <c r="K26">
        <f t="shared" si="2"/>
        <v>14.432927773675958</v>
      </c>
      <c r="L26">
        <f t="shared" si="3"/>
        <v>419.94948387096781</v>
      </c>
      <c r="M26">
        <f t="shared" si="4"/>
        <v>282.16663598645346</v>
      </c>
      <c r="N26">
        <f t="shared" si="5"/>
        <v>27.626267427353049</v>
      </c>
      <c r="O26">
        <f t="shared" si="6"/>
        <v>41.116259925057996</v>
      </c>
      <c r="P26">
        <f t="shared" si="7"/>
        <v>0.18767523834670727</v>
      </c>
      <c r="Q26">
        <f t="shared" si="8"/>
        <v>2.8903898940406751</v>
      </c>
      <c r="R26">
        <f t="shared" si="9"/>
        <v>0.18115869376294108</v>
      </c>
      <c r="S26">
        <f t="shared" si="10"/>
        <v>0.11379081877079722</v>
      </c>
      <c r="T26">
        <f t="shared" si="11"/>
        <v>48.443872077495428</v>
      </c>
      <c r="U26">
        <f t="shared" si="12"/>
        <v>34.900022482802903</v>
      </c>
      <c r="V26">
        <f t="shared" si="13"/>
        <v>34.913025806451607</v>
      </c>
      <c r="W26">
        <f t="shared" si="14"/>
        <v>5.6212237363397479</v>
      </c>
      <c r="X26">
        <f t="shared" si="15"/>
        <v>65.225115277520999</v>
      </c>
      <c r="Y26">
        <f t="shared" si="16"/>
        <v>3.7960033669772044</v>
      </c>
      <c r="Z26">
        <f t="shared" si="17"/>
        <v>5.8198492265224848</v>
      </c>
      <c r="AA26">
        <f t="shared" si="18"/>
        <v>1.8252203693625435</v>
      </c>
      <c r="AB26">
        <f t="shared" si="19"/>
        <v>-156.45942647443374</v>
      </c>
      <c r="AC26">
        <f t="shared" si="20"/>
        <v>97.874750249601504</v>
      </c>
      <c r="AD26">
        <f t="shared" si="21"/>
        <v>7.9257113899479732</v>
      </c>
      <c r="AE26">
        <f t="shared" si="22"/>
        <v>-2.2150927573888453</v>
      </c>
      <c r="AF26">
        <f t="shared" si="23"/>
        <v>14.432927773675958</v>
      </c>
      <c r="AG26">
        <f t="shared" si="24"/>
        <v>3.5478327998737811</v>
      </c>
      <c r="AH26">
        <f t="shared" si="25"/>
        <v>14.031022419674866</v>
      </c>
      <c r="AI26">
        <v>454.22034514656082</v>
      </c>
      <c r="AJ26">
        <v>437.03339393939382</v>
      </c>
      <c r="AK26">
        <v>-5.0090041751819893E-2</v>
      </c>
      <c r="AL26">
        <v>67.03537250189035</v>
      </c>
      <c r="AM26">
        <f t="shared" si="26"/>
        <v>3.4338912448252996</v>
      </c>
      <c r="AN26">
        <v>34.669807395053262</v>
      </c>
      <c r="AO26">
        <v>38.683885454545447</v>
      </c>
      <c r="AP26">
        <v>-8.8353817912561455E-3</v>
      </c>
      <c r="AQ26">
        <v>78.067994139662503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50275.787534659634</v>
      </c>
      <c r="AW26" t="s">
        <v>533</v>
      </c>
      <c r="AX26">
        <v>5108.59</v>
      </c>
      <c r="AY26">
        <v>577.7117647058825</v>
      </c>
      <c r="AZ26">
        <v>2527.6</v>
      </c>
      <c r="BA26">
        <f t="shared" si="30"/>
        <v>0.7714386118429013</v>
      </c>
      <c r="BB26">
        <v>-5.2534396484243606</v>
      </c>
      <c r="BC26" t="s">
        <v>570</v>
      </c>
      <c r="BD26">
        <v>5101.24</v>
      </c>
      <c r="BE26">
        <v>858.399</v>
      </c>
      <c r="BF26">
        <v>1868.83</v>
      </c>
      <c r="BG26">
        <f t="shared" si="31"/>
        <v>0.54067571689238725</v>
      </c>
      <c r="BH26">
        <v>0.5</v>
      </c>
      <c r="BI26">
        <f t="shared" si="32"/>
        <v>252.29453133214699</v>
      </c>
      <c r="BJ26">
        <f t="shared" si="33"/>
        <v>14.432927773675958</v>
      </c>
      <c r="BK26">
        <f t="shared" si="34"/>
        <v>68.204763298018719</v>
      </c>
      <c r="BL26">
        <f t="shared" si="35"/>
        <v>7.8029306930094008E-2</v>
      </c>
      <c r="BM26">
        <f t="shared" si="36"/>
        <v>0.35250397307406239</v>
      </c>
      <c r="BN26">
        <f t="shared" si="37"/>
        <v>534.63672658974554</v>
      </c>
      <c r="BO26" t="s">
        <v>407</v>
      </c>
      <c r="BP26">
        <v>0</v>
      </c>
      <c r="BQ26">
        <f t="shared" si="38"/>
        <v>534.63672658974554</v>
      </c>
      <c r="BR26">
        <f t="shared" si="39"/>
        <v>0.71391901532523261</v>
      </c>
      <c r="BS26">
        <f t="shared" si="40"/>
        <v>0.75733480308838286</v>
      </c>
      <c r="BT26">
        <f t="shared" si="41"/>
        <v>0.33054798790784906</v>
      </c>
      <c r="BU26">
        <f t="shared" si="42"/>
        <v>0.78260144762793415</v>
      </c>
      <c r="BV26">
        <f t="shared" si="43"/>
        <v>0.33785013319013762</v>
      </c>
      <c r="BW26">
        <f t="shared" si="44"/>
        <v>0.471690903712216</v>
      </c>
      <c r="BX26">
        <f t="shared" si="45"/>
        <v>0.528309096287784</v>
      </c>
      <c r="DG26">
        <f t="shared" si="46"/>
        <v>300.00312903225802</v>
      </c>
      <c r="DH26">
        <f t="shared" si="47"/>
        <v>252.29453133214699</v>
      </c>
      <c r="DI26">
        <f t="shared" si="48"/>
        <v>0.84097299966834305</v>
      </c>
      <c r="DJ26">
        <f t="shared" si="49"/>
        <v>0.1614778893599022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1783004932</v>
      </c>
      <c r="DQ26">
        <v>419.94948387096781</v>
      </c>
      <c r="DR26">
        <v>439.0579032258064</v>
      </c>
      <c r="DS26">
        <v>38.771270967741948</v>
      </c>
      <c r="DT26">
        <v>34.678719354838712</v>
      </c>
      <c r="DU26">
        <v>424.44654838709693</v>
      </c>
      <c r="DV26">
        <v>38.401241935483867</v>
      </c>
      <c r="DW26">
        <v>499.97348387096781</v>
      </c>
      <c r="DX26">
        <v>97.855432258064511</v>
      </c>
      <c r="DY26">
        <v>5.2200693548387113E-2</v>
      </c>
      <c r="DZ26">
        <v>35.541125806451618</v>
      </c>
      <c r="EA26">
        <v>34.913025806451607</v>
      </c>
      <c r="EB26">
        <v>999.90000000000032</v>
      </c>
      <c r="EC26">
        <v>0</v>
      </c>
      <c r="ED26">
        <v>0</v>
      </c>
      <c r="EE26">
        <v>9992.7419354838712</v>
      </c>
      <c r="EF26">
        <v>0</v>
      </c>
      <c r="EG26">
        <v>377.58132258064518</v>
      </c>
      <c r="EH26">
        <v>-19.108509677419359</v>
      </c>
      <c r="EI26">
        <v>436.88806451612902</v>
      </c>
      <c r="EJ26">
        <v>454.83087096774187</v>
      </c>
      <c r="EK26">
        <v>4.0925593548387091</v>
      </c>
      <c r="EL26">
        <v>439.0579032258064</v>
      </c>
      <c r="EM26">
        <v>34.678719354838712</v>
      </c>
      <c r="EN26">
        <v>3.7939793548387089</v>
      </c>
      <c r="EO26">
        <v>3.3935</v>
      </c>
      <c r="EP26">
        <v>27.99608709677419</v>
      </c>
      <c r="EQ26">
        <v>26.096122580645169</v>
      </c>
      <c r="ER26">
        <v>300.00312903225802</v>
      </c>
      <c r="ES26">
        <v>0.96700790322580632</v>
      </c>
      <c r="ET26">
        <v>3.2991851612903217E-2</v>
      </c>
      <c r="EU26">
        <v>0</v>
      </c>
      <c r="EV26">
        <v>858.33716129032268</v>
      </c>
      <c r="EW26">
        <v>5.0010700000000003</v>
      </c>
      <c r="EX26">
        <v>4975.0858064516124</v>
      </c>
      <c r="EY26">
        <v>2668.0629032258062</v>
      </c>
      <c r="EZ26">
        <v>41.056129032258063</v>
      </c>
      <c r="FA26">
        <v>44.180999999999983</v>
      </c>
      <c r="FB26">
        <v>42.860774193548373</v>
      </c>
      <c r="FC26">
        <v>44.247903225806439</v>
      </c>
      <c r="FD26">
        <v>43.68106451612902</v>
      </c>
      <c r="FE26">
        <v>285.2690322580645</v>
      </c>
      <c r="FF26">
        <v>9.7300000000000022</v>
      </c>
      <c r="FG26">
        <v>0</v>
      </c>
      <c r="FH26">
        <v>123.4000000953674</v>
      </c>
      <c r="FI26">
        <v>0</v>
      </c>
      <c r="FJ26">
        <v>858.399</v>
      </c>
      <c r="FK26">
        <v>3.6921568557781601</v>
      </c>
      <c r="FL26">
        <v>-915.22549040929243</v>
      </c>
      <c r="FM26">
        <v>4961.5364705882357</v>
      </c>
      <c r="FN26">
        <v>10</v>
      </c>
      <c r="FO26">
        <v>1783004910.5</v>
      </c>
      <c r="FP26" t="s">
        <v>571</v>
      </c>
      <c r="FQ26">
        <v>1783004910.5</v>
      </c>
      <c r="FR26">
        <v>1783004910</v>
      </c>
      <c r="FS26">
        <v>11</v>
      </c>
      <c r="FT26">
        <v>-1E-3</v>
      </c>
      <c r="FU26">
        <v>-4.0000000000000001E-3</v>
      </c>
      <c r="FV26">
        <v>-4.569</v>
      </c>
      <c r="FW26">
        <v>0.24399999999999999</v>
      </c>
      <c r="FX26">
        <v>439</v>
      </c>
      <c r="FY26">
        <v>35</v>
      </c>
      <c r="FZ26">
        <v>0.43</v>
      </c>
      <c r="GA26">
        <v>0.08</v>
      </c>
      <c r="GB26">
        <v>439.07859999999988</v>
      </c>
      <c r="GC26">
        <v>-5.5453081201321854</v>
      </c>
      <c r="GD26">
        <v>0.42185673713556032</v>
      </c>
      <c r="GE26">
        <v>-1</v>
      </c>
      <c r="GF26">
        <v>858.36455882352948</v>
      </c>
      <c r="GG26">
        <v>-8.2734915239008097E-2</v>
      </c>
      <c r="GH26">
        <v>0.25805336784750271</v>
      </c>
      <c r="GI26">
        <v>1</v>
      </c>
      <c r="GJ26">
        <v>4.0896222499999997</v>
      </c>
      <c r="GK26">
        <v>-0.12685654784240921</v>
      </c>
      <c r="GL26">
        <v>8.0655632552460374E-2</v>
      </c>
      <c r="GM26">
        <v>1</v>
      </c>
      <c r="GN26">
        <v>2</v>
      </c>
      <c r="GO26">
        <v>2</v>
      </c>
      <c r="GP26" t="s">
        <v>410</v>
      </c>
      <c r="GQ26">
        <v>3.13395</v>
      </c>
      <c r="GR26">
        <v>2.7286100000000002</v>
      </c>
      <c r="GS26">
        <v>9.1068800000000005E-2</v>
      </c>
      <c r="GT26">
        <v>9.3991699999999997E-2</v>
      </c>
      <c r="GU26">
        <v>0.15415999999999999</v>
      </c>
      <c r="GV26">
        <v>0.14411099999999999</v>
      </c>
      <c r="GW26">
        <v>22733.200000000001</v>
      </c>
      <c r="GX26">
        <v>30462.2</v>
      </c>
      <c r="GY26">
        <v>27138.6</v>
      </c>
      <c r="GZ26">
        <v>34586.199999999997</v>
      </c>
      <c r="HA26">
        <v>33637.1</v>
      </c>
      <c r="HB26">
        <v>37797.300000000003</v>
      </c>
      <c r="HC26">
        <v>40080.1</v>
      </c>
      <c r="HD26">
        <v>44236.3</v>
      </c>
      <c r="HE26">
        <v>1.9496</v>
      </c>
      <c r="HF26">
        <v>1.7644</v>
      </c>
      <c r="HG26">
        <v>5.6326399999999999E-2</v>
      </c>
      <c r="HH26">
        <v>0</v>
      </c>
      <c r="HI26">
        <v>34.0047</v>
      </c>
      <c r="HJ26">
        <v>999.9</v>
      </c>
      <c r="HK26">
        <v>61.7</v>
      </c>
      <c r="HL26">
        <v>37.200000000000003</v>
      </c>
      <c r="HM26">
        <v>40.188400000000001</v>
      </c>
      <c r="HN26">
        <v>60.073700000000002</v>
      </c>
      <c r="HO26">
        <v>5.1642599999999996</v>
      </c>
      <c r="HP26">
        <v>1</v>
      </c>
      <c r="HQ26">
        <v>0.68195099999999997</v>
      </c>
      <c r="HR26">
        <v>0</v>
      </c>
      <c r="HS26">
        <v>20.2913</v>
      </c>
      <c r="HT26">
        <v>5.2112999999999996</v>
      </c>
      <c r="HU26">
        <v>11.908099999999999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1.86304</v>
      </c>
      <c r="ID26">
        <v>1.86249</v>
      </c>
      <c r="IE26">
        <v>1.8620300000000001</v>
      </c>
      <c r="IF26">
        <v>1.8620000000000001</v>
      </c>
      <c r="IG26">
        <v>1.8626400000000001</v>
      </c>
      <c r="IH26">
        <v>1.8635600000000001</v>
      </c>
      <c r="II26">
        <v>1.86145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-4.4980000000000002</v>
      </c>
      <c r="IX26">
        <v>0.36730000000000002</v>
      </c>
      <c r="IY26">
        <v>-2.6831123549193712</v>
      </c>
      <c r="IZ26">
        <v>-4.7754461378838441E-3</v>
      </c>
      <c r="JA26">
        <v>1.175754608921022E-6</v>
      </c>
      <c r="JB26">
        <v>1.4193218893046591E-11</v>
      </c>
      <c r="JC26">
        <v>-0.45244705412128489</v>
      </c>
      <c r="JD26">
        <v>2.7492919904454862E-4</v>
      </c>
      <c r="JE26">
        <v>8.6739513355948885E-4</v>
      </c>
      <c r="JF26">
        <v>-8.2500691715147318E-6</v>
      </c>
      <c r="JG26">
        <v>38</v>
      </c>
      <c r="JH26">
        <v>1780</v>
      </c>
      <c r="JI26">
        <v>2</v>
      </c>
      <c r="JJ26">
        <v>37</v>
      </c>
      <c r="JK26">
        <v>0.5</v>
      </c>
      <c r="JL26">
        <v>0.5</v>
      </c>
      <c r="JM26">
        <v>1.1376999999999999</v>
      </c>
      <c r="JN26">
        <v>2.52441</v>
      </c>
      <c r="JO26">
        <v>1.50024</v>
      </c>
      <c r="JP26">
        <v>2.2680699999999998</v>
      </c>
      <c r="JQ26">
        <v>1.4477500000000001</v>
      </c>
      <c r="JR26">
        <v>2.4182100000000002</v>
      </c>
      <c r="JS26">
        <v>41.248199999999997</v>
      </c>
      <c r="JT26">
        <v>15.497999999999999</v>
      </c>
      <c r="JU26">
        <v>18</v>
      </c>
      <c r="JV26">
        <v>547.90899999999999</v>
      </c>
      <c r="JW26">
        <v>439.03800000000001</v>
      </c>
      <c r="JX26">
        <v>35.489100000000001</v>
      </c>
      <c r="JY26">
        <v>35.773499999999999</v>
      </c>
      <c r="JZ26">
        <v>29.999600000000001</v>
      </c>
      <c r="KA26">
        <v>35.7134</v>
      </c>
      <c r="KB26">
        <v>35.662700000000001</v>
      </c>
      <c r="KC26">
        <v>22.747199999999999</v>
      </c>
      <c r="KD26">
        <v>26.746099999999998</v>
      </c>
      <c r="KE26">
        <v>20.5776</v>
      </c>
      <c r="KF26">
        <v>-999.9</v>
      </c>
      <c r="KG26">
        <v>438.36200000000002</v>
      </c>
      <c r="KH26">
        <v>34.719700000000003</v>
      </c>
      <c r="KI26">
        <v>100.166</v>
      </c>
      <c r="KJ26">
        <v>99.1755</v>
      </c>
    </row>
    <row r="27" spans="1:296" x14ac:dyDescent="0.3">
      <c r="A27">
        <v>11</v>
      </c>
      <c r="B27">
        <v>1783005069</v>
      </c>
      <c r="C27">
        <v>1331.900000095367</v>
      </c>
      <c r="D27" t="s">
        <v>572</v>
      </c>
      <c r="E27" t="s">
        <v>573</v>
      </c>
      <c r="F27">
        <v>15</v>
      </c>
      <c r="H27">
        <v>1783005061.25</v>
      </c>
      <c r="I27">
        <f t="shared" si="0"/>
        <v>2.9050175449158951E-3</v>
      </c>
      <c r="J27">
        <f t="shared" si="1"/>
        <v>2.905017544915895</v>
      </c>
      <c r="K27">
        <f t="shared" si="2"/>
        <v>8.281885202572747</v>
      </c>
      <c r="L27">
        <f t="shared" si="3"/>
        <v>420.00926666666669</v>
      </c>
      <c r="M27">
        <f t="shared" si="4"/>
        <v>320.58013562989493</v>
      </c>
      <c r="N27">
        <f t="shared" si="5"/>
        <v>31.386429284735421</v>
      </c>
      <c r="O27">
        <f t="shared" si="6"/>
        <v>41.121048006499144</v>
      </c>
      <c r="P27">
        <f t="shared" si="7"/>
        <v>0.15440113196325927</v>
      </c>
      <c r="Q27">
        <f t="shared" si="8"/>
        <v>2.8895197895885634</v>
      </c>
      <c r="R27">
        <f t="shared" si="9"/>
        <v>0.14995974759592215</v>
      </c>
      <c r="S27">
        <f t="shared" si="10"/>
        <v>9.4113241347117682E-2</v>
      </c>
      <c r="T27">
        <f t="shared" si="11"/>
        <v>32.476482025136391</v>
      </c>
      <c r="U27">
        <f t="shared" si="12"/>
        <v>34.650841684170452</v>
      </c>
      <c r="V27">
        <f t="shared" si="13"/>
        <v>34.620393333333332</v>
      </c>
      <c r="W27">
        <f t="shared" si="14"/>
        <v>5.5307140776841202</v>
      </c>
      <c r="X27">
        <f t="shared" si="15"/>
        <v>65.132677755170803</v>
      </c>
      <c r="Y27">
        <f t="shared" si="16"/>
        <v>3.7237368198532499</v>
      </c>
      <c r="Z27">
        <f t="shared" si="17"/>
        <v>5.7171560393240961</v>
      </c>
      <c r="AA27">
        <f t="shared" si="18"/>
        <v>1.8069772578308703</v>
      </c>
      <c r="AB27">
        <f t="shared" si="19"/>
        <v>-128.11127373079097</v>
      </c>
      <c r="AC27">
        <f t="shared" si="20"/>
        <v>93.212395680710287</v>
      </c>
      <c r="AD27">
        <f t="shared" si="21"/>
        <v>7.5278594788469908</v>
      </c>
      <c r="AE27">
        <f t="shared" si="22"/>
        <v>5.1054634539027006</v>
      </c>
      <c r="AF27">
        <f t="shared" si="23"/>
        <v>8.281885202572747</v>
      </c>
      <c r="AG27">
        <f t="shared" si="24"/>
        <v>2.905017544915895</v>
      </c>
      <c r="AH27">
        <f t="shared" si="25"/>
        <v>8.0608107614297797</v>
      </c>
      <c r="AI27">
        <v>446.57019462834728</v>
      </c>
      <c r="AJ27">
        <v>436.65440606060588</v>
      </c>
      <c r="AK27">
        <v>-2.102123991249151E-2</v>
      </c>
      <c r="AL27">
        <v>67.035900431114726</v>
      </c>
      <c r="AM27">
        <f t="shared" si="26"/>
        <v>2.8129918760544546</v>
      </c>
      <c r="AN27">
        <v>34.676202242098867</v>
      </c>
      <c r="AO27">
        <v>37.971034545454543</v>
      </c>
      <c r="AP27">
        <v>-7.7960936018690958E-3</v>
      </c>
      <c r="AQ27">
        <v>78.069897804039158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50304.197335540339</v>
      </c>
      <c r="AW27" t="s">
        <v>533</v>
      </c>
      <c r="AX27">
        <v>5108.59</v>
      </c>
      <c r="AY27">
        <v>577.7117647058825</v>
      </c>
      <c r="AZ27">
        <v>2527.6</v>
      </c>
      <c r="BA27">
        <f t="shared" si="30"/>
        <v>0.7714386118429013</v>
      </c>
      <c r="BB27">
        <v>-5.2534396484243606</v>
      </c>
      <c r="BC27" t="s">
        <v>574</v>
      </c>
      <c r="BD27">
        <v>5103.83</v>
      </c>
      <c r="BE27">
        <v>854.91441176470585</v>
      </c>
      <c r="BF27">
        <v>1964.95</v>
      </c>
      <c r="BG27">
        <f t="shared" si="31"/>
        <v>0.56491798174777685</v>
      </c>
      <c r="BH27">
        <v>0.5</v>
      </c>
      <c r="BI27">
        <f t="shared" si="32"/>
        <v>168.25306745343849</v>
      </c>
      <c r="BJ27">
        <f t="shared" si="33"/>
        <v>8.281885202572747</v>
      </c>
      <c r="BK27">
        <f t="shared" si="34"/>
        <v>47.524591644334514</v>
      </c>
      <c r="BL27">
        <f t="shared" si="35"/>
        <v>8.0446229336905276E-2</v>
      </c>
      <c r="BM27">
        <f t="shared" si="36"/>
        <v>0.28634316394819198</v>
      </c>
      <c r="BN27">
        <f t="shared" si="37"/>
        <v>542.22478411738427</v>
      </c>
      <c r="BO27" t="s">
        <v>407</v>
      </c>
      <c r="BP27">
        <v>0</v>
      </c>
      <c r="BQ27">
        <f t="shared" si="38"/>
        <v>542.22478411738427</v>
      </c>
      <c r="BR27">
        <f t="shared" si="39"/>
        <v>0.72405161244948513</v>
      </c>
      <c r="BS27">
        <f t="shared" si="40"/>
        <v>0.78021783535105305</v>
      </c>
      <c r="BT27">
        <f t="shared" si="41"/>
        <v>0.28339731225559245</v>
      </c>
      <c r="BU27">
        <f t="shared" si="42"/>
        <v>0.80017660989566664</v>
      </c>
      <c r="BV27">
        <f t="shared" si="43"/>
        <v>0.28855500013575436</v>
      </c>
      <c r="BW27">
        <f t="shared" si="44"/>
        <v>0.49484888956836615</v>
      </c>
      <c r="BX27">
        <f t="shared" si="45"/>
        <v>0.50515111043163385</v>
      </c>
      <c r="DG27">
        <f t="shared" si="46"/>
        <v>199.95343333333329</v>
      </c>
      <c r="DH27">
        <f t="shared" si="47"/>
        <v>168.25306745343849</v>
      </c>
      <c r="DI27">
        <f t="shared" si="48"/>
        <v>0.84146125749664646</v>
      </c>
      <c r="DJ27">
        <f t="shared" si="49"/>
        <v>0.16242022696852781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1783005061.25</v>
      </c>
      <c r="DQ27">
        <v>420.00926666666669</v>
      </c>
      <c r="DR27">
        <v>431.41500000000002</v>
      </c>
      <c r="DS27">
        <v>38.034146666666658</v>
      </c>
      <c r="DT27">
        <v>34.679740000000002</v>
      </c>
      <c r="DU27">
        <v>424.44066666666657</v>
      </c>
      <c r="DV27">
        <v>37.676666666666662</v>
      </c>
      <c r="DW27">
        <v>499.85489999999999</v>
      </c>
      <c r="DX27">
        <v>97.852976666666663</v>
      </c>
      <c r="DY27">
        <v>5.2120363333333343E-2</v>
      </c>
      <c r="DZ27">
        <v>35.218753333333339</v>
      </c>
      <c r="EA27">
        <v>34.620393333333332</v>
      </c>
      <c r="EB27">
        <v>999.9000000000002</v>
      </c>
      <c r="EC27">
        <v>0</v>
      </c>
      <c r="ED27">
        <v>0</v>
      </c>
      <c r="EE27">
        <v>9988</v>
      </c>
      <c r="EF27">
        <v>0</v>
      </c>
      <c r="EG27">
        <v>337.28736666666663</v>
      </c>
      <c r="EH27">
        <v>-11.40560333333333</v>
      </c>
      <c r="EI27">
        <v>436.61560000000009</v>
      </c>
      <c r="EJ27">
        <v>446.91370000000001</v>
      </c>
      <c r="EK27">
        <v>3.3543983333333331</v>
      </c>
      <c r="EL27">
        <v>431.41500000000002</v>
      </c>
      <c r="EM27">
        <v>34.679740000000002</v>
      </c>
      <c r="EN27">
        <v>3.721753666666666</v>
      </c>
      <c r="EO27">
        <v>3.3935163333333338</v>
      </c>
      <c r="EP27">
        <v>27.666816666666669</v>
      </c>
      <c r="EQ27">
        <v>26.09620666666666</v>
      </c>
      <c r="ER27">
        <v>199.95343333333329</v>
      </c>
      <c r="ES27">
        <v>0.95002956666666671</v>
      </c>
      <c r="ET27">
        <v>4.9970259999999982E-2</v>
      </c>
      <c r="EU27">
        <v>0</v>
      </c>
      <c r="EV27">
        <v>854.94816666666657</v>
      </c>
      <c r="EW27">
        <v>5.0010700000000003</v>
      </c>
      <c r="EX27">
        <v>3926.0790000000002</v>
      </c>
      <c r="EY27">
        <v>1751.4293333333339</v>
      </c>
      <c r="EZ27">
        <v>40.40186666666667</v>
      </c>
      <c r="FA27">
        <v>43.572499999999977</v>
      </c>
      <c r="FB27">
        <v>42.272733333333328</v>
      </c>
      <c r="FC27">
        <v>43.689099999999968</v>
      </c>
      <c r="FD27">
        <v>43.085099999999983</v>
      </c>
      <c r="FE27">
        <v>185.2106666666667</v>
      </c>
      <c r="FF27">
        <v>9.7393333333333363</v>
      </c>
      <c r="FG27">
        <v>0</v>
      </c>
      <c r="FH27">
        <v>128.20000004768369</v>
      </c>
      <c r="FI27">
        <v>0</v>
      </c>
      <c r="FJ27">
        <v>854.91441176470585</v>
      </c>
      <c r="FK27">
        <v>0.83970587887452297</v>
      </c>
      <c r="FL27">
        <v>-58.360293688332924</v>
      </c>
      <c r="FM27">
        <v>3927.5247058823529</v>
      </c>
      <c r="FN27">
        <v>10</v>
      </c>
      <c r="FO27">
        <v>1783005039</v>
      </c>
      <c r="FP27" t="s">
        <v>575</v>
      </c>
      <c r="FQ27">
        <v>1783005031.5</v>
      </c>
      <c r="FR27">
        <v>1783005039</v>
      </c>
      <c r="FS27">
        <v>12</v>
      </c>
      <c r="FT27">
        <v>6.6000000000000003E-2</v>
      </c>
      <c r="FU27">
        <v>0.01</v>
      </c>
      <c r="FV27">
        <v>-4.4749999999999996</v>
      </c>
      <c r="FW27">
        <v>0.25600000000000001</v>
      </c>
      <c r="FX27">
        <v>431</v>
      </c>
      <c r="FY27">
        <v>35</v>
      </c>
      <c r="FZ27">
        <v>0.8</v>
      </c>
      <c r="GA27">
        <v>0.1</v>
      </c>
      <c r="GB27">
        <v>431.43336666666659</v>
      </c>
      <c r="GC27">
        <v>-3.3500956618477211</v>
      </c>
      <c r="GD27">
        <v>0.25156383992051867</v>
      </c>
      <c r="GE27">
        <v>-1</v>
      </c>
      <c r="GF27">
        <v>854.96258823529411</v>
      </c>
      <c r="GG27">
        <v>-0.38019861986242109</v>
      </c>
      <c r="GH27">
        <v>0.19980021163020889</v>
      </c>
      <c r="GI27">
        <v>1</v>
      </c>
      <c r="GJ27">
        <v>3.3534612500000001</v>
      </c>
      <c r="GK27">
        <v>-0.1100822138836771</v>
      </c>
      <c r="GL27">
        <v>5.1693114250715273E-2</v>
      </c>
      <c r="GM27">
        <v>1</v>
      </c>
      <c r="GN27">
        <v>2</v>
      </c>
      <c r="GO27">
        <v>2</v>
      </c>
      <c r="GP27" t="s">
        <v>410</v>
      </c>
      <c r="GQ27">
        <v>3.1340699999999999</v>
      </c>
      <c r="GR27">
        <v>2.7284799999999998</v>
      </c>
      <c r="GS27">
        <v>9.1070700000000004E-2</v>
      </c>
      <c r="GT27">
        <v>9.2838799999999999E-2</v>
      </c>
      <c r="GU27">
        <v>0.15229699999999999</v>
      </c>
      <c r="GV27">
        <v>0.14416799999999999</v>
      </c>
      <c r="GW27">
        <v>22739.3</v>
      </c>
      <c r="GX27">
        <v>30512.400000000001</v>
      </c>
      <c r="GY27">
        <v>27145.1</v>
      </c>
      <c r="GZ27">
        <v>34597.800000000003</v>
      </c>
      <c r="HA27">
        <v>33717.300000000003</v>
      </c>
      <c r="HB27">
        <v>37804.699999999997</v>
      </c>
      <c r="HC27">
        <v>40089.599999999999</v>
      </c>
      <c r="HD27">
        <v>44248.800000000003</v>
      </c>
      <c r="HE27">
        <v>1.9508000000000001</v>
      </c>
      <c r="HF27">
        <v>1.7667999999999999</v>
      </c>
      <c r="HG27">
        <v>5.8859599999999998E-2</v>
      </c>
      <c r="HH27">
        <v>0</v>
      </c>
      <c r="HI27">
        <v>33.6691</v>
      </c>
      <c r="HJ27">
        <v>999.9</v>
      </c>
      <c r="HK27">
        <v>61.5</v>
      </c>
      <c r="HL27">
        <v>37.299999999999997</v>
      </c>
      <c r="HM27">
        <v>40.281300000000002</v>
      </c>
      <c r="HN27">
        <v>59.773699999999998</v>
      </c>
      <c r="HO27">
        <v>5.6330099999999996</v>
      </c>
      <c r="HP27">
        <v>1</v>
      </c>
      <c r="HQ27">
        <v>0.66682900000000001</v>
      </c>
      <c r="HR27">
        <v>0</v>
      </c>
      <c r="HS27">
        <v>20.292300000000001</v>
      </c>
      <c r="HT27">
        <v>5.2100999999999997</v>
      </c>
      <c r="HU27">
        <v>11.908099999999999</v>
      </c>
      <c r="HV27">
        <v>4.984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1.8629500000000001</v>
      </c>
      <c r="ID27">
        <v>1.86249</v>
      </c>
      <c r="IE27">
        <v>1.8619399999999999</v>
      </c>
      <c r="IF27">
        <v>1.8620300000000001</v>
      </c>
      <c r="IG27">
        <v>1.8626400000000001</v>
      </c>
      <c r="IH27">
        <v>1.8635600000000001</v>
      </c>
      <c r="II27">
        <v>1.86145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-4.4320000000000004</v>
      </c>
      <c r="IX27">
        <v>0.35549999999999998</v>
      </c>
      <c r="IY27">
        <v>-2.6174903560086831</v>
      </c>
      <c r="IZ27">
        <v>-4.7754461378838441E-3</v>
      </c>
      <c r="JA27">
        <v>1.175754608921022E-6</v>
      </c>
      <c r="JB27">
        <v>1.4193218893046591E-11</v>
      </c>
      <c r="JC27">
        <v>-0.44292771039732692</v>
      </c>
      <c r="JD27">
        <v>2.7492919904454862E-4</v>
      </c>
      <c r="JE27">
        <v>8.6739513355948885E-4</v>
      </c>
      <c r="JF27">
        <v>-8.2500691715147318E-6</v>
      </c>
      <c r="JG27">
        <v>38</v>
      </c>
      <c r="JH27">
        <v>1780</v>
      </c>
      <c r="JI27">
        <v>2</v>
      </c>
      <c r="JJ27">
        <v>37</v>
      </c>
      <c r="JK27">
        <v>0.6</v>
      </c>
      <c r="JL27">
        <v>0.5</v>
      </c>
      <c r="JM27">
        <v>1.1218300000000001</v>
      </c>
      <c r="JN27">
        <v>2.52075</v>
      </c>
      <c r="JO27">
        <v>1.50024</v>
      </c>
      <c r="JP27">
        <v>2.2680699999999998</v>
      </c>
      <c r="JQ27">
        <v>1.4477500000000001</v>
      </c>
      <c r="JR27">
        <v>2.35229</v>
      </c>
      <c r="JS27">
        <v>41.170499999999997</v>
      </c>
      <c r="JT27">
        <v>15.480399999999999</v>
      </c>
      <c r="JU27">
        <v>18</v>
      </c>
      <c r="JV27">
        <v>547.37599999999998</v>
      </c>
      <c r="JW27">
        <v>439.45100000000002</v>
      </c>
      <c r="JX27">
        <v>35.2438</v>
      </c>
      <c r="JY27">
        <v>35.582599999999999</v>
      </c>
      <c r="JZ27">
        <v>29.999600000000001</v>
      </c>
      <c r="KA27">
        <v>35.546700000000001</v>
      </c>
      <c r="KB27">
        <v>35.4968</v>
      </c>
      <c r="KC27">
        <v>22.448699999999999</v>
      </c>
      <c r="KD27">
        <v>26.921500000000002</v>
      </c>
      <c r="KE27">
        <v>25.4129</v>
      </c>
      <c r="KF27">
        <v>-999.9</v>
      </c>
      <c r="KG27">
        <v>431.05599999999998</v>
      </c>
      <c r="KH27">
        <v>34.704099999999997</v>
      </c>
      <c r="KI27">
        <v>100.19</v>
      </c>
      <c r="KJ27">
        <v>99.205699999999993</v>
      </c>
    </row>
    <row r="28" spans="1:296" x14ac:dyDescent="0.3">
      <c r="A28">
        <v>12</v>
      </c>
      <c r="B28">
        <v>1783005198.5</v>
      </c>
      <c r="C28">
        <v>1461.400000095367</v>
      </c>
      <c r="D28" t="s">
        <v>576</v>
      </c>
      <c r="E28" t="s">
        <v>577</v>
      </c>
      <c r="F28">
        <v>15</v>
      </c>
      <c r="H28">
        <v>1783005190.75</v>
      </c>
      <c r="I28">
        <f t="shared" si="0"/>
        <v>2.3185357221984491E-3</v>
      </c>
      <c r="J28">
        <f t="shared" si="1"/>
        <v>2.3185357221984493</v>
      </c>
      <c r="K28">
        <f t="shared" si="2"/>
        <v>1.8279540362518689</v>
      </c>
      <c r="L28">
        <f t="shared" si="3"/>
        <v>419.98773333333332</v>
      </c>
      <c r="M28">
        <f t="shared" si="4"/>
        <v>383.62506920998965</v>
      </c>
      <c r="N28">
        <f t="shared" si="5"/>
        <v>37.55859562214993</v>
      </c>
      <c r="O28">
        <f t="shared" si="6"/>
        <v>41.118661705331654</v>
      </c>
      <c r="P28">
        <f t="shared" si="7"/>
        <v>0.12389552624410904</v>
      </c>
      <c r="Q28">
        <f t="shared" si="8"/>
        <v>2.8905314442740959</v>
      </c>
      <c r="R28">
        <f t="shared" si="9"/>
        <v>0.12101914223117352</v>
      </c>
      <c r="S28">
        <f t="shared" si="10"/>
        <v>7.5889833639463014E-2</v>
      </c>
      <c r="T28">
        <f t="shared" si="11"/>
        <v>16.512237151279532</v>
      </c>
      <c r="U28">
        <f t="shared" si="12"/>
        <v>34.4747165663007</v>
      </c>
      <c r="V28">
        <f t="shared" si="13"/>
        <v>34.429823333333339</v>
      </c>
      <c r="W28">
        <f t="shared" si="14"/>
        <v>5.4724553220316112</v>
      </c>
      <c r="X28">
        <f t="shared" si="15"/>
        <v>65.289467996742019</v>
      </c>
      <c r="Y28">
        <f t="shared" si="16"/>
        <v>3.6844770874664441</v>
      </c>
      <c r="Z28">
        <f t="shared" si="17"/>
        <v>5.6432947005331728</v>
      </c>
      <c r="AA28">
        <f t="shared" si="18"/>
        <v>1.7879782345651671</v>
      </c>
      <c r="AB28">
        <f t="shared" si="19"/>
        <v>-102.24742534895161</v>
      </c>
      <c r="AC28">
        <f t="shared" si="20"/>
        <v>86.322869438057651</v>
      </c>
      <c r="AD28">
        <f t="shared" si="21"/>
        <v>6.9545812113720711</v>
      </c>
      <c r="AE28">
        <f t="shared" si="22"/>
        <v>7.5422624517576509</v>
      </c>
      <c r="AF28">
        <f t="shared" si="23"/>
        <v>1.8279540362518689</v>
      </c>
      <c r="AG28">
        <f t="shared" si="24"/>
        <v>2.3185357221984493</v>
      </c>
      <c r="AH28">
        <f t="shared" si="25"/>
        <v>2.0529814467341607</v>
      </c>
      <c r="AI28">
        <v>438.69909546813147</v>
      </c>
      <c r="AJ28">
        <v>436.29365454545439</v>
      </c>
      <c r="AK28">
        <v>-2.8839682402243581E-2</v>
      </c>
      <c r="AL28">
        <v>67.079757931421952</v>
      </c>
      <c r="AM28">
        <f t="shared" si="26"/>
        <v>2.2244948341338109</v>
      </c>
      <c r="AN28">
        <v>34.962200926335903</v>
      </c>
      <c r="AO28">
        <v>37.587019393939393</v>
      </c>
      <c r="AP28">
        <v>-9.2563932935559728E-3</v>
      </c>
      <c r="AQ28">
        <v>78.212647187971328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50370.642913202479</v>
      </c>
      <c r="AW28" t="s">
        <v>533</v>
      </c>
      <c r="AX28">
        <v>5108.59</v>
      </c>
      <c r="AY28">
        <v>577.7117647058825</v>
      </c>
      <c r="AZ28">
        <v>2527.6</v>
      </c>
      <c r="BA28">
        <f t="shared" si="30"/>
        <v>0.7714386118429013</v>
      </c>
      <c r="BB28">
        <v>-5.2534396484243606</v>
      </c>
      <c r="BC28" t="s">
        <v>578</v>
      </c>
      <c r="BD28">
        <v>5105.6899999999996</v>
      </c>
      <c r="BE28">
        <v>848.03035294117649</v>
      </c>
      <c r="BF28">
        <v>2125.15</v>
      </c>
      <c r="BG28">
        <f t="shared" si="31"/>
        <v>0.6009550606116385</v>
      </c>
      <c r="BH28">
        <v>0.5</v>
      </c>
      <c r="BI28">
        <f t="shared" si="32"/>
        <v>84.294564575792492</v>
      </c>
      <c r="BJ28">
        <f t="shared" si="33"/>
        <v>1.8279540362518689</v>
      </c>
      <c r="BK28">
        <f t="shared" si="34"/>
        <v>25.328622581938525</v>
      </c>
      <c r="BL28">
        <f t="shared" si="35"/>
        <v>8.4007714142814938E-2</v>
      </c>
      <c r="BM28">
        <f t="shared" si="36"/>
        <v>0.18937486765640063</v>
      </c>
      <c r="BN28">
        <f t="shared" si="37"/>
        <v>553.74364513510955</v>
      </c>
      <c r="BO28" t="s">
        <v>407</v>
      </c>
      <c r="BP28">
        <v>0</v>
      </c>
      <c r="BQ28">
        <f t="shared" si="38"/>
        <v>553.74364513510955</v>
      </c>
      <c r="BR28">
        <f t="shared" si="39"/>
        <v>0.73943314818478245</v>
      </c>
      <c r="BS28">
        <f t="shared" si="40"/>
        <v>0.81272399281383223</v>
      </c>
      <c r="BT28">
        <f t="shared" si="41"/>
        <v>0.20389021673643892</v>
      </c>
      <c r="BU28">
        <f t="shared" si="42"/>
        <v>0.8253121952981114</v>
      </c>
      <c r="BV28">
        <f t="shared" si="43"/>
        <v>0.20639644504511565</v>
      </c>
      <c r="BW28">
        <f t="shared" si="44"/>
        <v>0.53068943193912899</v>
      </c>
      <c r="BX28">
        <f t="shared" si="45"/>
        <v>0.46931056806087101</v>
      </c>
      <c r="DG28">
        <f t="shared" si="46"/>
        <v>100.01113333333331</v>
      </c>
      <c r="DH28">
        <f t="shared" si="47"/>
        <v>84.294564575792492</v>
      </c>
      <c r="DI28">
        <f t="shared" si="48"/>
        <v>0.84285180825660588</v>
      </c>
      <c r="DJ28">
        <f t="shared" si="49"/>
        <v>0.16510398993524925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1783005190.75</v>
      </c>
      <c r="DQ28">
        <v>419.98773333333332</v>
      </c>
      <c r="DR28">
        <v>423.35036666666667</v>
      </c>
      <c r="DS28">
        <v>37.633403333333327</v>
      </c>
      <c r="DT28">
        <v>34.955403333333336</v>
      </c>
      <c r="DU28">
        <v>424.41276666666658</v>
      </c>
      <c r="DV28">
        <v>37.285110000000003</v>
      </c>
      <c r="DW28">
        <v>499.91366666666659</v>
      </c>
      <c r="DX28">
        <v>97.852700000000013</v>
      </c>
      <c r="DY28">
        <v>5.1734919999999997E-2</v>
      </c>
      <c r="DZ28">
        <v>34.983763333333329</v>
      </c>
      <c r="EA28">
        <v>34.429823333333339</v>
      </c>
      <c r="EB28">
        <v>999.9000000000002</v>
      </c>
      <c r="EC28">
        <v>0</v>
      </c>
      <c r="ED28">
        <v>0</v>
      </c>
      <c r="EE28">
        <v>9993.8333333333339</v>
      </c>
      <c r="EF28">
        <v>0</v>
      </c>
      <c r="EG28">
        <v>329.72289999999998</v>
      </c>
      <c r="EH28">
        <v>-3.3626406666666671</v>
      </c>
      <c r="EI28">
        <v>436.41136666666671</v>
      </c>
      <c r="EJ28">
        <v>438.6846666666666</v>
      </c>
      <c r="EK28">
        <v>2.678007</v>
      </c>
      <c r="EL28">
        <v>423.35036666666667</v>
      </c>
      <c r="EM28">
        <v>34.955403333333336</v>
      </c>
      <c r="EN28">
        <v>3.682531</v>
      </c>
      <c r="EO28">
        <v>3.42048</v>
      </c>
      <c r="EP28">
        <v>27.485643333333329</v>
      </c>
      <c r="EQ28">
        <v>26.230123333333331</v>
      </c>
      <c r="ER28">
        <v>100.01113333333331</v>
      </c>
      <c r="ES28">
        <v>0.89996106666666675</v>
      </c>
      <c r="ET28">
        <v>0.10003898999999999</v>
      </c>
      <c r="EU28">
        <v>0</v>
      </c>
      <c r="EV28">
        <v>847.6079000000002</v>
      </c>
      <c r="EW28">
        <v>5.0010700000000003</v>
      </c>
      <c r="EX28">
        <v>2980.1313333333328</v>
      </c>
      <c r="EY28">
        <v>836.65669999999989</v>
      </c>
      <c r="EZ28">
        <v>39.830899999999978</v>
      </c>
      <c r="FA28">
        <v>43.131200000000007</v>
      </c>
      <c r="FB28">
        <v>41.772733333333328</v>
      </c>
      <c r="FC28">
        <v>43.264466666666671</v>
      </c>
      <c r="FD28">
        <v>42.566199999999981</v>
      </c>
      <c r="FE28">
        <v>85.505333333333326</v>
      </c>
      <c r="FF28">
        <v>9.5073333333333316</v>
      </c>
      <c r="FG28">
        <v>0</v>
      </c>
      <c r="FH28">
        <v>128.5999999046326</v>
      </c>
      <c r="FI28">
        <v>0</v>
      </c>
      <c r="FJ28">
        <v>848.03035294117649</v>
      </c>
      <c r="FK28">
        <v>7.0061274992842186</v>
      </c>
      <c r="FL28">
        <v>-91.051471130485282</v>
      </c>
      <c r="FM28">
        <v>2974.9464705882351</v>
      </c>
      <c r="FN28">
        <v>10</v>
      </c>
      <c r="FO28">
        <v>1783005162.5</v>
      </c>
      <c r="FP28" t="s">
        <v>579</v>
      </c>
      <c r="FQ28">
        <v>1783005156.5</v>
      </c>
      <c r="FR28">
        <v>1783005162.5</v>
      </c>
      <c r="FS28">
        <v>13</v>
      </c>
      <c r="FT28">
        <v>6.0000000000000001E-3</v>
      </c>
      <c r="FU28">
        <v>3.0000000000000001E-3</v>
      </c>
      <c r="FV28">
        <v>-4.4370000000000003</v>
      </c>
      <c r="FW28">
        <v>0.26700000000000002</v>
      </c>
      <c r="FX28">
        <v>423</v>
      </c>
      <c r="FY28">
        <v>35</v>
      </c>
      <c r="FZ28">
        <v>1.63</v>
      </c>
      <c r="GA28">
        <v>0.11</v>
      </c>
      <c r="GB28">
        <v>423.35574193548388</v>
      </c>
      <c r="GC28">
        <v>-0.44646774193611533</v>
      </c>
      <c r="GD28">
        <v>7.1499139512956889E-2</v>
      </c>
      <c r="GE28">
        <v>-1</v>
      </c>
      <c r="GF28">
        <v>847.14420588235305</v>
      </c>
      <c r="GG28">
        <v>9.585164250521327</v>
      </c>
      <c r="GH28">
        <v>0.97912340084539617</v>
      </c>
      <c r="GI28">
        <v>1</v>
      </c>
      <c r="GJ28">
        <v>2.7027595121951218</v>
      </c>
      <c r="GK28">
        <v>-0.46647031358884489</v>
      </c>
      <c r="GL28">
        <v>4.8526343459178341E-2</v>
      </c>
      <c r="GM28">
        <v>1</v>
      </c>
      <c r="GN28">
        <v>2</v>
      </c>
      <c r="GO28">
        <v>2</v>
      </c>
      <c r="GP28" t="s">
        <v>410</v>
      </c>
      <c r="GQ28">
        <v>3.1351800000000001</v>
      </c>
      <c r="GR28">
        <v>2.7276600000000002</v>
      </c>
      <c r="GS28">
        <v>9.1075100000000006E-2</v>
      </c>
      <c r="GT28">
        <v>9.16241E-2</v>
      </c>
      <c r="GU28">
        <v>0.15133199999999999</v>
      </c>
      <c r="GV28">
        <v>0.145012</v>
      </c>
      <c r="GW28">
        <v>22744.9</v>
      </c>
      <c r="GX28">
        <v>30562</v>
      </c>
      <c r="GY28">
        <v>27151.200000000001</v>
      </c>
      <c r="GZ28">
        <v>34606.400000000001</v>
      </c>
      <c r="HA28">
        <v>33762</v>
      </c>
      <c r="HB28">
        <v>37773.9</v>
      </c>
      <c r="HC28">
        <v>40099.1</v>
      </c>
      <c r="HD28">
        <v>44257.2</v>
      </c>
      <c r="HE28">
        <v>1.9536</v>
      </c>
      <c r="HF28">
        <v>1.7685999999999999</v>
      </c>
      <c r="HG28">
        <v>5.4210399999999999E-2</v>
      </c>
      <c r="HH28">
        <v>0</v>
      </c>
      <c r="HI28">
        <v>33.535600000000002</v>
      </c>
      <c r="HJ28">
        <v>999.9</v>
      </c>
      <c r="HK28">
        <v>61.6</v>
      </c>
      <c r="HL28">
        <v>37.299999999999997</v>
      </c>
      <c r="HM28">
        <v>40.341299999999997</v>
      </c>
      <c r="HN28">
        <v>59.383699999999997</v>
      </c>
      <c r="HO28">
        <v>5.5088100000000004</v>
      </c>
      <c r="HP28">
        <v>1</v>
      </c>
      <c r="HQ28">
        <v>0.65268300000000001</v>
      </c>
      <c r="HR28">
        <v>0</v>
      </c>
      <c r="HS28">
        <v>20.293500000000002</v>
      </c>
      <c r="HT28">
        <v>5.2100999999999997</v>
      </c>
      <c r="HU28">
        <v>11.908099999999999</v>
      </c>
      <c r="HV28">
        <v>4.984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1.8630100000000001</v>
      </c>
      <c r="ID28">
        <v>1.86249</v>
      </c>
      <c r="IE28">
        <v>1.8620000000000001</v>
      </c>
      <c r="IF28">
        <v>1.8620300000000001</v>
      </c>
      <c r="IG28">
        <v>1.8626400000000001</v>
      </c>
      <c r="IH28">
        <v>1.8635299999999999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-4.4240000000000004</v>
      </c>
      <c r="IX28">
        <v>0.34670000000000001</v>
      </c>
      <c r="IY28">
        <v>-2.6111162520561608</v>
      </c>
      <c r="IZ28">
        <v>-4.7754461378838441E-3</v>
      </c>
      <c r="JA28">
        <v>1.175754608921022E-6</v>
      </c>
      <c r="JB28">
        <v>1.4193218893046591E-11</v>
      </c>
      <c r="JC28">
        <v>-0.44016362121437702</v>
      </c>
      <c r="JD28">
        <v>2.7492919904454862E-4</v>
      </c>
      <c r="JE28">
        <v>8.6739513355948885E-4</v>
      </c>
      <c r="JF28">
        <v>-8.2500691715147318E-6</v>
      </c>
      <c r="JG28">
        <v>38</v>
      </c>
      <c r="JH28">
        <v>1780</v>
      </c>
      <c r="JI28">
        <v>2</v>
      </c>
      <c r="JJ28">
        <v>37</v>
      </c>
      <c r="JK28">
        <v>0.7</v>
      </c>
      <c r="JL28">
        <v>0.6</v>
      </c>
      <c r="JM28">
        <v>1.1071800000000001</v>
      </c>
      <c r="JN28">
        <v>2.52563</v>
      </c>
      <c r="JO28">
        <v>1.50024</v>
      </c>
      <c r="JP28">
        <v>2.2680699999999998</v>
      </c>
      <c r="JQ28">
        <v>1.4477500000000001</v>
      </c>
      <c r="JR28">
        <v>2.323</v>
      </c>
      <c r="JS28">
        <v>41.067</v>
      </c>
      <c r="JT28">
        <v>15.462899999999999</v>
      </c>
      <c r="JU28">
        <v>18</v>
      </c>
      <c r="JV28">
        <v>547.90899999999999</v>
      </c>
      <c r="JW28">
        <v>439.48599999999999</v>
      </c>
      <c r="JX28">
        <v>35.062800000000003</v>
      </c>
      <c r="JY28">
        <v>35.404299999999999</v>
      </c>
      <c r="JZ28">
        <v>29.999600000000001</v>
      </c>
      <c r="KA28">
        <v>35.377899999999997</v>
      </c>
      <c r="KB28">
        <v>35.332099999999997</v>
      </c>
      <c r="KC28">
        <v>22.142800000000001</v>
      </c>
      <c r="KD28">
        <v>26.810700000000001</v>
      </c>
      <c r="KE28">
        <v>31.9358</v>
      </c>
      <c r="KF28">
        <v>-999.9</v>
      </c>
      <c r="KG28">
        <v>423.512</v>
      </c>
      <c r="KH28">
        <v>34.969700000000003</v>
      </c>
      <c r="KI28">
        <v>100.21299999999999</v>
      </c>
      <c r="KJ28">
        <v>99.2273</v>
      </c>
    </row>
    <row r="29" spans="1:296" x14ac:dyDescent="0.3">
      <c r="A29">
        <v>13</v>
      </c>
      <c r="B29">
        <v>1783005321</v>
      </c>
      <c r="C29">
        <v>1583.900000095367</v>
      </c>
      <c r="D29" t="s">
        <v>580</v>
      </c>
      <c r="E29" t="s">
        <v>581</v>
      </c>
      <c r="F29">
        <v>15</v>
      </c>
      <c r="H29">
        <v>1783005313.25</v>
      </c>
      <c r="I29">
        <f t="shared" si="0"/>
        <v>2.0327706520805321E-3</v>
      </c>
      <c r="J29">
        <f t="shared" si="1"/>
        <v>2.032770652080532</v>
      </c>
      <c r="K29">
        <f t="shared" si="2"/>
        <v>-1.0592480651294709</v>
      </c>
      <c r="L29">
        <f t="shared" si="3"/>
        <v>419.91163333333333</v>
      </c>
      <c r="M29">
        <f t="shared" si="4"/>
        <v>422.96092733655047</v>
      </c>
      <c r="N29">
        <f t="shared" si="5"/>
        <v>41.406408328548039</v>
      </c>
      <c r="O29">
        <f t="shared" si="6"/>
        <v>41.107893017911472</v>
      </c>
      <c r="P29">
        <f t="shared" si="7"/>
        <v>0.10817623835128584</v>
      </c>
      <c r="Q29">
        <f t="shared" si="8"/>
        <v>2.892660489488196</v>
      </c>
      <c r="R29">
        <f t="shared" si="9"/>
        <v>0.10597803851095119</v>
      </c>
      <c r="S29">
        <f t="shared" si="10"/>
        <v>6.6430053162763875E-2</v>
      </c>
      <c r="T29">
        <f t="shared" si="11"/>
        <v>8.2402304843983032</v>
      </c>
      <c r="U29">
        <f t="shared" si="12"/>
        <v>34.291192616641091</v>
      </c>
      <c r="V29">
        <f t="shared" si="13"/>
        <v>34.264443333333332</v>
      </c>
      <c r="W29">
        <f t="shared" si="14"/>
        <v>5.4223305000701156</v>
      </c>
      <c r="X29">
        <f t="shared" si="15"/>
        <v>65.100477835338978</v>
      </c>
      <c r="Y29">
        <f t="shared" si="16"/>
        <v>3.6314017278780555</v>
      </c>
      <c r="Z29">
        <f t="shared" si="17"/>
        <v>5.5781491144551856</v>
      </c>
      <c r="AA29">
        <f t="shared" si="18"/>
        <v>1.7909287721920601</v>
      </c>
      <c r="AB29">
        <f t="shared" si="19"/>
        <v>-89.645185756751459</v>
      </c>
      <c r="AC29">
        <f t="shared" si="20"/>
        <v>79.507535928644259</v>
      </c>
      <c r="AD29">
        <f t="shared" si="21"/>
        <v>6.3891004487681506</v>
      </c>
      <c r="AE29">
        <f t="shared" si="22"/>
        <v>4.4916811050592571</v>
      </c>
      <c r="AF29">
        <f t="shared" si="23"/>
        <v>-1.0592480651294709</v>
      </c>
      <c r="AG29">
        <f t="shared" si="24"/>
        <v>2.032770652080532</v>
      </c>
      <c r="AH29">
        <f t="shared" si="25"/>
        <v>-0.91563541384782576</v>
      </c>
      <c r="AI29">
        <v>434.80185284440728</v>
      </c>
      <c r="AJ29">
        <v>435.98769090909087</v>
      </c>
      <c r="AK29">
        <v>-9.2716155565931158E-3</v>
      </c>
      <c r="AL29">
        <v>67.035751344009498</v>
      </c>
      <c r="AM29">
        <f t="shared" si="26"/>
        <v>1.985922516790448</v>
      </c>
      <c r="AN29">
        <v>34.743440394623512</v>
      </c>
      <c r="AO29">
        <v>37.048319393939373</v>
      </c>
      <c r="AP29">
        <v>-1.6811699635653329E-3</v>
      </c>
      <c r="AQ29">
        <v>78.069151442719985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50463.900159820128</v>
      </c>
      <c r="AW29" t="s">
        <v>533</v>
      </c>
      <c r="AX29">
        <v>5108.59</v>
      </c>
      <c r="AY29">
        <v>577.7117647058825</v>
      </c>
      <c r="AZ29">
        <v>2527.6</v>
      </c>
      <c r="BA29">
        <f t="shared" si="30"/>
        <v>0.7714386118429013</v>
      </c>
      <c r="BB29">
        <v>-5.2534396484243606</v>
      </c>
      <c r="BC29" t="s">
        <v>582</v>
      </c>
      <c r="BD29">
        <v>5102.37</v>
      </c>
      <c r="BE29">
        <v>816.32682352941174</v>
      </c>
      <c r="BF29">
        <v>2238.31</v>
      </c>
      <c r="BG29">
        <f t="shared" si="31"/>
        <v>0.63529322411577849</v>
      </c>
      <c r="BH29">
        <v>0.5</v>
      </c>
      <c r="BI29">
        <f t="shared" si="32"/>
        <v>42.131570460309995</v>
      </c>
      <c r="BJ29">
        <f t="shared" si="33"/>
        <v>-1.0592480651294709</v>
      </c>
      <c r="BK29">
        <f t="shared" si="34"/>
        <v>13.382950617395714</v>
      </c>
      <c r="BL29">
        <f t="shared" si="35"/>
        <v>9.9549851512086979E-2</v>
      </c>
      <c r="BM29">
        <f t="shared" si="36"/>
        <v>0.12924483203845757</v>
      </c>
      <c r="BN29">
        <f t="shared" si="37"/>
        <v>561.13560665110549</v>
      </c>
      <c r="BO29" t="s">
        <v>407</v>
      </c>
      <c r="BP29">
        <v>0</v>
      </c>
      <c r="BQ29">
        <f t="shared" si="38"/>
        <v>561.13560665110549</v>
      </c>
      <c r="BR29">
        <f t="shared" si="39"/>
        <v>0.74930389148459975</v>
      </c>
      <c r="BS29">
        <f t="shared" si="40"/>
        <v>0.84784455457327024</v>
      </c>
      <c r="BT29">
        <f t="shared" si="41"/>
        <v>0.14711174073553313</v>
      </c>
      <c r="BU29">
        <f t="shared" si="42"/>
        <v>0.85630777285436133</v>
      </c>
      <c r="BV29">
        <f t="shared" si="43"/>
        <v>0.14836234957659716</v>
      </c>
      <c r="BW29">
        <f t="shared" si="44"/>
        <v>0.58280060726090688</v>
      </c>
      <c r="BX29">
        <f t="shared" si="45"/>
        <v>0.41719939273909312</v>
      </c>
      <c r="DG29">
        <f t="shared" si="46"/>
        <v>49.995690000000003</v>
      </c>
      <c r="DH29">
        <f t="shared" si="47"/>
        <v>42.131570460309995</v>
      </c>
      <c r="DI29">
        <f t="shared" si="48"/>
        <v>0.84270405029533535</v>
      </c>
      <c r="DJ29">
        <f t="shared" si="49"/>
        <v>0.16481881706999749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1783005313.25</v>
      </c>
      <c r="DQ29">
        <v>419.91163333333333</v>
      </c>
      <c r="DR29">
        <v>419.66483333333332</v>
      </c>
      <c r="DS29">
        <v>37.094283333333337</v>
      </c>
      <c r="DT29">
        <v>34.745413333333317</v>
      </c>
      <c r="DU29">
        <v>424.37479999999999</v>
      </c>
      <c r="DV29">
        <v>36.754206666666668</v>
      </c>
      <c r="DW29">
        <v>499.99356666666671</v>
      </c>
      <c r="DX29">
        <v>97.84511333333333</v>
      </c>
      <c r="DY29">
        <v>5.1419543333333331E-2</v>
      </c>
      <c r="DZ29">
        <v>34.774273333333333</v>
      </c>
      <c r="EA29">
        <v>34.264443333333332</v>
      </c>
      <c r="EB29">
        <v>999.9000000000002</v>
      </c>
      <c r="EC29">
        <v>0</v>
      </c>
      <c r="ED29">
        <v>0</v>
      </c>
      <c r="EE29">
        <v>10006.83333333333</v>
      </c>
      <c r="EF29">
        <v>0</v>
      </c>
      <c r="EG29">
        <v>345.82089999999999</v>
      </c>
      <c r="EH29">
        <v>0.24673571333333341</v>
      </c>
      <c r="EI29">
        <v>436.08789999999988</v>
      </c>
      <c r="EJ29">
        <v>434.77123333333338</v>
      </c>
      <c r="EK29">
        <v>2.3488676666666661</v>
      </c>
      <c r="EL29">
        <v>419.66483333333332</v>
      </c>
      <c r="EM29">
        <v>34.745413333333317</v>
      </c>
      <c r="EN29">
        <v>3.629493333333333</v>
      </c>
      <c r="EO29">
        <v>3.399669666666667</v>
      </c>
      <c r="EP29">
        <v>27.237983333333339</v>
      </c>
      <c r="EQ29">
        <v>26.12684333333333</v>
      </c>
      <c r="ER29">
        <v>49.995690000000003</v>
      </c>
      <c r="ES29">
        <v>0.89989636666666672</v>
      </c>
      <c r="ET29">
        <v>0.10010380333333339</v>
      </c>
      <c r="EU29">
        <v>0</v>
      </c>
      <c r="EV29">
        <v>815.99126666666677</v>
      </c>
      <c r="EW29">
        <v>5.0010700000000003</v>
      </c>
      <c r="EX29">
        <v>2569.052999999999</v>
      </c>
      <c r="EY29">
        <v>396.21113333333329</v>
      </c>
      <c r="EZ29">
        <v>39.341399999999993</v>
      </c>
      <c r="FA29">
        <v>42.724799999999981</v>
      </c>
      <c r="FB29">
        <v>41.332999999999977</v>
      </c>
      <c r="FC29">
        <v>42.837199999999982</v>
      </c>
      <c r="FD29">
        <v>42.120800000000003</v>
      </c>
      <c r="FE29">
        <v>40.491333333333323</v>
      </c>
      <c r="FF29">
        <v>4.5066666666666659</v>
      </c>
      <c r="FG29">
        <v>0</v>
      </c>
      <c r="FH29">
        <v>122</v>
      </c>
      <c r="FI29">
        <v>0</v>
      </c>
      <c r="FJ29">
        <v>816.32682352941174</v>
      </c>
      <c r="FK29">
        <v>6.0095588437755856</v>
      </c>
      <c r="FL29">
        <v>56.242647876581053</v>
      </c>
      <c r="FM29">
        <v>2569.5464705882359</v>
      </c>
      <c r="FN29">
        <v>10</v>
      </c>
      <c r="FO29">
        <v>1783005285</v>
      </c>
      <c r="FP29" t="s">
        <v>583</v>
      </c>
      <c r="FQ29">
        <v>1783005280</v>
      </c>
      <c r="FR29">
        <v>1783005285</v>
      </c>
      <c r="FS29">
        <v>14</v>
      </c>
      <c r="FT29">
        <v>-3.7999999999999999E-2</v>
      </c>
      <c r="FU29">
        <v>8.0000000000000002E-3</v>
      </c>
      <c r="FV29">
        <v>-4.4589999999999996</v>
      </c>
      <c r="FW29">
        <v>0.27100000000000002</v>
      </c>
      <c r="FX29">
        <v>419</v>
      </c>
      <c r="FY29">
        <v>35</v>
      </c>
      <c r="FZ29">
        <v>1.52</v>
      </c>
      <c r="GA29">
        <v>0.13</v>
      </c>
      <c r="GB29">
        <v>419.65932258064498</v>
      </c>
      <c r="GC29">
        <v>-0.17225806451823189</v>
      </c>
      <c r="GD29">
        <v>0.1139092414888532</v>
      </c>
      <c r="GE29">
        <v>-1</v>
      </c>
      <c r="GF29">
        <v>815.68997058823527</v>
      </c>
      <c r="GG29">
        <v>4.5064476724936329</v>
      </c>
      <c r="GH29">
        <v>0.49004984652187922</v>
      </c>
      <c r="GI29">
        <v>1</v>
      </c>
      <c r="GJ29">
        <v>2.3512173170731701</v>
      </c>
      <c r="GK29">
        <v>-0.12680843205574141</v>
      </c>
      <c r="GL29">
        <v>2.4264949832276169E-2</v>
      </c>
      <c r="GM29">
        <v>1</v>
      </c>
      <c r="GN29">
        <v>2</v>
      </c>
      <c r="GO29">
        <v>2</v>
      </c>
      <c r="GP29" t="s">
        <v>410</v>
      </c>
      <c r="GQ29">
        <v>3.1344099999999999</v>
      </c>
      <c r="GR29">
        <v>2.7278899999999999</v>
      </c>
      <c r="GS29">
        <v>9.1097399999999995E-2</v>
      </c>
      <c r="GT29">
        <v>9.1081200000000001E-2</v>
      </c>
      <c r="GU29">
        <v>0.14991299999999999</v>
      </c>
      <c r="GV29">
        <v>0.14448800000000001</v>
      </c>
      <c r="GW29">
        <v>22750.3</v>
      </c>
      <c r="GX29">
        <v>30590.400000000001</v>
      </c>
      <c r="GY29">
        <v>27157.5</v>
      </c>
      <c r="GZ29">
        <v>34616.699999999997</v>
      </c>
      <c r="HA29">
        <v>33824.400000000001</v>
      </c>
      <c r="HB29">
        <v>37805.300000000003</v>
      </c>
      <c r="HC29">
        <v>40108.1</v>
      </c>
      <c r="HD29">
        <v>44267.7</v>
      </c>
      <c r="HE29">
        <v>1.9541999999999999</v>
      </c>
      <c r="HF29">
        <v>1.7716000000000001</v>
      </c>
      <c r="HG29">
        <v>5.7220500000000001E-2</v>
      </c>
      <c r="HH29">
        <v>0</v>
      </c>
      <c r="HI29">
        <v>33.350099999999998</v>
      </c>
      <c r="HJ29">
        <v>999.9</v>
      </c>
      <c r="HK29">
        <v>61.6</v>
      </c>
      <c r="HL29">
        <v>37.299999999999997</v>
      </c>
      <c r="HM29">
        <v>40.347999999999999</v>
      </c>
      <c r="HN29">
        <v>59.773699999999998</v>
      </c>
      <c r="HO29">
        <v>5.6410299999999998</v>
      </c>
      <c r="HP29">
        <v>1</v>
      </c>
      <c r="HQ29">
        <v>0.63943099999999997</v>
      </c>
      <c r="HR29">
        <v>0</v>
      </c>
      <c r="HS29">
        <v>20.2942</v>
      </c>
      <c r="HT29">
        <v>5.2100999999999997</v>
      </c>
      <c r="HU29">
        <v>11.908099999999999</v>
      </c>
      <c r="HV29">
        <v>4.9836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1.8629800000000001</v>
      </c>
      <c r="ID29">
        <v>1.86249</v>
      </c>
      <c r="IE29">
        <v>1.8619399999999999</v>
      </c>
      <c r="IF29">
        <v>1.8620300000000001</v>
      </c>
      <c r="IG29">
        <v>1.8626400000000001</v>
      </c>
      <c r="IH29">
        <v>1.8634999999999999</v>
      </c>
      <c r="II29">
        <v>1.86154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-4.4630000000000001</v>
      </c>
      <c r="IX29">
        <v>0.33860000000000001</v>
      </c>
      <c r="IY29">
        <v>-2.6493996606222021</v>
      </c>
      <c r="IZ29">
        <v>-4.7754461378838441E-3</v>
      </c>
      <c r="JA29">
        <v>1.175754608921022E-6</v>
      </c>
      <c r="JB29">
        <v>1.4193218893046591E-11</v>
      </c>
      <c r="JC29">
        <v>-0.43215468572226501</v>
      </c>
      <c r="JD29">
        <v>2.7492919904454862E-4</v>
      </c>
      <c r="JE29">
        <v>8.6739513355948885E-4</v>
      </c>
      <c r="JF29">
        <v>-8.2500691715147318E-6</v>
      </c>
      <c r="JG29">
        <v>38</v>
      </c>
      <c r="JH29">
        <v>1780</v>
      </c>
      <c r="JI29">
        <v>2</v>
      </c>
      <c r="JJ29">
        <v>37</v>
      </c>
      <c r="JK29">
        <v>0.7</v>
      </c>
      <c r="JL29">
        <v>0.6</v>
      </c>
      <c r="JM29">
        <v>1.09985</v>
      </c>
      <c r="JN29">
        <v>2.5158700000000001</v>
      </c>
      <c r="JO29">
        <v>1.50024</v>
      </c>
      <c r="JP29">
        <v>2.2668499999999998</v>
      </c>
      <c r="JQ29">
        <v>1.4477500000000001</v>
      </c>
      <c r="JR29">
        <v>2.3803700000000001</v>
      </c>
      <c r="JS29">
        <v>40.938000000000002</v>
      </c>
      <c r="JT29">
        <v>15.4542</v>
      </c>
      <c r="JU29">
        <v>18</v>
      </c>
      <c r="JV29">
        <v>547.00400000000002</v>
      </c>
      <c r="JW29">
        <v>440.32900000000001</v>
      </c>
      <c r="JX29">
        <v>34.847999999999999</v>
      </c>
      <c r="JY29">
        <v>35.234400000000001</v>
      </c>
      <c r="JZ29">
        <v>29.999700000000001</v>
      </c>
      <c r="KA29">
        <v>35.216700000000003</v>
      </c>
      <c r="KB29">
        <v>35.174900000000001</v>
      </c>
      <c r="KC29">
        <v>21.9923</v>
      </c>
      <c r="KD29">
        <v>27.484100000000002</v>
      </c>
      <c r="KE29">
        <v>36.797600000000003</v>
      </c>
      <c r="KF29">
        <v>-999.9</v>
      </c>
      <c r="KG29">
        <v>419.87299999999999</v>
      </c>
      <c r="KH29">
        <v>34.774900000000002</v>
      </c>
      <c r="KI29">
        <v>100.236</v>
      </c>
      <c r="KJ29">
        <v>99.253399999999999</v>
      </c>
    </row>
    <row r="30" spans="1:296" x14ac:dyDescent="0.3">
      <c r="A30">
        <v>14</v>
      </c>
      <c r="B30">
        <v>1783005450</v>
      </c>
      <c r="C30">
        <v>1712.900000095367</v>
      </c>
      <c r="D30" t="s">
        <v>584</v>
      </c>
      <c r="E30" t="s">
        <v>585</v>
      </c>
      <c r="F30">
        <v>15</v>
      </c>
      <c r="H30">
        <v>1783005442</v>
      </c>
      <c r="I30">
        <f t="shared" si="0"/>
        <v>1.8116447121696668E-3</v>
      </c>
      <c r="J30">
        <f t="shared" si="1"/>
        <v>1.8116447121696668</v>
      </c>
      <c r="K30">
        <f t="shared" si="2"/>
        <v>-2.3720192429001932</v>
      </c>
      <c r="L30">
        <f t="shared" si="3"/>
        <v>420.0111612903226</v>
      </c>
      <c r="M30">
        <f t="shared" si="4"/>
        <v>446.65086316571865</v>
      </c>
      <c r="N30">
        <f t="shared" si="5"/>
        <v>43.723829588930521</v>
      </c>
      <c r="O30">
        <f t="shared" si="6"/>
        <v>41.115998996498497</v>
      </c>
      <c r="P30">
        <f t="shared" si="7"/>
        <v>9.683113781915384E-2</v>
      </c>
      <c r="Q30">
        <f t="shared" si="8"/>
        <v>2.8921860824932617</v>
      </c>
      <c r="R30">
        <f t="shared" si="9"/>
        <v>9.5065498464231221E-2</v>
      </c>
      <c r="S30">
        <f t="shared" si="10"/>
        <v>5.9571890609026443E-2</v>
      </c>
      <c r="T30">
        <f t="shared" si="11"/>
        <v>4.9334651931838076</v>
      </c>
      <c r="U30">
        <f t="shared" si="12"/>
        <v>34.220875445450694</v>
      </c>
      <c r="V30">
        <f t="shared" si="13"/>
        <v>34.183103225806462</v>
      </c>
      <c r="W30">
        <f t="shared" si="14"/>
        <v>5.397824020535845</v>
      </c>
      <c r="X30">
        <f t="shared" si="15"/>
        <v>65.255569857316743</v>
      </c>
      <c r="Y30">
        <f t="shared" si="16"/>
        <v>3.6182115495084703</v>
      </c>
      <c r="Z30">
        <f t="shared" si="17"/>
        <v>5.5446784962874407</v>
      </c>
      <c r="AA30">
        <f t="shared" si="18"/>
        <v>1.7796124710273746</v>
      </c>
      <c r="AB30">
        <f t="shared" si="19"/>
        <v>-79.893531806682304</v>
      </c>
      <c r="AC30">
        <f t="shared" si="20"/>
        <v>75.26579980296043</v>
      </c>
      <c r="AD30">
        <f t="shared" si="21"/>
        <v>6.043634238681431</v>
      </c>
      <c r="AE30">
        <f t="shared" si="22"/>
        <v>6.349367428143367</v>
      </c>
      <c r="AF30">
        <f t="shared" si="23"/>
        <v>-2.3720192429001932</v>
      </c>
      <c r="AG30">
        <f t="shared" si="24"/>
        <v>1.8116447121696668</v>
      </c>
      <c r="AH30">
        <f t="shared" si="25"/>
        <v>-2.2268758873291996</v>
      </c>
      <c r="AI30">
        <v>433.25042952219059</v>
      </c>
      <c r="AJ30">
        <v>436.0190363636363</v>
      </c>
      <c r="AK30">
        <v>4.3004317878690232E-5</v>
      </c>
      <c r="AL30">
        <v>67.035796396262811</v>
      </c>
      <c r="AM30">
        <f t="shared" si="26"/>
        <v>1.7887705122848505</v>
      </c>
      <c r="AN30">
        <v>34.863193800240751</v>
      </c>
      <c r="AO30">
        <v>36.932586666666658</v>
      </c>
      <c r="AP30">
        <v>-3.5485283157130488E-4</v>
      </c>
      <c r="AQ30">
        <v>78.069198762986858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50468.422868273723</v>
      </c>
      <c r="AW30" t="s">
        <v>533</v>
      </c>
      <c r="AX30">
        <v>5108.59</v>
      </c>
      <c r="AY30">
        <v>577.7117647058825</v>
      </c>
      <c r="AZ30">
        <v>2527.6</v>
      </c>
      <c r="BA30">
        <f t="shared" si="30"/>
        <v>0.7714386118429013</v>
      </c>
      <c r="BB30">
        <v>-5.2534396484243606</v>
      </c>
      <c r="BC30" t="s">
        <v>586</v>
      </c>
      <c r="BD30">
        <v>5101.3500000000004</v>
      </c>
      <c r="BE30">
        <v>792.06852941176464</v>
      </c>
      <c r="BF30">
        <v>2312.09</v>
      </c>
      <c r="BG30">
        <f t="shared" si="31"/>
        <v>0.65742314122211309</v>
      </c>
      <c r="BH30">
        <v>0.5</v>
      </c>
      <c r="BI30">
        <f t="shared" si="32"/>
        <v>25.275956867603178</v>
      </c>
      <c r="BJ30">
        <f t="shared" si="33"/>
        <v>-2.3720192429001932</v>
      </c>
      <c r="BK30">
        <f t="shared" si="34"/>
        <v>8.3084994806471624</v>
      </c>
      <c r="BL30">
        <f t="shared" si="35"/>
        <v>0.11399846979551369</v>
      </c>
      <c r="BM30">
        <f t="shared" si="36"/>
        <v>9.3210039401580277E-2</v>
      </c>
      <c r="BN30">
        <f t="shared" si="37"/>
        <v>565.66080474131377</v>
      </c>
      <c r="BO30" t="s">
        <v>407</v>
      </c>
      <c r="BP30">
        <v>0</v>
      </c>
      <c r="BQ30">
        <f t="shared" si="38"/>
        <v>565.66080474131377</v>
      </c>
      <c r="BR30">
        <f t="shared" si="39"/>
        <v>0.75534654587783612</v>
      </c>
      <c r="BS30">
        <f t="shared" si="40"/>
        <v>0.87035963136374683</v>
      </c>
      <c r="BT30">
        <f t="shared" si="41"/>
        <v>0.10984540220247972</v>
      </c>
      <c r="BU30">
        <f t="shared" si="42"/>
        <v>0.87640714098932904</v>
      </c>
      <c r="BV30">
        <f t="shared" si="43"/>
        <v>0.11052428344309317</v>
      </c>
      <c r="BW30">
        <f t="shared" si="44"/>
        <v>0.62157289579122832</v>
      </c>
      <c r="BX30">
        <f t="shared" si="45"/>
        <v>0.37842710420877168</v>
      </c>
      <c r="DG30">
        <f t="shared" si="46"/>
        <v>30.000774193548391</v>
      </c>
      <c r="DH30">
        <f t="shared" si="47"/>
        <v>25.275956867603178</v>
      </c>
      <c r="DI30">
        <f t="shared" si="48"/>
        <v>0.8425101533892656</v>
      </c>
      <c r="DJ30">
        <f t="shared" si="49"/>
        <v>0.16444459604128281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1783005442</v>
      </c>
      <c r="DQ30">
        <v>420.0111612903226</v>
      </c>
      <c r="DR30">
        <v>418.0778064516129</v>
      </c>
      <c r="DS30">
        <v>36.961019354838712</v>
      </c>
      <c r="DT30">
        <v>34.867370967741927</v>
      </c>
      <c r="DU30">
        <v>424.51464516129039</v>
      </c>
      <c r="DV30">
        <v>36.618070967741929</v>
      </c>
      <c r="DW30">
        <v>499.99354838709678</v>
      </c>
      <c r="DX30">
        <v>97.841125806451629</v>
      </c>
      <c r="DY30">
        <v>5.1508451612903218E-2</v>
      </c>
      <c r="DZ30">
        <v>34.665812903225813</v>
      </c>
      <c r="EA30">
        <v>34.183103225806462</v>
      </c>
      <c r="EB30">
        <v>999.90000000000032</v>
      </c>
      <c r="EC30">
        <v>0</v>
      </c>
      <c r="ED30">
        <v>0</v>
      </c>
      <c r="EE30">
        <v>10004.516129032259</v>
      </c>
      <c r="EF30">
        <v>0</v>
      </c>
      <c r="EG30">
        <v>394.19764516129032</v>
      </c>
      <c r="EH30">
        <v>1.9334606451612899</v>
      </c>
      <c r="EI30">
        <v>436.1310645161289</v>
      </c>
      <c r="EJ30">
        <v>433.18154838709683</v>
      </c>
      <c r="EK30">
        <v>2.0936545161290319</v>
      </c>
      <c r="EL30">
        <v>418.0778064516129</v>
      </c>
      <c r="EM30">
        <v>34.867370967741927</v>
      </c>
      <c r="EN30">
        <v>3.6163077419354841</v>
      </c>
      <c r="EO30">
        <v>3.4114622580645171</v>
      </c>
      <c r="EP30">
        <v>27.175922580645171</v>
      </c>
      <c r="EQ30">
        <v>26.18543870967742</v>
      </c>
      <c r="ER30">
        <v>30.000774193548391</v>
      </c>
      <c r="ES30">
        <v>0.89947293548387097</v>
      </c>
      <c r="ET30">
        <v>0.10052704838709681</v>
      </c>
      <c r="EU30">
        <v>0</v>
      </c>
      <c r="EV30">
        <v>791.94816129032267</v>
      </c>
      <c r="EW30">
        <v>5.0010700000000003</v>
      </c>
      <c r="EX30">
        <v>2456.3648387096782</v>
      </c>
      <c r="EY30">
        <v>220.1033870967741</v>
      </c>
      <c r="EZ30">
        <v>38.959354838709658</v>
      </c>
      <c r="FA30">
        <v>42.436999999999983</v>
      </c>
      <c r="FB30">
        <v>40.983741935483863</v>
      </c>
      <c r="FC30">
        <v>42.620935483870959</v>
      </c>
      <c r="FD30">
        <v>41.776000000000003</v>
      </c>
      <c r="FE30">
        <v>22.487096774193549</v>
      </c>
      <c r="FF30">
        <v>2.5100000000000011</v>
      </c>
      <c r="FG30">
        <v>0</v>
      </c>
      <c r="FH30">
        <v>128.20000004768369</v>
      </c>
      <c r="FI30">
        <v>0</v>
      </c>
      <c r="FJ30">
        <v>792.06852941176464</v>
      </c>
      <c r="FK30">
        <v>2.7703431523341382</v>
      </c>
      <c r="FL30">
        <v>24.419117646848012</v>
      </c>
      <c r="FM30">
        <v>2464.794117647059</v>
      </c>
      <c r="FN30">
        <v>10</v>
      </c>
      <c r="FO30">
        <v>1783005420.5</v>
      </c>
      <c r="FP30" t="s">
        <v>587</v>
      </c>
      <c r="FQ30">
        <v>1783005410.5</v>
      </c>
      <c r="FR30">
        <v>1783005420.5</v>
      </c>
      <c r="FS30">
        <v>15</v>
      </c>
      <c r="FT30">
        <v>-0.04</v>
      </c>
      <c r="FU30">
        <v>7.0000000000000001E-3</v>
      </c>
      <c r="FV30">
        <v>-4.4930000000000003</v>
      </c>
      <c r="FW30">
        <v>0.27700000000000002</v>
      </c>
      <c r="FX30">
        <v>417</v>
      </c>
      <c r="FY30">
        <v>35</v>
      </c>
      <c r="FZ30">
        <v>1.59</v>
      </c>
      <c r="GA30">
        <v>0.17</v>
      </c>
      <c r="GB30">
        <v>418.08159999999998</v>
      </c>
      <c r="GC30">
        <v>-0.8952347052278754</v>
      </c>
      <c r="GD30">
        <v>0.15755985106195719</v>
      </c>
      <c r="GE30">
        <v>-1</v>
      </c>
      <c r="GF30">
        <v>791.86126470588249</v>
      </c>
      <c r="GG30">
        <v>2.176119175946055</v>
      </c>
      <c r="GH30">
        <v>0.28354886588128131</v>
      </c>
      <c r="GI30">
        <v>1</v>
      </c>
      <c r="GJ30">
        <v>2.0700080000000001</v>
      </c>
      <c r="GK30">
        <v>0.32936690431518922</v>
      </c>
      <c r="GL30">
        <v>6.5331193935209822E-2</v>
      </c>
      <c r="GM30">
        <v>1</v>
      </c>
      <c r="GN30">
        <v>2</v>
      </c>
      <c r="GO30">
        <v>2</v>
      </c>
      <c r="GP30" t="s">
        <v>410</v>
      </c>
      <c r="GQ30">
        <v>3.1345299999999998</v>
      </c>
      <c r="GR30">
        <v>2.7277100000000001</v>
      </c>
      <c r="GS30">
        <v>9.1130100000000006E-2</v>
      </c>
      <c r="GT30">
        <v>9.0799000000000005E-2</v>
      </c>
      <c r="GU30">
        <v>0.14962400000000001</v>
      </c>
      <c r="GV30">
        <v>0.14466699999999999</v>
      </c>
      <c r="GW30">
        <v>22754.400000000001</v>
      </c>
      <c r="GX30">
        <v>30605.9</v>
      </c>
      <c r="GY30">
        <v>27162.799999999999</v>
      </c>
      <c r="GZ30">
        <v>34622.5</v>
      </c>
      <c r="HA30">
        <v>33840.9</v>
      </c>
      <c r="HB30">
        <v>37802.6</v>
      </c>
      <c r="HC30">
        <v>40115.300000000003</v>
      </c>
      <c r="HD30">
        <v>44274.5</v>
      </c>
      <c r="HE30">
        <v>1.9543999999999999</v>
      </c>
      <c r="HF30">
        <v>1.774</v>
      </c>
      <c r="HG30">
        <v>5.3793199999999999E-2</v>
      </c>
      <c r="HH30">
        <v>0</v>
      </c>
      <c r="HI30">
        <v>33.305300000000003</v>
      </c>
      <c r="HJ30">
        <v>999.9</v>
      </c>
      <c r="HK30">
        <v>61.9</v>
      </c>
      <c r="HL30">
        <v>37.299999999999997</v>
      </c>
      <c r="HM30">
        <v>40.545000000000002</v>
      </c>
      <c r="HN30">
        <v>59.683700000000002</v>
      </c>
      <c r="HO30">
        <v>5.2323700000000004</v>
      </c>
      <c r="HP30">
        <v>1</v>
      </c>
      <c r="HQ30">
        <v>0.62796700000000005</v>
      </c>
      <c r="HR30">
        <v>0</v>
      </c>
      <c r="HS30">
        <v>20.294599999999999</v>
      </c>
      <c r="HT30">
        <v>5.2088999999999999</v>
      </c>
      <c r="HU30">
        <v>11.908099999999999</v>
      </c>
      <c r="HV30">
        <v>4.9843999999999999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1.86737</v>
      </c>
      <c r="IC30">
        <v>1.8629500000000001</v>
      </c>
      <c r="ID30">
        <v>1.86246</v>
      </c>
      <c r="IE30">
        <v>1.8620300000000001</v>
      </c>
      <c r="IF30">
        <v>1.8620000000000001</v>
      </c>
      <c r="IG30">
        <v>1.8626400000000001</v>
      </c>
      <c r="IH30">
        <v>1.8635299999999999</v>
      </c>
      <c r="II30">
        <v>1.86148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-4.5030000000000001</v>
      </c>
      <c r="IX30">
        <v>0.34200000000000003</v>
      </c>
      <c r="IY30">
        <v>-2.6892104567386892</v>
      </c>
      <c r="IZ30">
        <v>-4.7754461378838441E-3</v>
      </c>
      <c r="JA30">
        <v>1.175754608921022E-6</v>
      </c>
      <c r="JB30">
        <v>1.4193218893046591E-11</v>
      </c>
      <c r="JC30">
        <v>-0.42511271629485342</v>
      </c>
      <c r="JD30">
        <v>2.7492919904454862E-4</v>
      </c>
      <c r="JE30">
        <v>8.6739513355948885E-4</v>
      </c>
      <c r="JF30">
        <v>-8.2500691715147318E-6</v>
      </c>
      <c r="JG30">
        <v>38</v>
      </c>
      <c r="JH30">
        <v>1780</v>
      </c>
      <c r="JI30">
        <v>2</v>
      </c>
      <c r="JJ30">
        <v>37</v>
      </c>
      <c r="JK30">
        <v>0.7</v>
      </c>
      <c r="JL30">
        <v>0.5</v>
      </c>
      <c r="JM30">
        <v>1.09619</v>
      </c>
      <c r="JN30">
        <v>2.52441</v>
      </c>
      <c r="JO30">
        <v>1.50024</v>
      </c>
      <c r="JP30">
        <v>2.2668499999999998</v>
      </c>
      <c r="JQ30">
        <v>1.4477500000000001</v>
      </c>
      <c r="JR30">
        <v>2.4072300000000002</v>
      </c>
      <c r="JS30">
        <v>40.860799999999998</v>
      </c>
      <c r="JT30">
        <v>15.4367</v>
      </c>
      <c r="JU30">
        <v>18</v>
      </c>
      <c r="JV30">
        <v>545.96799999999996</v>
      </c>
      <c r="JW30">
        <v>440.85899999999998</v>
      </c>
      <c r="JX30">
        <v>34.707500000000003</v>
      </c>
      <c r="JY30">
        <v>35.089500000000001</v>
      </c>
      <c r="JZ30">
        <v>29.9998</v>
      </c>
      <c r="KA30">
        <v>35.072600000000001</v>
      </c>
      <c r="KB30">
        <v>35.028399999999998</v>
      </c>
      <c r="KC30">
        <v>21.932400000000001</v>
      </c>
      <c r="KD30">
        <v>27.854199999999999</v>
      </c>
      <c r="KE30">
        <v>41.725099999999998</v>
      </c>
      <c r="KF30">
        <v>-999.9</v>
      </c>
      <c r="KG30">
        <v>418.21699999999998</v>
      </c>
      <c r="KH30">
        <v>34.762999999999998</v>
      </c>
      <c r="KI30">
        <v>100.255</v>
      </c>
      <c r="KJ30">
        <v>99.269199999999998</v>
      </c>
    </row>
    <row r="31" spans="1:296" x14ac:dyDescent="0.3">
      <c r="A31">
        <v>15</v>
      </c>
      <c r="B31">
        <v>1783005588</v>
      </c>
      <c r="C31">
        <v>1850.900000095367</v>
      </c>
      <c r="D31" t="s">
        <v>588</v>
      </c>
      <c r="E31" t="s">
        <v>589</v>
      </c>
      <c r="F31">
        <v>15</v>
      </c>
      <c r="H31">
        <v>1783005580.25</v>
      </c>
      <c r="I31">
        <f t="shared" si="0"/>
        <v>2.0858371742996382E-3</v>
      </c>
      <c r="J31">
        <f t="shared" si="1"/>
        <v>2.085837174299638</v>
      </c>
      <c r="K31">
        <f t="shared" si="2"/>
        <v>-5.5970321802682754</v>
      </c>
      <c r="L31">
        <f t="shared" si="3"/>
        <v>420.09820000000008</v>
      </c>
      <c r="M31">
        <f t="shared" si="4"/>
        <v>487.14183932761614</v>
      </c>
      <c r="N31">
        <f t="shared" si="5"/>
        <v>47.685968003271277</v>
      </c>
      <c r="O31">
        <f t="shared" si="6"/>
        <v>41.123113857521211</v>
      </c>
      <c r="P31">
        <f t="shared" si="7"/>
        <v>0.11305489531246454</v>
      </c>
      <c r="Q31">
        <f t="shared" si="8"/>
        <v>2.8905872848629444</v>
      </c>
      <c r="R31">
        <f t="shared" si="9"/>
        <v>0.11065463834555717</v>
      </c>
      <c r="S31">
        <f t="shared" si="10"/>
        <v>6.9370558145271113E-2</v>
      </c>
      <c r="T31">
        <f t="shared" si="11"/>
        <v>1.5966703903835998E-4</v>
      </c>
      <c r="U31">
        <f t="shared" si="12"/>
        <v>33.990406075104424</v>
      </c>
      <c r="V31">
        <f t="shared" si="13"/>
        <v>34.072716666666658</v>
      </c>
      <c r="W31">
        <f t="shared" si="14"/>
        <v>5.3647203706887225</v>
      </c>
      <c r="X31">
        <f t="shared" si="15"/>
        <v>65.467636410090449</v>
      </c>
      <c r="Y31">
        <f t="shared" si="16"/>
        <v>3.6040401809802365</v>
      </c>
      <c r="Z31">
        <f t="shared" si="17"/>
        <v>5.5050714805166701</v>
      </c>
      <c r="AA31">
        <f t="shared" si="18"/>
        <v>1.7606801897084861</v>
      </c>
      <c r="AB31">
        <f t="shared" si="19"/>
        <v>-91.985419386614041</v>
      </c>
      <c r="AC31">
        <f t="shared" si="20"/>
        <v>72.310604380733182</v>
      </c>
      <c r="AD31">
        <f t="shared" si="21"/>
        <v>5.8027661012483449</v>
      </c>
      <c r="AE31">
        <f t="shared" si="22"/>
        <v>-13.871889237593479</v>
      </c>
      <c r="AF31">
        <f t="shared" si="23"/>
        <v>-5.5970321802682754</v>
      </c>
      <c r="AG31">
        <f t="shared" si="24"/>
        <v>2.085837174299638</v>
      </c>
      <c r="AH31">
        <f t="shared" si="25"/>
        <v>-5.5463371181336063</v>
      </c>
      <c r="AI31">
        <v>429.2877621246376</v>
      </c>
      <c r="AJ31">
        <v>436.05236969696932</v>
      </c>
      <c r="AK31">
        <v>2.5146794375026451E-2</v>
      </c>
      <c r="AL31">
        <v>67.079573743707726</v>
      </c>
      <c r="AM31">
        <f t="shared" si="26"/>
        <v>2.0424069935589229</v>
      </c>
      <c r="AN31">
        <v>34.359389292382588</v>
      </c>
      <c r="AO31">
        <v>36.744338787878803</v>
      </c>
      <c r="AP31">
        <v>-3.9794536605479531E-3</v>
      </c>
      <c r="AQ31">
        <v>78.212255820992894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50445.101982901375</v>
      </c>
      <c r="AW31" t="s">
        <v>473</v>
      </c>
      <c r="AX31">
        <v>5096.09</v>
      </c>
      <c r="AY31">
        <v>604.17647058823525</v>
      </c>
      <c r="AZ31">
        <v>2450.66</v>
      </c>
      <c r="BA31">
        <f t="shared" si="30"/>
        <v>0.75346377278437837</v>
      </c>
      <c r="BB31">
        <v>-5.5970321802682754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-5.5970321802682754</v>
      </c>
      <c r="BK31" t="e">
        <f t="shared" si="34"/>
        <v>#DIV/0!</v>
      </c>
      <c r="BL31">
        <f t="shared" si="35"/>
        <v>0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1.3272038233564467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1783005580.25</v>
      </c>
      <c r="DQ31">
        <v>420.09820000000008</v>
      </c>
      <c r="DR31">
        <v>414.43253333333331</v>
      </c>
      <c r="DS31">
        <v>36.817513333333331</v>
      </c>
      <c r="DT31">
        <v>34.406350000000003</v>
      </c>
      <c r="DU31">
        <v>424.58273333333341</v>
      </c>
      <c r="DV31">
        <v>36.478009999999998</v>
      </c>
      <c r="DW31">
        <v>499.93506666666661</v>
      </c>
      <c r="DX31">
        <v>97.837889999999987</v>
      </c>
      <c r="DY31">
        <v>5.1398403333333328E-2</v>
      </c>
      <c r="DZ31">
        <v>34.536729999999991</v>
      </c>
      <c r="EA31">
        <v>34.072716666666658</v>
      </c>
      <c r="EB31">
        <v>999.9000000000002</v>
      </c>
      <c r="EC31">
        <v>0</v>
      </c>
      <c r="ED31">
        <v>0</v>
      </c>
      <c r="EE31">
        <v>9995.6666666666661</v>
      </c>
      <c r="EF31">
        <v>0</v>
      </c>
      <c r="EG31">
        <v>439.44793333333331</v>
      </c>
      <c r="EH31">
        <v>5.6657183333333334</v>
      </c>
      <c r="EI31">
        <v>436.15646666666657</v>
      </c>
      <c r="EJ31">
        <v>429.19966666666659</v>
      </c>
      <c r="EK31">
        <v>2.4111630000000002</v>
      </c>
      <c r="EL31">
        <v>414.43253333333331</v>
      </c>
      <c r="EM31">
        <v>34.406350000000003</v>
      </c>
      <c r="EN31">
        <v>3.6021473333333329</v>
      </c>
      <c r="EO31">
        <v>3.3662443333333338</v>
      </c>
      <c r="EP31">
        <v>27.10904</v>
      </c>
      <c r="EQ31">
        <v>25.959790000000009</v>
      </c>
      <c r="ER31">
        <v>1.00021E-2</v>
      </c>
      <c r="ES31">
        <v>0</v>
      </c>
      <c r="ET31">
        <v>0</v>
      </c>
      <c r="EU31">
        <v>0</v>
      </c>
      <c r="EV31">
        <v>604.95500000000004</v>
      </c>
      <c r="EW31">
        <v>1.00021E-2</v>
      </c>
      <c r="EX31">
        <v>2341.9050000000002</v>
      </c>
      <c r="EY31">
        <v>2.328333333333334</v>
      </c>
      <c r="EZ31">
        <v>38.625</v>
      </c>
      <c r="FA31">
        <v>42.228999999999992</v>
      </c>
      <c r="FB31">
        <v>40.691199999999988</v>
      </c>
      <c r="FC31">
        <v>42.216399999999979</v>
      </c>
      <c r="FD31">
        <v>41.287199999999999</v>
      </c>
      <c r="FE31">
        <v>0</v>
      </c>
      <c r="FF31">
        <v>0</v>
      </c>
      <c r="FG31">
        <v>0</v>
      </c>
      <c r="FH31">
        <v>137.0999999046326</v>
      </c>
      <c r="FI31">
        <v>0</v>
      </c>
      <c r="FJ31">
        <v>604.17647058823525</v>
      </c>
      <c r="FK31">
        <v>20.64950983345302</v>
      </c>
      <c r="FL31">
        <v>77.316176680257669</v>
      </c>
      <c r="FM31">
        <v>2348.1088235294119</v>
      </c>
      <c r="FN31">
        <v>10</v>
      </c>
      <c r="FO31">
        <v>1783005558</v>
      </c>
      <c r="FP31" t="s">
        <v>590</v>
      </c>
      <c r="FQ31">
        <v>1783005550</v>
      </c>
      <c r="FR31">
        <v>1783005558</v>
      </c>
      <c r="FS31">
        <v>16</v>
      </c>
      <c r="FT31">
        <v>1.9E-2</v>
      </c>
      <c r="FU31">
        <v>1E-3</v>
      </c>
      <c r="FV31">
        <v>-4.4630000000000001</v>
      </c>
      <c r="FW31">
        <v>0.27600000000000002</v>
      </c>
      <c r="FX31">
        <v>414</v>
      </c>
      <c r="FY31">
        <v>35</v>
      </c>
      <c r="FZ31">
        <v>1.22</v>
      </c>
      <c r="GA31">
        <v>0.17</v>
      </c>
      <c r="GB31">
        <v>414.43633333333332</v>
      </c>
      <c r="GC31">
        <v>0.75342380422763899</v>
      </c>
      <c r="GD31">
        <v>0.13291032900251101</v>
      </c>
      <c r="GE31">
        <v>-1</v>
      </c>
      <c r="GF31">
        <v>604.44705882352946</v>
      </c>
      <c r="GG31">
        <v>2.1038960122355248</v>
      </c>
      <c r="GH31">
        <v>4.0876417258478774</v>
      </c>
      <c r="GI31">
        <v>1</v>
      </c>
      <c r="GJ31">
        <v>2.38357675</v>
      </c>
      <c r="GK31">
        <v>0.43041264540336938</v>
      </c>
      <c r="GL31">
        <v>6.4494682237665912E-2</v>
      </c>
      <c r="GM31">
        <v>1</v>
      </c>
      <c r="GN31">
        <v>2</v>
      </c>
      <c r="GO31">
        <v>2</v>
      </c>
      <c r="GP31" t="s">
        <v>410</v>
      </c>
      <c r="GQ31">
        <v>3.1350500000000001</v>
      </c>
      <c r="GR31">
        <v>2.7280700000000002</v>
      </c>
      <c r="GS31">
        <v>9.1157199999999994E-2</v>
      </c>
      <c r="GT31">
        <v>9.0234700000000001E-2</v>
      </c>
      <c r="GU31">
        <v>0.14915500000000001</v>
      </c>
      <c r="GV31">
        <v>0.14344699999999999</v>
      </c>
      <c r="GW31">
        <v>22758.3</v>
      </c>
      <c r="GX31">
        <v>30633.8</v>
      </c>
      <c r="GY31">
        <v>27167.599999999999</v>
      </c>
      <c r="GZ31">
        <v>34631.800000000003</v>
      </c>
      <c r="HA31">
        <v>33865.199999999997</v>
      </c>
      <c r="HB31">
        <v>37863.599999999999</v>
      </c>
      <c r="HC31">
        <v>40123.300000000003</v>
      </c>
      <c r="HD31">
        <v>44283.4</v>
      </c>
      <c r="HE31">
        <v>1.9565999999999999</v>
      </c>
      <c r="HF31">
        <v>1.7746</v>
      </c>
      <c r="HG31">
        <v>4.90248E-2</v>
      </c>
      <c r="HH31">
        <v>0</v>
      </c>
      <c r="HI31">
        <v>33.263500000000001</v>
      </c>
      <c r="HJ31">
        <v>999.9</v>
      </c>
      <c r="HK31">
        <v>62.2</v>
      </c>
      <c r="HL31">
        <v>37.299999999999997</v>
      </c>
      <c r="HM31">
        <v>40.744300000000003</v>
      </c>
      <c r="HN31">
        <v>59.593699999999998</v>
      </c>
      <c r="HO31">
        <v>5.4847799999999998</v>
      </c>
      <c r="HP31">
        <v>1</v>
      </c>
      <c r="HQ31">
        <v>0.61760199999999998</v>
      </c>
      <c r="HR31">
        <v>0</v>
      </c>
      <c r="HS31">
        <v>20.295500000000001</v>
      </c>
      <c r="HT31">
        <v>5.2100999999999997</v>
      </c>
      <c r="HU31">
        <v>11.908099999999999</v>
      </c>
      <c r="HV31">
        <v>4.984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1.86737</v>
      </c>
      <c r="IC31">
        <v>1.8630100000000001</v>
      </c>
      <c r="ID31">
        <v>1.86243</v>
      </c>
      <c r="IE31">
        <v>1.86191</v>
      </c>
      <c r="IF31">
        <v>1.8620300000000001</v>
      </c>
      <c r="IG31">
        <v>1.8626400000000001</v>
      </c>
      <c r="IH31">
        <v>1.8634299999999999</v>
      </c>
      <c r="II31">
        <v>1.86148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-4.484</v>
      </c>
      <c r="IX31">
        <v>0.3372</v>
      </c>
      <c r="IY31">
        <v>-2.6700379647821202</v>
      </c>
      <c r="IZ31">
        <v>-4.7754461378838441E-3</v>
      </c>
      <c r="JA31">
        <v>1.175754608921022E-6</v>
      </c>
      <c r="JB31">
        <v>1.4193218893046591E-11</v>
      </c>
      <c r="JC31">
        <v>-0.42427193278930347</v>
      </c>
      <c r="JD31">
        <v>2.7492919904454862E-4</v>
      </c>
      <c r="JE31">
        <v>8.6739513355948885E-4</v>
      </c>
      <c r="JF31">
        <v>-8.2500691715147318E-6</v>
      </c>
      <c r="JG31">
        <v>38</v>
      </c>
      <c r="JH31">
        <v>1780</v>
      </c>
      <c r="JI31">
        <v>2</v>
      </c>
      <c r="JJ31">
        <v>37</v>
      </c>
      <c r="JK31">
        <v>0.6</v>
      </c>
      <c r="JL31">
        <v>0.5</v>
      </c>
      <c r="JM31">
        <v>1.08887</v>
      </c>
      <c r="JN31">
        <v>2.5280800000000001</v>
      </c>
      <c r="JO31">
        <v>1.50024</v>
      </c>
      <c r="JP31">
        <v>2.2668499999999998</v>
      </c>
      <c r="JQ31">
        <v>1.4477500000000001</v>
      </c>
      <c r="JR31">
        <v>2.36572</v>
      </c>
      <c r="JS31">
        <v>40.8093</v>
      </c>
      <c r="JT31">
        <v>15.4192</v>
      </c>
      <c r="JU31">
        <v>18</v>
      </c>
      <c r="JV31">
        <v>546.36500000000001</v>
      </c>
      <c r="JW31">
        <v>440.35700000000003</v>
      </c>
      <c r="JX31">
        <v>34.609000000000002</v>
      </c>
      <c r="JY31">
        <v>34.964599999999997</v>
      </c>
      <c r="JZ31">
        <v>29.9998</v>
      </c>
      <c r="KA31">
        <v>34.938800000000001</v>
      </c>
      <c r="KB31">
        <v>34.898400000000002</v>
      </c>
      <c r="KC31">
        <v>21.787099999999999</v>
      </c>
      <c r="KD31">
        <v>28.919899999999998</v>
      </c>
      <c r="KE31">
        <v>44.668199999999999</v>
      </c>
      <c r="KF31">
        <v>-999.9</v>
      </c>
      <c r="KG31">
        <v>414.71600000000001</v>
      </c>
      <c r="KH31">
        <v>34.385100000000001</v>
      </c>
      <c r="KI31">
        <v>100.274</v>
      </c>
      <c r="KJ31">
        <v>99.292100000000005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0BCC-D778-44C9-AD14-7460EC4B435F}">
  <dimension ref="A2:KJ31"/>
  <sheetViews>
    <sheetView workbookViewId="0">
      <selection activeCell="J29" sqref="J29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591</v>
      </c>
      <c r="G13" t="s">
        <v>592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1782925983.5999999</v>
      </c>
      <c r="C17">
        <v>0</v>
      </c>
      <c r="D17" t="s">
        <v>600</v>
      </c>
      <c r="E17" t="s">
        <v>601</v>
      </c>
      <c r="F17">
        <v>15</v>
      </c>
      <c r="H17">
        <v>1782925975.599999</v>
      </c>
      <c r="I17">
        <f t="shared" ref="I17:I31" si="0">(J17)/1000</f>
        <v>3.7894477510787062E-3</v>
      </c>
      <c r="J17">
        <f t="shared" ref="J17:J31" si="1">IF(DO17, AM17, AG17)</f>
        <v>3.7894477510787064</v>
      </c>
      <c r="K17">
        <f t="shared" ref="K17:K31" si="2">IF(DO17, AH17, AF17)</f>
        <v>38.815641437049955</v>
      </c>
      <c r="L17">
        <f t="shared" ref="L17:L31" si="3">DQ17 - IF(AT17&gt;1, K17*DK17*100/(AV17), 0)</f>
        <v>418.28370967741938</v>
      </c>
      <c r="M17">
        <f t="shared" ref="M17:M31" si="4">((S17-I17/2)*L17-K17)/(S17+I17/2)</f>
        <v>107.34112498845887</v>
      </c>
      <c r="N17">
        <f t="shared" ref="N17:N31" si="5">M17*(DX17+DY17)/1000</f>
        <v>10.498034219780637</v>
      </c>
      <c r="O17">
        <f t="shared" ref="O17:O31" si="6">(DQ17 - IF(AT17&gt;1, K17*DK17*100/(AV17), 0))*(DX17+DY17)/1000</f>
        <v>40.908428137328229</v>
      </c>
      <c r="P17">
        <f t="shared" ref="P17:P31" si="7">2/((1/R17-1/Q17)+SIGN(R17)*SQRT((1/R17-1/Q17)*(1/R17-1/Q17) + 4*DL17/((DL17+1)*(DL17+1))*(2*1/R17*1/Q17-1/Q17*1/Q17)))</f>
        <v>0.2120031038883578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2.8827826454439949</v>
      </c>
      <c r="R17">
        <f t="shared" ref="R17:R31" si="9">I17*(1000-(1000*0.61365*EXP(17.502*V17/(240.97+V17))/(DX17+DY17)+DS17)/2)/(1000*0.61365*EXP(17.502*V17/(240.97+V17))/(DX17+DY17)-DS17)</f>
        <v>0.20370676423154008</v>
      </c>
      <c r="S17">
        <f t="shared" ref="S17:S31" si="10">1/((DL17+1)/(P17/1.6)+1/(Q17/1.37)) + DL17/((DL17+1)/(P17/1.6) + DL17/(Q17/1.37))</f>
        <v>0.12803506924177588</v>
      </c>
      <c r="T17">
        <f t="shared" ref="T17:T31" si="11">(DG17*DJ17)</f>
        <v>319.77481681957374</v>
      </c>
      <c r="U17">
        <f t="shared" ref="U17:U31" si="12">(DZ17+(T17+2*0.95*0.0000000567*(((DZ17+$B$7)+273)^4-(DZ17+273)^4)-44100*I17)/(1.84*29.3*Q17+8*0.95*0.0000000567*(DZ17+273)^3))</f>
        <v>34.629295453856557</v>
      </c>
      <c r="V17">
        <f t="shared" ref="V17:V31" si="13">($C$7*EA17+$D$7*EB17+$E$7*U17)</f>
        <v>33.36803225806451</v>
      </c>
      <c r="W17">
        <f t="shared" ref="W17:W31" si="14">0.61365*EXP(17.502*V17/(240.97+V17))</f>
        <v>5.1575243488076854</v>
      </c>
      <c r="X17">
        <f t="shared" ref="X17:X31" si="15">(Y17/Z17*100)</f>
        <v>64.97929523839268</v>
      </c>
      <c r="Y17">
        <f t="shared" ref="Y17:Y31" si="16">DS17*(DX17+DY17)/1000</f>
        <v>3.4179533642771132</v>
      </c>
      <c r="Z17">
        <f t="shared" ref="Z17:Z31" si="17">0.61365*EXP(17.502*DZ17/(240.97+DZ17))</f>
        <v>5.2600653050137005</v>
      </c>
      <c r="AA17">
        <f t="shared" ref="AA17:AA31" si="18">(W17-DS17*(DX17+DY17)/1000)</f>
        <v>1.7395709845305722</v>
      </c>
      <c r="AB17">
        <f t="shared" ref="AB17:AB31" si="19">(-I17*44100)</f>
        <v>-167.11464582257094</v>
      </c>
      <c r="AC17">
        <f t="shared" ref="AC17:AC31" si="20">2*29.3*Q17*0.92*(DZ17-V17)</f>
        <v>54.670037351979424</v>
      </c>
      <c r="AD17">
        <f t="shared" ref="AD17:AD31" si="21">2*0.95*0.0000000567*(((DZ17+$B$7)+273)^4-(V17+273)^4)</f>
        <v>4.366434194509548</v>
      </c>
      <c r="AE17">
        <f t="shared" ref="AE17:AE31" si="22">T17+AD17+AB17+AC17</f>
        <v>211.69664254349181</v>
      </c>
      <c r="AF17">
        <f t="shared" ref="AF17:AF31" si="23">DW17*AT17*(DR17-DQ17*(1000-AT17*DT17)/(1000-AT17*DS17))/(100*DK17)</f>
        <v>38.815641437049955</v>
      </c>
      <c r="AG17">
        <f t="shared" ref="AG17:AG31" si="24">1000*DW17*AT17*(DS17-DT17)/(100*DK17*(1000-AT17*DS17))</f>
        <v>3.7894477510787064</v>
      </c>
      <c r="AH17">
        <f t="shared" ref="AH17:AH31" si="25">(AI17 - AJ17 - DX17*1000/(8.314*(DZ17+273.15)) * AL17/DW17 * AK17) * DW17/(100*DK17) * (1000 - DT17)/1000</f>
        <v>39.256181940187709</v>
      </c>
      <c r="AI17">
        <v>482.10516383108109</v>
      </c>
      <c r="AJ17">
        <v>433.50927878787883</v>
      </c>
      <c r="AK17">
        <v>-1.4854679273620299E-3</v>
      </c>
      <c r="AL17">
        <v>67.035405035692008</v>
      </c>
      <c r="AM17">
        <f t="shared" ref="AM17:AM31" si="26">(AO17 - AN17 + DX17*1000/(8.314*(DZ17+273.15)) * AQ17/DW17 * AP17) * DW17/(100*DK17) * 1000/(1000 - AO17)</f>
        <v>3.9454191506385041</v>
      </c>
      <c r="AN17">
        <v>30.560509288206369</v>
      </c>
      <c r="AO17">
        <v>35.114183030303053</v>
      </c>
      <c r="AP17">
        <v>2.6124378577881912E-3</v>
      </c>
      <c r="AQ17">
        <v>78.068639385712331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50360.419408084679</v>
      </c>
      <c r="AW17" t="s">
        <v>602</v>
      </c>
      <c r="AX17">
        <v>5106.9799999999996</v>
      </c>
      <c r="AY17">
        <v>578.59411764705885</v>
      </c>
      <c r="AZ17">
        <v>2544.5100000000002</v>
      </c>
      <c r="BA17">
        <f t="shared" ref="BA17:BA31" si="30">1-AY17/AZ17</f>
        <v>0.77261079042838943</v>
      </c>
      <c r="BB17">
        <v>-5.4210321881325969</v>
      </c>
      <c r="BC17" t="s">
        <v>603</v>
      </c>
      <c r="BD17">
        <v>5102.57</v>
      </c>
      <c r="BE17">
        <v>731.0508235294119</v>
      </c>
      <c r="BF17">
        <v>839.67</v>
      </c>
      <c r="BG17">
        <f t="shared" ref="BG17:BG31" si="31">1-BE17/BF17</f>
        <v>0.12935936316718244</v>
      </c>
      <c r="BH17">
        <v>0.5</v>
      </c>
      <c r="BI17">
        <f t="shared" ref="BI17:BI31" si="32">DH17</f>
        <v>1680.2807320977233</v>
      </c>
      <c r="BJ17">
        <f t="shared" ref="BJ17:BJ31" si="33">K17</f>
        <v>38.815641437049955</v>
      </c>
      <c r="BK17">
        <f t="shared" ref="BK17:BK31" si="34">BG17*BH17*BI17</f>
        <v>108.68002272312428</v>
      </c>
      <c r="BL17">
        <f t="shared" ref="BL17:BL31" si="35">(BJ17-BB17)/BI17</f>
        <v>2.6326954050086553E-2</v>
      </c>
      <c r="BM17">
        <f t="shared" ref="BM17:BM31" si="36">(AZ17-BF17)/BF17</f>
        <v>2.0303690735646152</v>
      </c>
      <c r="BN17">
        <f t="shared" ref="BN17:BN31" si="37">AY17/(BA17+AY17/BF17)</f>
        <v>395.84076326658453</v>
      </c>
      <c r="BO17" t="s">
        <v>407</v>
      </c>
      <c r="BP17">
        <v>0</v>
      </c>
      <c r="BQ17">
        <f t="shared" ref="BQ17:BQ31" si="38">IF(BP17&lt;&gt;0, BP17, BN17)</f>
        <v>395.84076326658453</v>
      </c>
      <c r="BR17">
        <f t="shared" ref="BR17:BR31" si="39">1-BQ17/BF17</f>
        <v>0.52857579374446562</v>
      </c>
      <c r="BS17">
        <f t="shared" ref="BS17:BS31" si="40">(BF17-BE17)/(BF17-BQ17)</f>
        <v>0.24473190921361004</v>
      </c>
      <c r="BT17">
        <f t="shared" ref="BT17:BT31" si="41">(AZ17-BF17)/(AZ17-BQ17)</f>
        <v>0.79343994452670552</v>
      </c>
      <c r="BU17">
        <f t="shared" ref="BU17:BU31" si="42">(BF17-BE17)/(BF17-AY17)</f>
        <v>0.41604446757647595</v>
      </c>
      <c r="BV17">
        <f t="shared" ref="BV17:BV31" si="43">(AZ17-BF17)/(AZ17-AY17)</f>
        <v>0.8671988538795119</v>
      </c>
      <c r="BW17">
        <f t="shared" ref="BW17:BW31" si="44">(BS17*BQ17/BE17)</f>
        <v>0.13251454293027873</v>
      </c>
      <c r="BX17">
        <f t="shared" ref="BX17:BX31" si="45">(1-BW17)</f>
        <v>0.86748545706972124</v>
      </c>
      <c r="DG17">
        <f t="shared" ref="DG17:DG31" si="46">$B$11*EF17+$C$11*EG17+$F$11*ER17*(1-EU17)</f>
        <v>1999.977419354839</v>
      </c>
      <c r="DH17">
        <f t="shared" ref="DH17:DH31" si="47">DG17*DI17</f>
        <v>1680.2807320977233</v>
      </c>
      <c r="DI17">
        <f t="shared" ref="DI17:DI31" si="48">($B$11*$D$9+$C$11*$D$9+$F$11*((FE17+EW17)/MAX(FE17+EW17+FF17, 0.1)*$I$9+FF17/MAX(FE17+EW17+FF17, 0.1)*$J$9))/($B$11+$C$11+$F$11)</f>
        <v>0.8401498516117023</v>
      </c>
      <c r="DJ17">
        <f t="shared" ref="DJ17:DJ31" si="49">($B$11*$K$9+$C$11*$K$9+$F$11*((FE17+EW17)/MAX(FE17+EW17+FF17, 0.1)*$P$9+FF17/MAX(FE17+EW17+FF17, 0.1)*$Q$9))/($B$11+$C$11+$F$11)</f>
        <v>0.15988921361058567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1782925975.599999</v>
      </c>
      <c r="DQ17">
        <v>418.28370967741938</v>
      </c>
      <c r="DR17">
        <v>466.77570967741929</v>
      </c>
      <c r="DS17">
        <v>34.948158064516143</v>
      </c>
      <c r="DT17">
        <v>30.55873225806452</v>
      </c>
      <c r="DU17">
        <v>422.82358064516131</v>
      </c>
      <c r="DV17">
        <v>34.62315806451614</v>
      </c>
      <c r="DW17">
        <v>499.88499999999999</v>
      </c>
      <c r="DX17">
        <v>97.751974193548378</v>
      </c>
      <c r="DY17">
        <v>4.8698390322580637E-2</v>
      </c>
      <c r="DZ17">
        <v>33.719796774193547</v>
      </c>
      <c r="EA17">
        <v>33.36803225806451</v>
      </c>
      <c r="EB17">
        <v>999.90000000000032</v>
      </c>
      <c r="EC17">
        <v>0</v>
      </c>
      <c r="ED17">
        <v>0</v>
      </c>
      <c r="EE17">
        <v>9959.677419354839</v>
      </c>
      <c r="EF17">
        <v>0</v>
      </c>
      <c r="EG17">
        <v>682.04290322580653</v>
      </c>
      <c r="EH17">
        <v>-48.492003225806457</v>
      </c>
      <c r="EI17">
        <v>433.49183870967738</v>
      </c>
      <c r="EJ17">
        <v>481.48941935483879</v>
      </c>
      <c r="EK17">
        <v>4.5240890322580647</v>
      </c>
      <c r="EL17">
        <v>466.77570967741929</v>
      </c>
      <c r="EM17">
        <v>30.55873225806452</v>
      </c>
      <c r="EN17">
        <v>3.4294141935483871</v>
      </c>
      <c r="EO17">
        <v>2.987175161290323</v>
      </c>
      <c r="EP17">
        <v>26.27429032258064</v>
      </c>
      <c r="EQ17">
        <v>23.956606451612899</v>
      </c>
      <c r="ER17">
        <v>1999.977419354839</v>
      </c>
      <c r="ES17">
        <v>0.99499454838709667</v>
      </c>
      <c r="ET17">
        <v>5.0056503225806466E-3</v>
      </c>
      <c r="EU17">
        <v>0</v>
      </c>
      <c r="EV17">
        <v>730.99867741935464</v>
      </c>
      <c r="EW17">
        <v>5.0010700000000003</v>
      </c>
      <c r="EX17">
        <v>18199.2</v>
      </c>
      <c r="EY17">
        <v>18241.4064516129</v>
      </c>
      <c r="EZ17">
        <v>40.396935483870948</v>
      </c>
      <c r="FA17">
        <v>41.626935483870959</v>
      </c>
      <c r="FB17">
        <v>40.900999999999989</v>
      </c>
      <c r="FC17">
        <v>41.225548387096772</v>
      </c>
      <c r="FD17">
        <v>42.177032258064493</v>
      </c>
      <c r="FE17">
        <v>1984.9874193548389</v>
      </c>
      <c r="FF17">
        <v>9.990000000000002</v>
      </c>
      <c r="FG17">
        <v>0</v>
      </c>
      <c r="FH17">
        <v>961.10000014305115</v>
      </c>
      <c r="FI17">
        <v>0</v>
      </c>
      <c r="FJ17">
        <v>731.0508235294119</v>
      </c>
      <c r="FK17">
        <v>2.0071077984299159</v>
      </c>
      <c r="FL17">
        <v>52.622549214733773</v>
      </c>
      <c r="FM17">
        <v>18201.18235294117</v>
      </c>
      <c r="FN17">
        <v>10</v>
      </c>
      <c r="FO17">
        <v>1782926003.0999999</v>
      </c>
      <c r="FP17" t="s">
        <v>604</v>
      </c>
      <c r="FQ17">
        <v>1782924970.0999999</v>
      </c>
      <c r="FR17">
        <v>1782926003.0999999</v>
      </c>
      <c r="FS17">
        <v>32</v>
      </c>
      <c r="FT17">
        <v>-8.0000000000000002E-3</v>
      </c>
      <c r="FU17">
        <v>3.0000000000000001E-3</v>
      </c>
      <c r="FV17">
        <v>-4.5279999999999996</v>
      </c>
      <c r="FW17">
        <v>0.32500000000000001</v>
      </c>
      <c r="FX17">
        <v>415</v>
      </c>
      <c r="FY17">
        <v>30</v>
      </c>
      <c r="FZ17">
        <v>1.68</v>
      </c>
      <c r="GA17">
        <v>7.0000000000000007E-2</v>
      </c>
      <c r="GB17">
        <v>-48.19417</v>
      </c>
      <c r="GC17">
        <v>-7.4578716697935059</v>
      </c>
      <c r="GD17">
        <v>0.73343773771193455</v>
      </c>
      <c r="GE17">
        <v>0</v>
      </c>
      <c r="GF17">
        <v>730.95873529411756</v>
      </c>
      <c r="GG17">
        <v>0.97804430164923883</v>
      </c>
      <c r="GH17">
        <v>0.22349408583088279</v>
      </c>
      <c r="GI17">
        <v>1</v>
      </c>
      <c r="GJ17">
        <v>4.4952947500000011</v>
      </c>
      <c r="GK17">
        <v>0.56997016885551788</v>
      </c>
      <c r="GL17">
        <v>6.9110981905464955E-2</v>
      </c>
      <c r="GM17">
        <v>0</v>
      </c>
      <c r="GN17">
        <v>1</v>
      </c>
      <c r="GO17">
        <v>3</v>
      </c>
      <c r="GP17" t="s">
        <v>597</v>
      </c>
      <c r="GQ17">
        <v>3.1327099999999999</v>
      </c>
      <c r="GR17">
        <v>2.7250399999999999</v>
      </c>
      <c r="GS17">
        <v>9.1045000000000001E-2</v>
      </c>
      <c r="GT17">
        <v>9.8946699999999999E-2</v>
      </c>
      <c r="GU17">
        <v>0.144424</v>
      </c>
      <c r="GV17">
        <v>0.13245299999999999</v>
      </c>
      <c r="GW17">
        <v>22776.3</v>
      </c>
      <c r="GX17">
        <v>30406.3</v>
      </c>
      <c r="GY17">
        <v>27181.4</v>
      </c>
      <c r="GZ17">
        <v>34700.9</v>
      </c>
      <c r="HA17">
        <v>34058.699999999997</v>
      </c>
      <c r="HB17">
        <v>38457</v>
      </c>
      <c r="HC17">
        <v>40138.5</v>
      </c>
      <c r="HD17">
        <v>44410.2</v>
      </c>
      <c r="HE17">
        <v>1.9658</v>
      </c>
      <c r="HF17">
        <v>1.7602</v>
      </c>
      <c r="HG17">
        <v>6.1422600000000001E-2</v>
      </c>
      <c r="HH17">
        <v>0</v>
      </c>
      <c r="HI17">
        <v>32.380600000000001</v>
      </c>
      <c r="HJ17">
        <v>999.9</v>
      </c>
      <c r="HK17">
        <v>56.2</v>
      </c>
      <c r="HL17">
        <v>39.9</v>
      </c>
      <c r="HM17">
        <v>42.3947</v>
      </c>
      <c r="HN17">
        <v>59.389099999999999</v>
      </c>
      <c r="HO17">
        <v>7.3517599999999996</v>
      </c>
      <c r="HP17">
        <v>1</v>
      </c>
      <c r="HQ17">
        <v>0.54298800000000003</v>
      </c>
      <c r="HR17">
        <v>0</v>
      </c>
      <c r="HS17">
        <v>20.280200000000001</v>
      </c>
      <c r="HT17">
        <v>5.2112999999999996</v>
      </c>
      <c r="HU17">
        <v>11.9069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1.8630100000000001</v>
      </c>
      <c r="ID17">
        <v>1.86249</v>
      </c>
      <c r="IE17">
        <v>1.8620300000000001</v>
      </c>
      <c r="IF17">
        <v>1.8620300000000001</v>
      </c>
      <c r="IG17">
        <v>1.8626400000000001</v>
      </c>
      <c r="IH17">
        <v>1.8635600000000001</v>
      </c>
      <c r="II17">
        <v>1.86151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-4.5410000000000004</v>
      </c>
      <c r="IX17">
        <v>0.32500000000000001</v>
      </c>
      <c r="IY17">
        <v>-2.6120121038995299</v>
      </c>
      <c r="IZ17">
        <v>-5.1825110452525594E-3</v>
      </c>
      <c r="JA17">
        <v>1.5265819664382561E-6</v>
      </c>
      <c r="JB17">
        <v>-1.241475652429701E-10</v>
      </c>
      <c r="JC17">
        <v>-0.24724231141037961</v>
      </c>
      <c r="JD17">
        <v>2.7492919904454862E-4</v>
      </c>
      <c r="JE17">
        <v>8.6739513355948885E-4</v>
      </c>
      <c r="JF17">
        <v>-8.2500691715147318E-6</v>
      </c>
      <c r="JG17">
        <v>21</v>
      </c>
      <c r="JH17">
        <v>1720</v>
      </c>
      <c r="JI17">
        <v>2</v>
      </c>
      <c r="JJ17">
        <v>37</v>
      </c>
      <c r="JK17">
        <v>16.899999999999999</v>
      </c>
      <c r="JL17">
        <v>16.7</v>
      </c>
      <c r="JM17">
        <v>1.1975100000000001</v>
      </c>
      <c r="JN17">
        <v>2.5354000000000001</v>
      </c>
      <c r="JO17">
        <v>1.50024</v>
      </c>
      <c r="JP17">
        <v>2.2692899999999998</v>
      </c>
      <c r="JQ17">
        <v>1.4477500000000001</v>
      </c>
      <c r="JR17">
        <v>2.47681</v>
      </c>
      <c r="JS17">
        <v>42.483699999999999</v>
      </c>
      <c r="JT17">
        <v>14.6311</v>
      </c>
      <c r="JU17">
        <v>18</v>
      </c>
      <c r="JV17">
        <v>544.88800000000003</v>
      </c>
      <c r="JW17">
        <v>425.13799999999998</v>
      </c>
      <c r="JX17">
        <v>32.894199999999998</v>
      </c>
      <c r="JY17">
        <v>34.002499999999998</v>
      </c>
      <c r="JZ17">
        <v>30.0001</v>
      </c>
      <c r="KA17">
        <v>34.0047</v>
      </c>
      <c r="KB17">
        <v>33.971800000000002</v>
      </c>
      <c r="KC17">
        <v>23.9438</v>
      </c>
      <c r="KD17">
        <v>38.042000000000002</v>
      </c>
      <c r="KE17">
        <v>0</v>
      </c>
      <c r="KF17">
        <v>-999.9</v>
      </c>
      <c r="KG17">
        <v>468.38099999999997</v>
      </c>
      <c r="KH17">
        <v>30.348099999999999</v>
      </c>
      <c r="KI17">
        <v>100.31699999999999</v>
      </c>
      <c r="KJ17">
        <v>99.538600000000002</v>
      </c>
    </row>
    <row r="18" spans="1:296" x14ac:dyDescent="0.3">
      <c r="A18">
        <v>2</v>
      </c>
      <c r="B18">
        <v>1782926184.0999999</v>
      </c>
      <c r="C18">
        <v>200.5</v>
      </c>
      <c r="D18" t="s">
        <v>605</v>
      </c>
      <c r="E18" t="s">
        <v>606</v>
      </c>
      <c r="F18">
        <v>15</v>
      </c>
      <c r="H18">
        <v>1782926176.099999</v>
      </c>
      <c r="I18">
        <f t="shared" si="0"/>
        <v>5.5791275167983018E-3</v>
      </c>
      <c r="J18">
        <f t="shared" si="1"/>
        <v>5.5791275167983017</v>
      </c>
      <c r="K18">
        <f t="shared" si="2"/>
        <v>55.080422641668946</v>
      </c>
      <c r="L18">
        <f t="shared" si="3"/>
        <v>418.58893548387101</v>
      </c>
      <c r="M18">
        <f t="shared" si="4"/>
        <v>129.18537130920421</v>
      </c>
      <c r="N18">
        <f t="shared" si="5"/>
        <v>12.632950759023672</v>
      </c>
      <c r="O18">
        <f t="shared" si="6"/>
        <v>40.933531069729703</v>
      </c>
      <c r="P18">
        <f t="shared" si="7"/>
        <v>0.32988572782257125</v>
      </c>
      <c r="Q18">
        <f t="shared" si="8"/>
        <v>2.8906246386526209</v>
      </c>
      <c r="R18">
        <f t="shared" si="9"/>
        <v>0.3103067926008089</v>
      </c>
      <c r="S18">
        <f t="shared" si="10"/>
        <v>0.19560392822776573</v>
      </c>
      <c r="T18">
        <f t="shared" si="11"/>
        <v>271.90826362973991</v>
      </c>
      <c r="U18">
        <f t="shared" si="12"/>
        <v>34.047720477952446</v>
      </c>
      <c r="V18">
        <f t="shared" si="13"/>
        <v>33.370032258064519</v>
      </c>
      <c r="W18">
        <f t="shared" si="14"/>
        <v>5.1581024063498582</v>
      </c>
      <c r="X18">
        <f t="shared" si="15"/>
        <v>65.471899603423296</v>
      </c>
      <c r="Y18">
        <f t="shared" si="16"/>
        <v>3.477541527289735</v>
      </c>
      <c r="Z18">
        <f t="shared" si="17"/>
        <v>5.3115024130259183</v>
      </c>
      <c r="AA18">
        <f t="shared" si="18"/>
        <v>1.6805608790601232</v>
      </c>
      <c r="AB18">
        <f t="shared" si="19"/>
        <v>-246.0395234908051</v>
      </c>
      <c r="AC18">
        <f t="shared" si="20"/>
        <v>81.656303338786302</v>
      </c>
      <c r="AD18">
        <f t="shared" si="21"/>
        <v>6.5097162099628223</v>
      </c>
      <c r="AE18">
        <f t="shared" si="22"/>
        <v>114.03475968768396</v>
      </c>
      <c r="AF18">
        <f t="shared" si="23"/>
        <v>55.080422641668946</v>
      </c>
      <c r="AG18">
        <f t="shared" si="24"/>
        <v>5.5791275167983017</v>
      </c>
      <c r="AH18">
        <f t="shared" si="25"/>
        <v>55.652077096519797</v>
      </c>
      <c r="AI18">
        <v>502.56239539466969</v>
      </c>
      <c r="AJ18">
        <v>433.99472727272718</v>
      </c>
      <c r="AK18">
        <v>-4.1063947042171187E-2</v>
      </c>
      <c r="AL18">
        <v>67.089601877687969</v>
      </c>
      <c r="AM18">
        <f t="shared" si="26"/>
        <v>5.6069672717752148</v>
      </c>
      <c r="AN18">
        <v>29.074142367119499</v>
      </c>
      <c r="AO18">
        <v>35.560161212121187</v>
      </c>
      <c r="AP18">
        <v>4.2178517751605713E-4</v>
      </c>
      <c r="AQ18">
        <v>78.241062488738365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50549.736491283365</v>
      </c>
      <c r="AW18" t="s">
        <v>602</v>
      </c>
      <c r="AX18">
        <v>5106.9799999999996</v>
      </c>
      <c r="AY18">
        <v>578.59411764705885</v>
      </c>
      <c r="AZ18">
        <v>2544.5100000000002</v>
      </c>
      <c r="BA18">
        <f t="shared" si="30"/>
        <v>0.77261079042838943</v>
      </c>
      <c r="BB18">
        <v>-5.4210321881325969</v>
      </c>
      <c r="BC18" t="s">
        <v>607</v>
      </c>
      <c r="BD18">
        <v>5103.83</v>
      </c>
      <c r="BE18">
        <v>756.27370588235294</v>
      </c>
      <c r="BF18">
        <v>979.06</v>
      </c>
      <c r="BG18">
        <f t="shared" si="31"/>
        <v>0.22755121659310662</v>
      </c>
      <c r="BH18">
        <v>0.5</v>
      </c>
      <c r="BI18">
        <f t="shared" si="32"/>
        <v>1428.3047998081552</v>
      </c>
      <c r="BJ18">
        <f t="shared" si="33"/>
        <v>55.080422641668946</v>
      </c>
      <c r="BK18">
        <f t="shared" si="34"/>
        <v>162.50624743105965</v>
      </c>
      <c r="BL18">
        <f t="shared" si="35"/>
        <v>4.2358924256172693E-2</v>
      </c>
      <c r="BM18">
        <f t="shared" si="36"/>
        <v>1.5989316282965298</v>
      </c>
      <c r="BN18">
        <f t="shared" si="37"/>
        <v>424.31995400750679</v>
      </c>
      <c r="BO18" t="s">
        <v>407</v>
      </c>
      <c r="BP18">
        <v>0</v>
      </c>
      <c r="BQ18">
        <f t="shared" si="38"/>
        <v>424.31995400750679</v>
      </c>
      <c r="BR18">
        <f t="shared" si="39"/>
        <v>0.56660474944589012</v>
      </c>
      <c r="BS18">
        <f t="shared" si="40"/>
        <v>0.40160485208717345</v>
      </c>
      <c r="BT18">
        <f t="shared" si="41"/>
        <v>0.73835362210050792</v>
      </c>
      <c r="BU18">
        <f t="shared" si="42"/>
        <v>0.55631778869316906</v>
      </c>
      <c r="BV18">
        <f t="shared" si="43"/>
        <v>0.79629551500767348</v>
      </c>
      <c r="BW18">
        <f t="shared" si="44"/>
        <v>0.22532708864709636</v>
      </c>
      <c r="BX18">
        <f t="shared" si="45"/>
        <v>0.77467291135290361</v>
      </c>
      <c r="DG18">
        <f t="shared" si="46"/>
        <v>1700</v>
      </c>
      <c r="DH18">
        <f t="shared" si="47"/>
        <v>1428.3047998081552</v>
      </c>
      <c r="DI18">
        <f t="shared" si="48"/>
        <v>0.84017929400479718</v>
      </c>
      <c r="DJ18">
        <f t="shared" si="49"/>
        <v>0.15994603742925878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1782926176.099999</v>
      </c>
      <c r="DQ18">
        <v>418.58893548387101</v>
      </c>
      <c r="DR18">
        <v>487.48200000000003</v>
      </c>
      <c r="DS18">
        <v>35.561564516129032</v>
      </c>
      <c r="DT18">
        <v>29.10524516129033</v>
      </c>
      <c r="DU18">
        <v>423.08219354838718</v>
      </c>
      <c r="DV18">
        <v>35.078925806451608</v>
      </c>
      <c r="DW18">
        <v>500.04264516129052</v>
      </c>
      <c r="DX18">
        <v>97.740838709677419</v>
      </c>
      <c r="DY18">
        <v>4.8490151612903223E-2</v>
      </c>
      <c r="DZ18">
        <v>33.894009677419348</v>
      </c>
      <c r="EA18">
        <v>33.370032258064519</v>
      </c>
      <c r="EB18">
        <v>999.90000000000032</v>
      </c>
      <c r="EC18">
        <v>0</v>
      </c>
      <c r="ED18">
        <v>0</v>
      </c>
      <c r="EE18">
        <v>10005.8064516129</v>
      </c>
      <c r="EF18">
        <v>0</v>
      </c>
      <c r="EG18">
        <v>610.11787096774185</v>
      </c>
      <c r="EH18">
        <v>-68.893196774193555</v>
      </c>
      <c r="EI18">
        <v>434.02348387096782</v>
      </c>
      <c r="EJ18">
        <v>502.09567741935479</v>
      </c>
      <c r="EK18">
        <v>6.456317741935484</v>
      </c>
      <c r="EL18">
        <v>487.48200000000003</v>
      </c>
      <c r="EM18">
        <v>29.10524516129033</v>
      </c>
      <c r="EN18">
        <v>3.4758167741935488</v>
      </c>
      <c r="EO18">
        <v>2.8447709677419351</v>
      </c>
      <c r="EP18">
        <v>26.502077419354841</v>
      </c>
      <c r="EQ18">
        <v>23.14618387096775</v>
      </c>
      <c r="ER18">
        <v>1700</v>
      </c>
      <c r="ES18">
        <v>0.99400409677419366</v>
      </c>
      <c r="ET18">
        <v>5.9961074193548387E-3</v>
      </c>
      <c r="EU18">
        <v>0</v>
      </c>
      <c r="EV18">
        <v>755.70499999999981</v>
      </c>
      <c r="EW18">
        <v>5.0010700000000003</v>
      </c>
      <c r="EX18">
        <v>16328.18064516129</v>
      </c>
      <c r="EY18">
        <v>15492.54193548387</v>
      </c>
      <c r="EZ18">
        <v>41.114838709677407</v>
      </c>
      <c r="FA18">
        <v>42.505999999999993</v>
      </c>
      <c r="FB18">
        <v>41.811999999999983</v>
      </c>
      <c r="FC18">
        <v>41.792129032258053</v>
      </c>
      <c r="FD18">
        <v>43.102645161290319</v>
      </c>
      <c r="FE18">
        <v>1684.84</v>
      </c>
      <c r="FF18">
        <v>10.160000000000011</v>
      </c>
      <c r="FG18">
        <v>0</v>
      </c>
      <c r="FH18">
        <v>199.60000014305109</v>
      </c>
      <c r="FI18">
        <v>0</v>
      </c>
      <c r="FJ18">
        <v>756.27370588235294</v>
      </c>
      <c r="FK18">
        <v>12.624264661441361</v>
      </c>
      <c r="FL18">
        <v>492.8186259044208</v>
      </c>
      <c r="FM18">
        <v>16335.705882352941</v>
      </c>
      <c r="FN18">
        <v>10</v>
      </c>
      <c r="FO18">
        <v>1782926063.5999999</v>
      </c>
      <c r="FP18" t="s">
        <v>608</v>
      </c>
      <c r="FQ18">
        <v>1782926061.5999999</v>
      </c>
      <c r="FR18">
        <v>1782926063.5999999</v>
      </c>
      <c r="FS18">
        <v>33</v>
      </c>
      <c r="FT18">
        <v>4.8000000000000001E-2</v>
      </c>
      <c r="FU18">
        <v>6.0000000000000001E-3</v>
      </c>
      <c r="FV18">
        <v>-4.7080000000000002</v>
      </c>
      <c r="FW18">
        <v>0.32800000000000001</v>
      </c>
      <c r="FX18">
        <v>474</v>
      </c>
      <c r="FY18">
        <v>30</v>
      </c>
      <c r="FZ18">
        <v>0.18</v>
      </c>
      <c r="GA18">
        <v>7.0000000000000007E-2</v>
      </c>
      <c r="GB18">
        <v>-68.644056097560977</v>
      </c>
      <c r="GC18">
        <v>-5.8667038327527044</v>
      </c>
      <c r="GD18">
        <v>0.60537508350700431</v>
      </c>
      <c r="GE18">
        <v>0</v>
      </c>
      <c r="GF18">
        <v>755.22829411764701</v>
      </c>
      <c r="GG18">
        <v>12.78618792803862</v>
      </c>
      <c r="GH18">
        <v>1.3091945554741169</v>
      </c>
      <c r="GI18">
        <v>0</v>
      </c>
      <c r="GJ18">
        <v>6.4374975609756087</v>
      </c>
      <c r="GK18">
        <v>0.55587114982577224</v>
      </c>
      <c r="GL18">
        <v>5.8928030299907133E-2</v>
      </c>
      <c r="GM18">
        <v>0</v>
      </c>
      <c r="GN18">
        <v>0</v>
      </c>
      <c r="GO18">
        <v>3</v>
      </c>
      <c r="GP18" t="s">
        <v>609</v>
      </c>
      <c r="GQ18">
        <v>3.13273</v>
      </c>
      <c r="GR18">
        <v>2.7254999999999998</v>
      </c>
      <c r="GS18">
        <v>9.10691E-2</v>
      </c>
      <c r="GT18">
        <v>0.102119</v>
      </c>
      <c r="GU18">
        <v>0.145597</v>
      </c>
      <c r="GV18">
        <v>0.12769900000000001</v>
      </c>
      <c r="GW18">
        <v>22773.599999999999</v>
      </c>
      <c r="GX18">
        <v>30300.6</v>
      </c>
      <c r="GY18">
        <v>27179.200000000001</v>
      </c>
      <c r="GZ18">
        <v>34703</v>
      </c>
      <c r="HA18">
        <v>34010.6</v>
      </c>
      <c r="HB18">
        <v>38669.699999999997</v>
      </c>
      <c r="HC18">
        <v>40136.400000000001</v>
      </c>
      <c r="HD18">
        <v>44411.8</v>
      </c>
      <c r="HE18">
        <v>1.9670000000000001</v>
      </c>
      <c r="HF18">
        <v>1.7569999999999999</v>
      </c>
      <c r="HG18">
        <v>4.06802E-2</v>
      </c>
      <c r="HH18">
        <v>0</v>
      </c>
      <c r="HI18">
        <v>32.678100000000001</v>
      </c>
      <c r="HJ18">
        <v>999.9</v>
      </c>
      <c r="HK18">
        <v>56.3</v>
      </c>
      <c r="HL18">
        <v>39.799999999999997</v>
      </c>
      <c r="HM18">
        <v>42.25</v>
      </c>
      <c r="HN18">
        <v>59.269100000000002</v>
      </c>
      <c r="HO18">
        <v>7.4439099999999998</v>
      </c>
      <c r="HP18">
        <v>1</v>
      </c>
      <c r="HQ18">
        <v>0.54654499999999995</v>
      </c>
      <c r="HR18">
        <v>0</v>
      </c>
      <c r="HS18">
        <v>20.282</v>
      </c>
      <c r="HT18">
        <v>5.2065099999999997</v>
      </c>
      <c r="HU18">
        <v>11.9069</v>
      </c>
      <c r="HV18">
        <v>4.9832000000000001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1.86307</v>
      </c>
      <c r="ID18">
        <v>1.86249</v>
      </c>
      <c r="IE18">
        <v>1.8620300000000001</v>
      </c>
      <c r="IF18">
        <v>1.8620300000000001</v>
      </c>
      <c r="IG18">
        <v>1.8626400000000001</v>
      </c>
      <c r="IH18">
        <v>1.8635600000000001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-4.4939999999999998</v>
      </c>
      <c r="IX18">
        <v>0.48259999999999997</v>
      </c>
      <c r="IY18">
        <v>-2.5644953454789148</v>
      </c>
      <c r="IZ18">
        <v>-5.1825110452525594E-3</v>
      </c>
      <c r="JA18">
        <v>1.5265819664382561E-6</v>
      </c>
      <c r="JB18">
        <v>-1.241475652429701E-10</v>
      </c>
      <c r="JC18">
        <v>-0.23825177500427269</v>
      </c>
      <c r="JD18">
        <v>2.7492919904454862E-4</v>
      </c>
      <c r="JE18">
        <v>8.6739513355948885E-4</v>
      </c>
      <c r="JF18">
        <v>-8.2500691715147318E-6</v>
      </c>
      <c r="JG18">
        <v>21</v>
      </c>
      <c r="JH18">
        <v>1720</v>
      </c>
      <c r="JI18">
        <v>2</v>
      </c>
      <c r="JJ18">
        <v>37</v>
      </c>
      <c r="JK18">
        <v>2</v>
      </c>
      <c r="JL18">
        <v>2</v>
      </c>
      <c r="JM18">
        <v>1.2377899999999999</v>
      </c>
      <c r="JN18">
        <v>2.5463900000000002</v>
      </c>
      <c r="JO18">
        <v>1.50024</v>
      </c>
      <c r="JP18">
        <v>2.2692899999999998</v>
      </c>
      <c r="JQ18">
        <v>1.4477500000000001</v>
      </c>
      <c r="JR18">
        <v>2.47681</v>
      </c>
      <c r="JS18">
        <v>42.536999999999999</v>
      </c>
      <c r="JT18">
        <v>14.604900000000001</v>
      </c>
      <c r="JU18">
        <v>18</v>
      </c>
      <c r="JV18">
        <v>545.92100000000005</v>
      </c>
      <c r="JW18">
        <v>423.33600000000001</v>
      </c>
      <c r="JX18">
        <v>33.160699999999999</v>
      </c>
      <c r="JY18">
        <v>34.049700000000001</v>
      </c>
      <c r="JZ18">
        <v>30.0001</v>
      </c>
      <c r="KA18">
        <v>34.032200000000003</v>
      </c>
      <c r="KB18">
        <v>33.996200000000002</v>
      </c>
      <c r="KC18">
        <v>24.757100000000001</v>
      </c>
      <c r="KD18">
        <v>40.599800000000002</v>
      </c>
      <c r="KE18">
        <v>0</v>
      </c>
      <c r="KF18">
        <v>-999.9</v>
      </c>
      <c r="KG18">
        <v>488.81299999999999</v>
      </c>
      <c r="KH18">
        <v>28.893799999999999</v>
      </c>
      <c r="KI18">
        <v>100.31100000000001</v>
      </c>
      <c r="KJ18">
        <v>99.543199999999999</v>
      </c>
    </row>
    <row r="19" spans="1:296" x14ac:dyDescent="0.3">
      <c r="A19">
        <v>3</v>
      </c>
      <c r="B19">
        <v>1782926306.5999999</v>
      </c>
      <c r="C19">
        <v>323</v>
      </c>
      <c r="D19" t="s">
        <v>610</v>
      </c>
      <c r="E19" t="s">
        <v>611</v>
      </c>
      <c r="F19">
        <v>15</v>
      </c>
      <c r="H19">
        <v>1782926298.849999</v>
      </c>
      <c r="I19">
        <f t="shared" si="0"/>
        <v>6.0639766108589359E-3</v>
      </c>
      <c r="J19">
        <f t="shared" si="1"/>
        <v>6.0639766108589361</v>
      </c>
      <c r="K19">
        <f t="shared" si="2"/>
        <v>58.459613260799244</v>
      </c>
      <c r="L19">
        <f t="shared" si="3"/>
        <v>419.49093333333332</v>
      </c>
      <c r="M19">
        <f t="shared" si="4"/>
        <v>144.44475907439281</v>
      </c>
      <c r="N19">
        <f t="shared" si="5"/>
        <v>14.125058987573409</v>
      </c>
      <c r="O19">
        <f t="shared" si="6"/>
        <v>41.021454956589018</v>
      </c>
      <c r="P19">
        <f t="shared" si="7"/>
        <v>0.37133101851552752</v>
      </c>
      <c r="Q19">
        <f t="shared" si="8"/>
        <v>2.8873905360407308</v>
      </c>
      <c r="R19">
        <f t="shared" si="9"/>
        <v>0.34669469417522814</v>
      </c>
      <c r="S19">
        <f t="shared" si="10"/>
        <v>0.21876130379674935</v>
      </c>
      <c r="T19">
        <f t="shared" si="11"/>
        <v>255.91293842983032</v>
      </c>
      <c r="U19">
        <f t="shared" si="12"/>
        <v>33.660775048040364</v>
      </c>
      <c r="V19">
        <f t="shared" si="13"/>
        <v>33.093956666666671</v>
      </c>
      <c r="W19">
        <f t="shared" si="14"/>
        <v>5.0788396573908141</v>
      </c>
      <c r="X19">
        <f t="shared" si="15"/>
        <v>65.42021167156129</v>
      </c>
      <c r="Y19">
        <f t="shared" si="16"/>
        <v>3.4429619382942822</v>
      </c>
      <c r="Z19">
        <f t="shared" si="17"/>
        <v>5.2628413304125186</v>
      </c>
      <c r="AA19">
        <f t="shared" si="18"/>
        <v>1.6358777190965319</v>
      </c>
      <c r="AB19">
        <f t="shared" si="19"/>
        <v>-267.42136853887905</v>
      </c>
      <c r="AC19">
        <f t="shared" si="20"/>
        <v>98.890860297285087</v>
      </c>
      <c r="AD19">
        <f t="shared" si="21"/>
        <v>7.8754956243245244</v>
      </c>
      <c r="AE19">
        <f t="shared" si="22"/>
        <v>95.25792581256087</v>
      </c>
      <c r="AF19">
        <f t="shared" si="23"/>
        <v>58.459613260799244</v>
      </c>
      <c r="AG19">
        <f t="shared" si="24"/>
        <v>6.0639766108589361</v>
      </c>
      <c r="AH19">
        <f t="shared" si="25"/>
        <v>58.582312968735337</v>
      </c>
      <c r="AI19">
        <v>506.88222206861349</v>
      </c>
      <c r="AJ19">
        <v>434.7434121212122</v>
      </c>
      <c r="AK19">
        <v>-3.9010205863293262E-2</v>
      </c>
      <c r="AL19">
        <v>67.035123434949043</v>
      </c>
      <c r="AM19">
        <f t="shared" si="26"/>
        <v>6.0768186099252191</v>
      </c>
      <c r="AN19">
        <v>28.184900576102521</v>
      </c>
      <c r="AO19">
        <v>35.218049090909084</v>
      </c>
      <c r="AP19">
        <v>3.930627604800277E-4</v>
      </c>
      <c r="AQ19">
        <v>78.067206854961867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50486.819516013667</v>
      </c>
      <c r="AW19" t="s">
        <v>602</v>
      </c>
      <c r="AX19">
        <v>5106.9799999999996</v>
      </c>
      <c r="AY19">
        <v>578.59411764705885</v>
      </c>
      <c r="AZ19">
        <v>2544.5100000000002</v>
      </c>
      <c r="BA19">
        <f t="shared" si="30"/>
        <v>0.77261079042838943</v>
      </c>
      <c r="BB19">
        <v>-5.4210321881325969</v>
      </c>
      <c r="BC19" t="s">
        <v>612</v>
      </c>
      <c r="BD19">
        <v>5102.8500000000004</v>
      </c>
      <c r="BE19">
        <v>772.74300000000005</v>
      </c>
      <c r="BF19">
        <v>1052.27</v>
      </c>
      <c r="BG19">
        <f t="shared" si="31"/>
        <v>0.26564189799196014</v>
      </c>
      <c r="BH19">
        <v>0.5</v>
      </c>
      <c r="BI19">
        <f t="shared" si="32"/>
        <v>1344.2837198082027</v>
      </c>
      <c r="BJ19">
        <f t="shared" si="33"/>
        <v>58.459613260799244</v>
      </c>
      <c r="BK19">
        <f t="shared" si="34"/>
        <v>178.54903938477165</v>
      </c>
      <c r="BL19">
        <f t="shared" si="35"/>
        <v>4.752021058325849E-2</v>
      </c>
      <c r="BM19">
        <f t="shared" si="36"/>
        <v>1.4181151225445943</v>
      </c>
      <c r="BN19">
        <f t="shared" si="37"/>
        <v>437.51216218169532</v>
      </c>
      <c r="BO19" t="s">
        <v>407</v>
      </c>
      <c r="BP19">
        <v>0</v>
      </c>
      <c r="BQ19">
        <f t="shared" si="38"/>
        <v>437.51216218169532</v>
      </c>
      <c r="BR19">
        <f t="shared" si="39"/>
        <v>0.5842206257123217</v>
      </c>
      <c r="BS19">
        <f t="shared" si="40"/>
        <v>0.45469448749446573</v>
      </c>
      <c r="BT19">
        <f t="shared" si="41"/>
        <v>0.7082304372676258</v>
      </c>
      <c r="BU19">
        <f t="shared" si="42"/>
        <v>0.5901229309195043</v>
      </c>
      <c r="BV19">
        <f t="shared" si="43"/>
        <v>0.75905587486987802</v>
      </c>
      <c r="BW19">
        <f t="shared" si="44"/>
        <v>0.25743923705009492</v>
      </c>
      <c r="BX19">
        <f t="shared" si="45"/>
        <v>0.74256076294990514</v>
      </c>
      <c r="DG19">
        <f t="shared" si="46"/>
        <v>1599.996333333334</v>
      </c>
      <c r="DH19">
        <f t="shared" si="47"/>
        <v>1344.2837198082027</v>
      </c>
      <c r="DI19">
        <f t="shared" si="48"/>
        <v>0.84017925029090834</v>
      </c>
      <c r="DJ19">
        <f t="shared" si="49"/>
        <v>0.15994595306145298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1782926298.849999</v>
      </c>
      <c r="DQ19">
        <v>419.49093333333332</v>
      </c>
      <c r="DR19">
        <v>492.69639999999998</v>
      </c>
      <c r="DS19">
        <v>35.208193333333327</v>
      </c>
      <c r="DT19">
        <v>28.18748999999999</v>
      </c>
      <c r="DU19">
        <v>423.93576666666661</v>
      </c>
      <c r="DV19">
        <v>34.735033333333327</v>
      </c>
      <c r="DW19">
        <v>499.99049999999988</v>
      </c>
      <c r="DX19">
        <v>97.73987000000001</v>
      </c>
      <c r="DY19">
        <v>4.8786909999999989E-2</v>
      </c>
      <c r="DZ19">
        <v>33.729236666666672</v>
      </c>
      <c r="EA19">
        <v>33.093956666666671</v>
      </c>
      <c r="EB19">
        <v>999.9000000000002</v>
      </c>
      <c r="EC19">
        <v>0</v>
      </c>
      <c r="ED19">
        <v>0</v>
      </c>
      <c r="EE19">
        <v>9987.3333333333339</v>
      </c>
      <c r="EF19">
        <v>0</v>
      </c>
      <c r="EG19">
        <v>697.49503333333325</v>
      </c>
      <c r="EH19">
        <v>-73.205606666666668</v>
      </c>
      <c r="EI19">
        <v>434.79933333333338</v>
      </c>
      <c r="EJ19">
        <v>506.98719999999997</v>
      </c>
      <c r="EK19">
        <v>7.0206996666666663</v>
      </c>
      <c r="EL19">
        <v>492.69639999999998</v>
      </c>
      <c r="EM19">
        <v>28.18748999999999</v>
      </c>
      <c r="EN19">
        <v>3.4412436666666668</v>
      </c>
      <c r="EO19">
        <v>2.7550419999999991</v>
      </c>
      <c r="EP19">
        <v>26.332619999999999</v>
      </c>
      <c r="EQ19">
        <v>22.617166666666659</v>
      </c>
      <c r="ER19">
        <v>1599.996333333334</v>
      </c>
      <c r="ES19">
        <v>0.99400593333333309</v>
      </c>
      <c r="ET19">
        <v>5.9944483333333352E-3</v>
      </c>
      <c r="EU19">
        <v>0</v>
      </c>
      <c r="EV19">
        <v>772.6699000000001</v>
      </c>
      <c r="EW19">
        <v>5.0010700000000003</v>
      </c>
      <c r="EX19">
        <v>15864.51666666667</v>
      </c>
      <c r="EY19">
        <v>14578.49</v>
      </c>
      <c r="EZ19">
        <v>41.120800000000003</v>
      </c>
      <c r="FA19">
        <v>42.561999999999983</v>
      </c>
      <c r="FB19">
        <v>41.936999999999983</v>
      </c>
      <c r="FC19">
        <v>42.049599999999977</v>
      </c>
      <c r="FD19">
        <v>42.936999999999983</v>
      </c>
      <c r="FE19">
        <v>1585.4363333333331</v>
      </c>
      <c r="FF19">
        <v>9.56</v>
      </c>
      <c r="FG19">
        <v>0</v>
      </c>
      <c r="FH19">
        <v>122</v>
      </c>
      <c r="FI19">
        <v>0</v>
      </c>
      <c r="FJ19">
        <v>772.74300000000005</v>
      </c>
      <c r="FK19">
        <v>4.2522058699273044</v>
      </c>
      <c r="FL19">
        <v>-25.098039437317851</v>
      </c>
      <c r="FM19">
        <v>15865.411764705879</v>
      </c>
      <c r="FN19">
        <v>10</v>
      </c>
      <c r="FO19">
        <v>1782926243.5999999</v>
      </c>
      <c r="FP19" t="s">
        <v>613</v>
      </c>
      <c r="FQ19">
        <v>1782926237.0999999</v>
      </c>
      <c r="FR19">
        <v>1782926243.5999999</v>
      </c>
      <c r="FS19">
        <v>34</v>
      </c>
      <c r="FT19">
        <v>5.1999999999999998E-2</v>
      </c>
      <c r="FU19">
        <v>1E-3</v>
      </c>
      <c r="FV19">
        <v>-4.7190000000000003</v>
      </c>
      <c r="FW19">
        <v>0.28100000000000003</v>
      </c>
      <c r="FX19">
        <v>490</v>
      </c>
      <c r="FY19">
        <v>29</v>
      </c>
      <c r="FZ19">
        <v>0.11</v>
      </c>
      <c r="GA19">
        <v>0.05</v>
      </c>
      <c r="GB19">
        <v>-73.180302499999996</v>
      </c>
      <c r="GC19">
        <v>0.13470056285174359</v>
      </c>
      <c r="GD19">
        <v>0.1423616986543435</v>
      </c>
      <c r="GE19">
        <v>1</v>
      </c>
      <c r="GF19">
        <v>772.50426470588241</v>
      </c>
      <c r="GG19">
        <v>2.187089386120729</v>
      </c>
      <c r="GH19">
        <v>0.31715808906632909</v>
      </c>
      <c r="GI19">
        <v>1</v>
      </c>
      <c r="GJ19">
        <v>7.0201747500000007</v>
      </c>
      <c r="GK19">
        <v>1.41760975609623E-2</v>
      </c>
      <c r="GL19">
        <v>7.4645652879119931E-3</v>
      </c>
      <c r="GM19">
        <v>1</v>
      </c>
      <c r="GN19">
        <v>3</v>
      </c>
      <c r="GO19">
        <v>3</v>
      </c>
      <c r="GP19" t="s">
        <v>599</v>
      </c>
      <c r="GQ19">
        <v>3.13327</v>
      </c>
      <c r="GR19">
        <v>2.72594</v>
      </c>
      <c r="GS19">
        <v>9.1208200000000003E-2</v>
      </c>
      <c r="GT19">
        <v>0.102826</v>
      </c>
      <c r="GU19">
        <v>0.14465900000000001</v>
      </c>
      <c r="GV19">
        <v>0.125474</v>
      </c>
      <c r="GW19">
        <v>22771.200000000001</v>
      </c>
      <c r="GX19">
        <v>30275.200000000001</v>
      </c>
      <c r="GY19">
        <v>27180.400000000001</v>
      </c>
      <c r="GZ19">
        <v>34701.1</v>
      </c>
      <c r="HA19">
        <v>34049</v>
      </c>
      <c r="HB19">
        <v>38766.800000000003</v>
      </c>
      <c r="HC19">
        <v>40137.800000000003</v>
      </c>
      <c r="HD19">
        <v>44409.9</v>
      </c>
      <c r="HE19">
        <v>1.9681999999999999</v>
      </c>
      <c r="HF19">
        <v>1.7558</v>
      </c>
      <c r="HG19">
        <v>4.0382099999999997E-2</v>
      </c>
      <c r="HH19">
        <v>0</v>
      </c>
      <c r="HI19">
        <v>32.458199999999998</v>
      </c>
      <c r="HJ19">
        <v>999.9</v>
      </c>
      <c r="HK19">
        <v>56.4</v>
      </c>
      <c r="HL19">
        <v>39.799999999999997</v>
      </c>
      <c r="HM19">
        <v>42.3249</v>
      </c>
      <c r="HN19">
        <v>59.699100000000001</v>
      </c>
      <c r="HO19">
        <v>7.4599399999999996</v>
      </c>
      <c r="HP19">
        <v>1</v>
      </c>
      <c r="HQ19">
        <v>0.54508100000000004</v>
      </c>
      <c r="HR19">
        <v>0</v>
      </c>
      <c r="HS19">
        <v>20.283200000000001</v>
      </c>
      <c r="HT19">
        <v>5.2100999999999997</v>
      </c>
      <c r="HU19">
        <v>11.908099999999999</v>
      </c>
      <c r="HV19">
        <v>4.9847999999999999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1.8630100000000001</v>
      </c>
      <c r="ID19">
        <v>1.86249</v>
      </c>
      <c r="IE19">
        <v>1.8620300000000001</v>
      </c>
      <c r="IF19">
        <v>1.8620300000000001</v>
      </c>
      <c r="IG19">
        <v>1.8626400000000001</v>
      </c>
      <c r="IH19">
        <v>1.8635600000000001</v>
      </c>
      <c r="II19">
        <v>1.86154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-4.4450000000000003</v>
      </c>
      <c r="IX19">
        <v>0.47349999999999998</v>
      </c>
      <c r="IY19">
        <v>-2.5128273868324431</v>
      </c>
      <c r="IZ19">
        <v>-5.1825110452525594E-3</v>
      </c>
      <c r="JA19">
        <v>1.5265819664382561E-6</v>
      </c>
      <c r="JB19">
        <v>-1.241475652429701E-10</v>
      </c>
      <c r="JC19">
        <v>-0.23716849310061841</v>
      </c>
      <c r="JD19">
        <v>2.7492919904454862E-4</v>
      </c>
      <c r="JE19">
        <v>8.6739513355948885E-4</v>
      </c>
      <c r="JF19">
        <v>-8.2500691715147318E-6</v>
      </c>
      <c r="JG19">
        <v>21</v>
      </c>
      <c r="JH19">
        <v>1720</v>
      </c>
      <c r="JI19">
        <v>2</v>
      </c>
      <c r="JJ19">
        <v>37</v>
      </c>
      <c r="JK19">
        <v>1.2</v>
      </c>
      <c r="JL19">
        <v>1.1000000000000001</v>
      </c>
      <c r="JM19">
        <v>1.24512</v>
      </c>
      <c r="JN19">
        <v>2.5537100000000001</v>
      </c>
      <c r="JO19">
        <v>1.50024</v>
      </c>
      <c r="JP19">
        <v>2.2692899999999998</v>
      </c>
      <c r="JQ19">
        <v>1.4477500000000001</v>
      </c>
      <c r="JR19">
        <v>2.4157700000000002</v>
      </c>
      <c r="JS19">
        <v>42.483699999999999</v>
      </c>
      <c r="JT19">
        <v>14.5786</v>
      </c>
      <c r="JU19">
        <v>18</v>
      </c>
      <c r="JV19">
        <v>546.65099999999995</v>
      </c>
      <c r="JW19">
        <v>422.52199999999999</v>
      </c>
      <c r="JX19">
        <v>33.051699999999997</v>
      </c>
      <c r="JY19">
        <v>34.031300000000002</v>
      </c>
      <c r="JZ19">
        <v>29.9999</v>
      </c>
      <c r="KA19">
        <v>34.023099999999999</v>
      </c>
      <c r="KB19">
        <v>33.984000000000002</v>
      </c>
      <c r="KC19">
        <v>24.9147</v>
      </c>
      <c r="KD19">
        <v>41.532699999999998</v>
      </c>
      <c r="KE19">
        <v>0</v>
      </c>
      <c r="KF19">
        <v>-999.9</v>
      </c>
      <c r="KG19">
        <v>493.04899999999998</v>
      </c>
      <c r="KH19">
        <v>28.088799999999999</v>
      </c>
      <c r="KI19">
        <v>100.31399999999999</v>
      </c>
      <c r="KJ19">
        <v>99.538499999999999</v>
      </c>
    </row>
    <row r="20" spans="1:296" x14ac:dyDescent="0.3">
      <c r="A20">
        <v>4</v>
      </c>
      <c r="B20">
        <v>1782926450.5</v>
      </c>
      <c r="C20">
        <v>466.90000009536737</v>
      </c>
      <c r="D20" t="s">
        <v>614</v>
      </c>
      <c r="E20" t="s">
        <v>615</v>
      </c>
      <c r="F20">
        <v>15</v>
      </c>
      <c r="H20">
        <v>1782926442.75</v>
      </c>
      <c r="I20">
        <f t="shared" si="0"/>
        <v>6.3275211480590468E-3</v>
      </c>
      <c r="J20">
        <f t="shared" si="1"/>
        <v>6.3275211480590468</v>
      </c>
      <c r="K20">
        <f t="shared" si="2"/>
        <v>57.920786718347557</v>
      </c>
      <c r="L20">
        <f t="shared" si="3"/>
        <v>419.73043333333328</v>
      </c>
      <c r="M20">
        <f t="shared" si="4"/>
        <v>159.49306725353884</v>
      </c>
      <c r="N20">
        <f t="shared" si="5"/>
        <v>15.596450866375143</v>
      </c>
      <c r="O20">
        <f t="shared" si="6"/>
        <v>41.044449099466611</v>
      </c>
      <c r="P20">
        <f t="shared" si="7"/>
        <v>0.39091644169983975</v>
      </c>
      <c r="Q20">
        <f t="shared" si="8"/>
        <v>2.8880236558805992</v>
      </c>
      <c r="R20">
        <f t="shared" si="9"/>
        <v>0.36372032933978699</v>
      </c>
      <c r="S20">
        <f t="shared" si="10"/>
        <v>0.22961080529355654</v>
      </c>
      <c r="T20">
        <f t="shared" si="11"/>
        <v>224.00578276721347</v>
      </c>
      <c r="U20">
        <f t="shared" si="12"/>
        <v>33.331005607059225</v>
      </c>
      <c r="V20">
        <f t="shared" si="13"/>
        <v>32.975323333333328</v>
      </c>
      <c r="W20">
        <f t="shared" si="14"/>
        <v>5.0451062826520019</v>
      </c>
      <c r="X20">
        <f t="shared" si="15"/>
        <v>65.194920919900966</v>
      </c>
      <c r="Y20">
        <f t="shared" si="16"/>
        <v>3.4175382306027986</v>
      </c>
      <c r="Z20">
        <f t="shared" si="17"/>
        <v>5.2420314073263699</v>
      </c>
      <c r="AA20">
        <f t="shared" si="18"/>
        <v>1.6275680520492033</v>
      </c>
      <c r="AB20">
        <f t="shared" si="19"/>
        <v>-279.04368262940397</v>
      </c>
      <c r="AC20">
        <f t="shared" si="20"/>
        <v>106.34925366473485</v>
      </c>
      <c r="AD20">
        <f t="shared" si="21"/>
        <v>8.4597608981938244</v>
      </c>
      <c r="AE20">
        <f t="shared" si="22"/>
        <v>59.771114700738167</v>
      </c>
      <c r="AF20">
        <f t="shared" si="23"/>
        <v>57.920786718347557</v>
      </c>
      <c r="AG20">
        <f t="shared" si="24"/>
        <v>6.3275211480590468</v>
      </c>
      <c r="AH20">
        <f t="shared" si="25"/>
        <v>58.019860039523273</v>
      </c>
      <c r="AI20">
        <v>506.46996660426367</v>
      </c>
      <c r="AJ20">
        <v>434.86476363636348</v>
      </c>
      <c r="AK20">
        <v>-1.032622789349819E-4</v>
      </c>
      <c r="AL20">
        <v>67.087413618887112</v>
      </c>
      <c r="AM20">
        <f t="shared" si="26"/>
        <v>6.2671682127318658</v>
      </c>
      <c r="AN20">
        <v>27.606643374923799</v>
      </c>
      <c r="AO20">
        <v>34.902378181818158</v>
      </c>
      <c r="AP20">
        <v>-6.2027825119827119E-3</v>
      </c>
      <c r="AQ20">
        <v>78.235760985891176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50516.074336152094</v>
      </c>
      <c r="AW20" t="s">
        <v>602</v>
      </c>
      <c r="AX20">
        <v>5106.9799999999996</v>
      </c>
      <c r="AY20">
        <v>578.59411764705885</v>
      </c>
      <c r="AZ20">
        <v>2544.5100000000002</v>
      </c>
      <c r="BA20">
        <f t="shared" si="30"/>
        <v>0.77261079042838943</v>
      </c>
      <c r="BB20">
        <v>-5.4210321881325969</v>
      </c>
      <c r="BC20" t="s">
        <v>616</v>
      </c>
      <c r="BD20">
        <v>5103.8100000000004</v>
      </c>
      <c r="BE20">
        <v>788.19005882352951</v>
      </c>
      <c r="BF20">
        <v>1161.31</v>
      </c>
      <c r="BG20">
        <f t="shared" si="31"/>
        <v>0.32129228300494306</v>
      </c>
      <c r="BH20">
        <v>0.5</v>
      </c>
      <c r="BI20">
        <f t="shared" si="32"/>
        <v>1176.2908797757584</v>
      </c>
      <c r="BJ20">
        <f t="shared" si="33"/>
        <v>57.920786718347557</v>
      </c>
      <c r="BK20">
        <f t="shared" si="34"/>
        <v>188.96659112052322</v>
      </c>
      <c r="BL20">
        <f t="shared" si="35"/>
        <v>5.3848771588329659E-2</v>
      </c>
      <c r="BM20">
        <f t="shared" si="36"/>
        <v>1.1910687068913557</v>
      </c>
      <c r="BN20">
        <f t="shared" si="37"/>
        <v>455.28615763669768</v>
      </c>
      <c r="BO20" t="s">
        <v>407</v>
      </c>
      <c r="BP20">
        <v>0</v>
      </c>
      <c r="BQ20">
        <f t="shared" si="38"/>
        <v>455.28615763669768</v>
      </c>
      <c r="BR20">
        <f t="shared" si="39"/>
        <v>0.60795467391420233</v>
      </c>
      <c r="BS20">
        <f t="shared" si="40"/>
        <v>0.52848065290190616</v>
      </c>
      <c r="BT20">
        <f t="shared" si="41"/>
        <v>0.66206405075070496</v>
      </c>
      <c r="BU20">
        <f t="shared" si="42"/>
        <v>0.64031194699868854</v>
      </c>
      <c r="BV20">
        <f t="shared" si="43"/>
        <v>0.70359063295449487</v>
      </c>
      <c r="BW20">
        <f t="shared" si="44"/>
        <v>0.30526891725097632</v>
      </c>
      <c r="BX20">
        <f t="shared" si="45"/>
        <v>0.69473108274902362</v>
      </c>
      <c r="DG20">
        <f t="shared" si="46"/>
        <v>1399.9970000000001</v>
      </c>
      <c r="DH20">
        <f t="shared" si="47"/>
        <v>1176.2908797757584</v>
      </c>
      <c r="DI20">
        <f t="shared" si="48"/>
        <v>0.84020957171748101</v>
      </c>
      <c r="DJ20">
        <f t="shared" si="49"/>
        <v>0.16000447341473836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1782926442.75</v>
      </c>
      <c r="DQ20">
        <v>419.73043333333328</v>
      </c>
      <c r="DR20">
        <v>492.42669999999998</v>
      </c>
      <c r="DS20">
        <v>34.948569999999997</v>
      </c>
      <c r="DT20">
        <v>27.620476666666669</v>
      </c>
      <c r="DU20">
        <v>424.18773333333343</v>
      </c>
      <c r="DV20">
        <v>34.47594333333334</v>
      </c>
      <c r="DW20">
        <v>499.97043333333329</v>
      </c>
      <c r="DX20">
        <v>97.737920000000031</v>
      </c>
      <c r="DY20">
        <v>4.9721400000000013E-2</v>
      </c>
      <c r="DZ20">
        <v>33.658366666666673</v>
      </c>
      <c r="EA20">
        <v>32.975323333333328</v>
      </c>
      <c r="EB20">
        <v>999.9000000000002</v>
      </c>
      <c r="EC20">
        <v>0</v>
      </c>
      <c r="ED20">
        <v>0</v>
      </c>
      <c r="EE20">
        <v>9991.1666666666661</v>
      </c>
      <c r="EF20">
        <v>0</v>
      </c>
      <c r="EG20">
        <v>624.36299999999994</v>
      </c>
      <c r="EH20">
        <v>-72.69619666666668</v>
      </c>
      <c r="EI20">
        <v>434.93073333333331</v>
      </c>
      <c r="EJ20">
        <v>506.41419999999999</v>
      </c>
      <c r="EK20">
        <v>7.3281066666666677</v>
      </c>
      <c r="EL20">
        <v>492.42669999999998</v>
      </c>
      <c r="EM20">
        <v>27.620476666666669</v>
      </c>
      <c r="EN20">
        <v>3.415801333333333</v>
      </c>
      <c r="EO20">
        <v>2.6995673333333339</v>
      </c>
      <c r="EP20">
        <v>26.206943333333331</v>
      </c>
      <c r="EQ20">
        <v>22.282473333333339</v>
      </c>
      <c r="ER20">
        <v>1399.9970000000001</v>
      </c>
      <c r="ES20">
        <v>0.99299159999999997</v>
      </c>
      <c r="ET20">
        <v>7.0082806666666676E-3</v>
      </c>
      <c r="EU20">
        <v>0</v>
      </c>
      <c r="EV20">
        <v>788.08956666666666</v>
      </c>
      <c r="EW20">
        <v>5.0010700000000003</v>
      </c>
      <c r="EX20">
        <v>14393.773333333331</v>
      </c>
      <c r="EY20">
        <v>12745.45</v>
      </c>
      <c r="EZ20">
        <v>40.974799999999981</v>
      </c>
      <c r="FA20">
        <v>42.625</v>
      </c>
      <c r="FB20">
        <v>41.936999999999983</v>
      </c>
      <c r="FC20">
        <v>42.016333333333328</v>
      </c>
      <c r="FD20">
        <v>43.00806666666665</v>
      </c>
      <c r="FE20">
        <v>1385.2170000000001</v>
      </c>
      <c r="FF20">
        <v>9.7799999999999958</v>
      </c>
      <c r="FG20">
        <v>0</v>
      </c>
      <c r="FH20">
        <v>143.20000004768369</v>
      </c>
      <c r="FI20">
        <v>0</v>
      </c>
      <c r="FJ20">
        <v>788.19005882352951</v>
      </c>
      <c r="FK20">
        <v>2.4460784188637339</v>
      </c>
      <c r="FL20">
        <v>36.617647953267273</v>
      </c>
      <c r="FM20">
        <v>14395.970588235299</v>
      </c>
      <c r="FN20">
        <v>10</v>
      </c>
      <c r="FO20">
        <v>1782926385.5</v>
      </c>
      <c r="FP20" t="s">
        <v>617</v>
      </c>
      <c r="FQ20">
        <v>1782926374.5</v>
      </c>
      <c r="FR20">
        <v>1782926385.5</v>
      </c>
      <c r="FS20">
        <v>35</v>
      </c>
      <c r="FT20">
        <v>-1.0999999999999999E-2</v>
      </c>
      <c r="FU20">
        <v>7.0000000000000001E-3</v>
      </c>
      <c r="FV20">
        <v>-4.7370000000000001</v>
      </c>
      <c r="FW20">
        <v>0.26400000000000001</v>
      </c>
      <c r="FX20">
        <v>492</v>
      </c>
      <c r="FY20">
        <v>28</v>
      </c>
      <c r="FZ20">
        <v>0.12</v>
      </c>
      <c r="GA20">
        <v>0.04</v>
      </c>
      <c r="GB20">
        <v>-72.693309999999997</v>
      </c>
      <c r="GC20">
        <v>-0.10450581613497489</v>
      </c>
      <c r="GD20">
        <v>0.14249111867060349</v>
      </c>
      <c r="GE20">
        <v>1</v>
      </c>
      <c r="GF20">
        <v>787.98682352941171</v>
      </c>
      <c r="GG20">
        <v>1.805255919358882</v>
      </c>
      <c r="GH20">
        <v>0.39157085382343781</v>
      </c>
      <c r="GI20">
        <v>1</v>
      </c>
      <c r="GJ20">
        <v>7.2962129999999998</v>
      </c>
      <c r="GK20">
        <v>0.298416810506549</v>
      </c>
      <c r="GL20">
        <v>6.4954018936475372E-2</v>
      </c>
      <c r="GM20">
        <v>1</v>
      </c>
      <c r="GN20">
        <v>3</v>
      </c>
      <c r="GO20">
        <v>3</v>
      </c>
      <c r="GP20" t="s">
        <v>599</v>
      </c>
      <c r="GQ20">
        <v>3.1325500000000002</v>
      </c>
      <c r="GR20">
        <v>2.7250899999999998</v>
      </c>
      <c r="GS20">
        <v>9.1225100000000003E-2</v>
      </c>
      <c r="GT20">
        <v>0.102755</v>
      </c>
      <c r="GU20">
        <v>0.14375199999999999</v>
      </c>
      <c r="GV20">
        <v>0.123866</v>
      </c>
      <c r="GW20">
        <v>22770.799999999999</v>
      </c>
      <c r="GX20">
        <v>30278.5</v>
      </c>
      <c r="GY20">
        <v>27180.3</v>
      </c>
      <c r="GZ20">
        <v>34702.1</v>
      </c>
      <c r="HA20">
        <v>34085.1</v>
      </c>
      <c r="HB20">
        <v>38839</v>
      </c>
      <c r="HC20">
        <v>40137.9</v>
      </c>
      <c r="HD20">
        <v>44411</v>
      </c>
      <c r="HE20">
        <v>1.9670000000000001</v>
      </c>
      <c r="HF20">
        <v>1.7567999999999999</v>
      </c>
      <c r="HG20">
        <v>3.4481299999999999E-2</v>
      </c>
      <c r="HH20">
        <v>0</v>
      </c>
      <c r="HI20">
        <v>32.400700000000001</v>
      </c>
      <c r="HJ20">
        <v>999.9</v>
      </c>
      <c r="HK20">
        <v>56.5</v>
      </c>
      <c r="HL20">
        <v>39.799999999999997</v>
      </c>
      <c r="HM20">
        <v>42.394599999999997</v>
      </c>
      <c r="HN20">
        <v>59.999099999999999</v>
      </c>
      <c r="HO20">
        <v>7.6802900000000003</v>
      </c>
      <c r="HP20">
        <v>1</v>
      </c>
      <c r="HQ20">
        <v>0.54292700000000005</v>
      </c>
      <c r="HR20">
        <v>0</v>
      </c>
      <c r="HS20">
        <v>20.284600000000001</v>
      </c>
      <c r="HT20">
        <v>5.2088999999999999</v>
      </c>
      <c r="HU20">
        <v>11.908099999999999</v>
      </c>
      <c r="HV20">
        <v>4.9851999999999999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1.8674299999999999</v>
      </c>
      <c r="IC20">
        <v>1.8629500000000001</v>
      </c>
      <c r="ID20">
        <v>1.86249</v>
      </c>
      <c r="IE20">
        <v>1.8620300000000001</v>
      </c>
      <c r="IF20">
        <v>1.8620300000000001</v>
      </c>
      <c r="IG20">
        <v>1.8626400000000001</v>
      </c>
      <c r="IH20">
        <v>1.8635600000000001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-4.4569999999999999</v>
      </c>
      <c r="IX20">
        <v>0.47099999999999997</v>
      </c>
      <c r="IY20">
        <v>-2.524065887996259</v>
      </c>
      <c r="IZ20">
        <v>-5.1825110452525594E-3</v>
      </c>
      <c r="JA20">
        <v>1.5265819664382561E-6</v>
      </c>
      <c r="JB20">
        <v>-1.241475652429701E-10</v>
      </c>
      <c r="JC20">
        <v>-0.22975747403078089</v>
      </c>
      <c r="JD20">
        <v>2.7492919904454862E-4</v>
      </c>
      <c r="JE20">
        <v>8.6739513355948885E-4</v>
      </c>
      <c r="JF20">
        <v>-8.2500691715147318E-6</v>
      </c>
      <c r="JG20">
        <v>21</v>
      </c>
      <c r="JH20">
        <v>1720</v>
      </c>
      <c r="JI20">
        <v>2</v>
      </c>
      <c r="JJ20">
        <v>37</v>
      </c>
      <c r="JK20">
        <v>1.3</v>
      </c>
      <c r="JL20">
        <v>1.1000000000000001</v>
      </c>
      <c r="JM20">
        <v>1.2439</v>
      </c>
      <c r="JN20">
        <v>2.5500500000000001</v>
      </c>
      <c r="JO20">
        <v>1.50024</v>
      </c>
      <c r="JP20">
        <v>2.2692899999999998</v>
      </c>
      <c r="JQ20">
        <v>1.4477500000000001</v>
      </c>
      <c r="JR20">
        <v>2.4023400000000001</v>
      </c>
      <c r="JS20">
        <v>42.430399999999999</v>
      </c>
      <c r="JT20">
        <v>14.5611</v>
      </c>
      <c r="JU20">
        <v>18</v>
      </c>
      <c r="JV20">
        <v>545.66700000000003</v>
      </c>
      <c r="JW20">
        <v>423.03399999999999</v>
      </c>
      <c r="JX20">
        <v>33.042700000000004</v>
      </c>
      <c r="JY20">
        <v>34.009900000000002</v>
      </c>
      <c r="JZ20">
        <v>30.0001</v>
      </c>
      <c r="KA20">
        <v>34.0017</v>
      </c>
      <c r="KB20">
        <v>33.968800000000002</v>
      </c>
      <c r="KC20">
        <v>24.886500000000002</v>
      </c>
      <c r="KD20">
        <v>42.164299999999997</v>
      </c>
      <c r="KE20">
        <v>0</v>
      </c>
      <c r="KF20">
        <v>-999.9</v>
      </c>
      <c r="KG20">
        <v>492.72300000000001</v>
      </c>
      <c r="KH20">
        <v>27.736799999999999</v>
      </c>
      <c r="KI20">
        <v>100.31399999999999</v>
      </c>
      <c r="KJ20">
        <v>99.5411</v>
      </c>
    </row>
    <row r="21" spans="1:296" x14ac:dyDescent="0.3">
      <c r="A21">
        <v>5</v>
      </c>
      <c r="B21">
        <v>1782926604.5</v>
      </c>
      <c r="C21">
        <v>620.90000009536743</v>
      </c>
      <c r="D21" t="s">
        <v>618</v>
      </c>
      <c r="E21" t="s">
        <v>619</v>
      </c>
      <c r="F21">
        <v>15</v>
      </c>
      <c r="H21">
        <v>1782926596.5</v>
      </c>
      <c r="I21">
        <f t="shared" si="0"/>
        <v>6.1891794426950633E-3</v>
      </c>
      <c r="J21">
        <f t="shared" si="1"/>
        <v>6.189179442695063</v>
      </c>
      <c r="K21">
        <f t="shared" si="2"/>
        <v>52.667408704137642</v>
      </c>
      <c r="L21">
        <f t="shared" si="3"/>
        <v>419.80058064516118</v>
      </c>
      <c r="M21">
        <f t="shared" si="4"/>
        <v>177.91089509609506</v>
      </c>
      <c r="N21">
        <f t="shared" si="5"/>
        <v>17.398203332018401</v>
      </c>
      <c r="O21">
        <f t="shared" si="6"/>
        <v>41.052999351270266</v>
      </c>
      <c r="P21">
        <f t="shared" si="7"/>
        <v>0.38321707658074455</v>
      </c>
      <c r="Q21">
        <f t="shared" si="8"/>
        <v>2.8935724851269842</v>
      </c>
      <c r="R21">
        <f t="shared" si="9"/>
        <v>0.35708978042411071</v>
      </c>
      <c r="S21">
        <f t="shared" si="10"/>
        <v>0.22537993039905571</v>
      </c>
      <c r="T21">
        <f t="shared" si="11"/>
        <v>176.1281521226521</v>
      </c>
      <c r="U21">
        <f t="shared" si="12"/>
        <v>32.909675758689971</v>
      </c>
      <c r="V21">
        <f t="shared" si="13"/>
        <v>32.788529032258062</v>
      </c>
      <c r="W21">
        <f t="shared" si="14"/>
        <v>4.9923864546505117</v>
      </c>
      <c r="X21">
        <f t="shared" si="15"/>
        <v>64.914410281590079</v>
      </c>
      <c r="Y21">
        <f t="shared" si="16"/>
        <v>3.3699028001457827</v>
      </c>
      <c r="Z21">
        <f t="shared" si="17"/>
        <v>5.1913015700637084</v>
      </c>
      <c r="AA21">
        <f t="shared" si="18"/>
        <v>1.622483654504729</v>
      </c>
      <c r="AB21">
        <f t="shared" si="19"/>
        <v>-272.94281342285228</v>
      </c>
      <c r="AC21">
        <f t="shared" si="20"/>
        <v>108.58134461679155</v>
      </c>
      <c r="AD21">
        <f t="shared" si="21"/>
        <v>8.6055408255313726</v>
      </c>
      <c r="AE21">
        <f t="shared" si="22"/>
        <v>20.372224142122732</v>
      </c>
      <c r="AF21">
        <f t="shared" si="23"/>
        <v>52.667408704137642</v>
      </c>
      <c r="AG21">
        <f t="shared" si="24"/>
        <v>6.189179442695063</v>
      </c>
      <c r="AH21">
        <f t="shared" si="25"/>
        <v>52.518526989401671</v>
      </c>
      <c r="AI21">
        <v>499.81125112869921</v>
      </c>
      <c r="AJ21">
        <v>434.88875151515151</v>
      </c>
      <c r="AK21">
        <v>3.0229579500309699E-2</v>
      </c>
      <c r="AL21">
        <v>67.091669232592366</v>
      </c>
      <c r="AM21">
        <f t="shared" si="26"/>
        <v>6.1307938861662912</v>
      </c>
      <c r="AN21">
        <v>27.29852964484849</v>
      </c>
      <c r="AO21">
        <v>34.415929696969677</v>
      </c>
      <c r="AP21">
        <v>-2.6926060606001548E-3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50699.536740726202</v>
      </c>
      <c r="AW21" t="s">
        <v>602</v>
      </c>
      <c r="AX21">
        <v>5106.9799999999996</v>
      </c>
      <c r="AY21">
        <v>578.59411764705885</v>
      </c>
      <c r="AZ21">
        <v>2544.5100000000002</v>
      </c>
      <c r="BA21">
        <f t="shared" si="30"/>
        <v>0.77261079042838943</v>
      </c>
      <c r="BB21">
        <v>-5.4210321881325969</v>
      </c>
      <c r="BC21" t="s">
        <v>620</v>
      </c>
      <c r="BD21">
        <v>5106.21</v>
      </c>
      <c r="BE21">
        <v>799.50935294117653</v>
      </c>
      <c r="BF21">
        <v>1333.1</v>
      </c>
      <c r="BG21">
        <f t="shared" si="31"/>
        <v>0.40026303132459939</v>
      </c>
      <c r="BH21">
        <v>0.5</v>
      </c>
      <c r="BI21">
        <f t="shared" si="32"/>
        <v>924.28411906739439</v>
      </c>
      <c r="BJ21">
        <f t="shared" si="33"/>
        <v>52.667408704137642</v>
      </c>
      <c r="BK21">
        <f t="shared" si="34"/>
        <v>184.9783816515511</v>
      </c>
      <c r="BL21">
        <f t="shared" si="35"/>
        <v>6.2846953327383423E-2</v>
      </c>
      <c r="BM21">
        <f t="shared" si="36"/>
        <v>0.90871652539194392</v>
      </c>
      <c r="BN21">
        <f t="shared" si="37"/>
        <v>479.51153147052759</v>
      </c>
      <c r="BO21" t="s">
        <v>407</v>
      </c>
      <c r="BP21">
        <v>0</v>
      </c>
      <c r="BQ21">
        <f t="shared" si="38"/>
        <v>479.51153147052759</v>
      </c>
      <c r="BR21">
        <f t="shared" si="39"/>
        <v>0.64030340449289058</v>
      </c>
      <c r="BS21">
        <f t="shared" si="40"/>
        <v>0.62511463864790928</v>
      </c>
      <c r="BT21">
        <f t="shared" si="41"/>
        <v>0.58663966025246983</v>
      </c>
      <c r="BU21">
        <f t="shared" si="42"/>
        <v>0.70720541686807092</v>
      </c>
      <c r="BV21">
        <f t="shared" si="43"/>
        <v>0.6162064261620912</v>
      </c>
      <c r="BW21">
        <f t="shared" si="44"/>
        <v>0.37491703708031332</v>
      </c>
      <c r="BX21">
        <f t="shared" si="45"/>
        <v>0.62508296291968668</v>
      </c>
      <c r="DG21">
        <f t="shared" si="46"/>
        <v>1099.986451612903</v>
      </c>
      <c r="DH21">
        <f t="shared" si="47"/>
        <v>924.28411906739439</v>
      </c>
      <c r="DI21">
        <f t="shared" si="48"/>
        <v>0.84026863941107877</v>
      </c>
      <c r="DJ21">
        <f t="shared" si="49"/>
        <v>0.16011847406338189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1782926596.5</v>
      </c>
      <c r="DQ21">
        <v>419.80058064516118</v>
      </c>
      <c r="DR21">
        <v>486.09535483870962</v>
      </c>
      <c r="DS21">
        <v>34.460019354838707</v>
      </c>
      <c r="DT21">
        <v>27.291532258064521</v>
      </c>
      <c r="DU21">
        <v>424.21538709677418</v>
      </c>
      <c r="DV21">
        <v>34.002432258064523</v>
      </c>
      <c r="DW21">
        <v>500.18087096774201</v>
      </c>
      <c r="DX21">
        <v>97.744106451612893</v>
      </c>
      <c r="DY21">
        <v>4.7562364516129052E-2</v>
      </c>
      <c r="DZ21">
        <v>33.484570967741938</v>
      </c>
      <c r="EA21">
        <v>32.788529032258062</v>
      </c>
      <c r="EB21">
        <v>999.90000000000032</v>
      </c>
      <c r="EC21">
        <v>0</v>
      </c>
      <c r="ED21">
        <v>0</v>
      </c>
      <c r="EE21">
        <v>10022.41935483871</v>
      </c>
      <c r="EF21">
        <v>0</v>
      </c>
      <c r="EG21">
        <v>637.55787096774179</v>
      </c>
      <c r="EH21">
        <v>-66.294729032258061</v>
      </c>
      <c r="EI21">
        <v>434.78329032258051</v>
      </c>
      <c r="EJ21">
        <v>499.73387096774189</v>
      </c>
      <c r="EK21">
        <v>7.1684948387096759</v>
      </c>
      <c r="EL21">
        <v>486.09535483870962</v>
      </c>
      <c r="EM21">
        <v>27.291532258064521</v>
      </c>
      <c r="EN21">
        <v>3.3682645161290319</v>
      </c>
      <c r="EO21">
        <v>2.667586451612904</v>
      </c>
      <c r="EP21">
        <v>25.969948387096782</v>
      </c>
      <c r="EQ21">
        <v>22.086783870967739</v>
      </c>
      <c r="ER21">
        <v>1099.986451612903</v>
      </c>
      <c r="ES21">
        <v>0.99100293548387075</v>
      </c>
      <c r="ET21">
        <v>8.9968912903225819E-3</v>
      </c>
      <c r="EU21">
        <v>0</v>
      </c>
      <c r="EV21">
        <v>799.53712903225824</v>
      </c>
      <c r="EW21">
        <v>5.0010700000000003</v>
      </c>
      <c r="EX21">
        <v>12091.719354838709</v>
      </c>
      <c r="EY21">
        <v>9996.6438709677441</v>
      </c>
      <c r="EZ21">
        <v>40.5</v>
      </c>
      <c r="FA21">
        <v>42.445129032258038</v>
      </c>
      <c r="FB21">
        <v>41.686999999999983</v>
      </c>
      <c r="FC21">
        <v>42.125</v>
      </c>
      <c r="FD21">
        <v>42.559999999999967</v>
      </c>
      <c r="FE21">
        <v>1085.1364516129031</v>
      </c>
      <c r="FF21">
        <v>9.8500000000000032</v>
      </c>
      <c r="FG21">
        <v>0</v>
      </c>
      <c r="FH21">
        <v>153.20000004768369</v>
      </c>
      <c r="FI21">
        <v>0</v>
      </c>
      <c r="FJ21">
        <v>799.50935294117653</v>
      </c>
      <c r="FK21">
        <v>-0.27916666289349878</v>
      </c>
      <c r="FL21">
        <v>95.931373102202741</v>
      </c>
      <c r="FM21">
        <v>12096.26470588235</v>
      </c>
      <c r="FN21">
        <v>10</v>
      </c>
      <c r="FO21">
        <v>1782926549</v>
      </c>
      <c r="FP21" t="s">
        <v>621</v>
      </c>
      <c r="FQ21">
        <v>1782926542</v>
      </c>
      <c r="FR21">
        <v>1782926549</v>
      </c>
      <c r="FS21">
        <v>36</v>
      </c>
      <c r="FT21">
        <v>4.2999999999999997E-2</v>
      </c>
      <c r="FU21">
        <v>-1E-3</v>
      </c>
      <c r="FV21">
        <v>-4.6749999999999998</v>
      </c>
      <c r="FW21">
        <v>0.252</v>
      </c>
      <c r="FX21">
        <v>487</v>
      </c>
      <c r="FY21">
        <v>27</v>
      </c>
      <c r="FZ21">
        <v>0.14000000000000001</v>
      </c>
      <c r="GA21">
        <v>0.04</v>
      </c>
      <c r="GB21">
        <v>-66.254492499999998</v>
      </c>
      <c r="GC21">
        <v>-0.5598765478421438</v>
      </c>
      <c r="GD21">
        <v>0.17422572052871571</v>
      </c>
      <c r="GE21">
        <v>1</v>
      </c>
      <c r="GF21">
        <v>799.5709117647059</v>
      </c>
      <c r="GG21">
        <v>-0.71760121993021564</v>
      </c>
      <c r="GH21">
        <v>0.24320499313360919</v>
      </c>
      <c r="GI21">
        <v>1</v>
      </c>
      <c r="GJ21">
        <v>7.1387245000000004</v>
      </c>
      <c r="GK21">
        <v>0.27462686679175052</v>
      </c>
      <c r="GL21">
        <v>6.4731880744730394E-2</v>
      </c>
      <c r="GM21">
        <v>1</v>
      </c>
      <c r="GN21">
        <v>3</v>
      </c>
      <c r="GO21">
        <v>3</v>
      </c>
      <c r="GP21" t="s">
        <v>599</v>
      </c>
      <c r="GQ21">
        <v>3.1317699999999999</v>
      </c>
      <c r="GR21">
        <v>2.7233399999999999</v>
      </c>
      <c r="GS21">
        <v>9.1284299999999999E-2</v>
      </c>
      <c r="GT21">
        <v>0.101785</v>
      </c>
      <c r="GU21">
        <v>0.14243400000000001</v>
      </c>
      <c r="GV21">
        <v>0.12282899999999999</v>
      </c>
      <c r="GW21">
        <v>22771.7</v>
      </c>
      <c r="GX21">
        <v>30315.7</v>
      </c>
      <c r="GY21">
        <v>27183</v>
      </c>
      <c r="GZ21">
        <v>34706.9</v>
      </c>
      <c r="HA21">
        <v>34141.1</v>
      </c>
      <c r="HB21">
        <v>38888.800000000003</v>
      </c>
      <c r="HC21">
        <v>40142.300000000003</v>
      </c>
      <c r="HD21">
        <v>44415.6</v>
      </c>
      <c r="HE21">
        <v>1.968</v>
      </c>
      <c r="HF21">
        <v>1.758</v>
      </c>
      <c r="HG21">
        <v>3.3378600000000001E-2</v>
      </c>
      <c r="HH21">
        <v>0</v>
      </c>
      <c r="HI21">
        <v>32.254600000000003</v>
      </c>
      <c r="HJ21">
        <v>999.9</v>
      </c>
      <c r="HK21">
        <v>56.5</v>
      </c>
      <c r="HL21">
        <v>39.700000000000003</v>
      </c>
      <c r="HM21">
        <v>42.1755</v>
      </c>
      <c r="HN21">
        <v>58.939100000000003</v>
      </c>
      <c r="HO21">
        <v>7.1273999999999997</v>
      </c>
      <c r="HP21">
        <v>1</v>
      </c>
      <c r="HQ21">
        <v>0.53847599999999995</v>
      </c>
      <c r="HR21">
        <v>0</v>
      </c>
      <c r="HS21">
        <v>20.287199999999999</v>
      </c>
      <c r="HT21">
        <v>5.2112999999999996</v>
      </c>
      <c r="HU21">
        <v>11.908099999999999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1.86304</v>
      </c>
      <c r="ID21">
        <v>1.86249</v>
      </c>
      <c r="IE21">
        <v>1.8620300000000001</v>
      </c>
      <c r="IF21">
        <v>1.8620300000000001</v>
      </c>
      <c r="IG21">
        <v>1.8626400000000001</v>
      </c>
      <c r="IH21">
        <v>1.8635600000000001</v>
      </c>
      <c r="II21">
        <v>1.86154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-4.4160000000000004</v>
      </c>
      <c r="IX21">
        <v>0.45619999999999999</v>
      </c>
      <c r="IY21">
        <v>-2.4814165665553189</v>
      </c>
      <c r="IZ21">
        <v>-5.1825110452525594E-3</v>
      </c>
      <c r="JA21">
        <v>1.5265819664382561E-6</v>
      </c>
      <c r="JB21">
        <v>-1.241475652429701E-10</v>
      </c>
      <c r="JC21">
        <v>-0.23027830726480131</v>
      </c>
      <c r="JD21">
        <v>2.7492919904454862E-4</v>
      </c>
      <c r="JE21">
        <v>8.6739513355948885E-4</v>
      </c>
      <c r="JF21">
        <v>-8.2500691715147318E-6</v>
      </c>
      <c r="JG21">
        <v>21</v>
      </c>
      <c r="JH21">
        <v>1720</v>
      </c>
      <c r="JI21">
        <v>2</v>
      </c>
      <c r="JJ21">
        <v>37</v>
      </c>
      <c r="JK21">
        <v>1</v>
      </c>
      <c r="JL21">
        <v>0.9</v>
      </c>
      <c r="JM21">
        <v>1.23047</v>
      </c>
      <c r="JN21">
        <v>2.5451700000000002</v>
      </c>
      <c r="JO21">
        <v>1.50024</v>
      </c>
      <c r="JP21">
        <v>2.2692899999999998</v>
      </c>
      <c r="JQ21">
        <v>1.4477500000000001</v>
      </c>
      <c r="JR21">
        <v>2.4548299999999998</v>
      </c>
      <c r="JS21">
        <v>42.3506</v>
      </c>
      <c r="JT21">
        <v>14.5436</v>
      </c>
      <c r="JU21">
        <v>18</v>
      </c>
      <c r="JV21">
        <v>546.03599999999994</v>
      </c>
      <c r="JW21">
        <v>423.52699999999999</v>
      </c>
      <c r="JX21">
        <v>32.930399999999999</v>
      </c>
      <c r="JY21">
        <v>33.960799999999999</v>
      </c>
      <c r="JZ21">
        <v>30</v>
      </c>
      <c r="KA21">
        <v>33.9651</v>
      </c>
      <c r="KB21">
        <v>33.932400000000001</v>
      </c>
      <c r="KC21">
        <v>24.614799999999999</v>
      </c>
      <c r="KD21">
        <v>42.591099999999997</v>
      </c>
      <c r="KE21">
        <v>0</v>
      </c>
      <c r="KF21">
        <v>-999.9</v>
      </c>
      <c r="KG21">
        <v>486.03800000000001</v>
      </c>
      <c r="KH21">
        <v>27.394600000000001</v>
      </c>
      <c r="KI21">
        <v>100.325</v>
      </c>
      <c r="KJ21">
        <v>99.552999999999997</v>
      </c>
    </row>
    <row r="22" spans="1:296" x14ac:dyDescent="0.3">
      <c r="A22">
        <v>6</v>
      </c>
      <c r="B22">
        <v>1782926746</v>
      </c>
      <c r="C22">
        <v>762.40000009536743</v>
      </c>
      <c r="D22" t="s">
        <v>622</v>
      </c>
      <c r="E22" t="s">
        <v>623</v>
      </c>
      <c r="F22">
        <v>15</v>
      </c>
      <c r="H22">
        <v>1782926738</v>
      </c>
      <c r="I22">
        <f t="shared" si="0"/>
        <v>6.1394580732736254E-3</v>
      </c>
      <c r="J22">
        <f t="shared" si="1"/>
        <v>6.1394580732736257</v>
      </c>
      <c r="K22">
        <f t="shared" si="2"/>
        <v>49.853712616041442</v>
      </c>
      <c r="L22">
        <f t="shared" si="3"/>
        <v>419.87203225806451</v>
      </c>
      <c r="M22">
        <f t="shared" si="4"/>
        <v>187.99989235495457</v>
      </c>
      <c r="N22">
        <f t="shared" si="5"/>
        <v>18.384429491565839</v>
      </c>
      <c r="O22">
        <f t="shared" si="6"/>
        <v>41.059107406054927</v>
      </c>
      <c r="P22">
        <f t="shared" si="7"/>
        <v>0.37904128621990485</v>
      </c>
      <c r="Q22">
        <f t="shared" si="8"/>
        <v>2.8904380284624231</v>
      </c>
      <c r="R22">
        <f t="shared" si="9"/>
        <v>0.35343418033373147</v>
      </c>
      <c r="S22">
        <f t="shared" si="10"/>
        <v>0.22305273386959695</v>
      </c>
      <c r="T22">
        <f t="shared" si="11"/>
        <v>160.17377500930343</v>
      </c>
      <c r="U22">
        <f t="shared" si="12"/>
        <v>32.836050605455164</v>
      </c>
      <c r="V22">
        <f t="shared" si="13"/>
        <v>32.830083870967741</v>
      </c>
      <c r="W22">
        <f t="shared" si="14"/>
        <v>5.0040730239589442</v>
      </c>
      <c r="X22">
        <f t="shared" si="15"/>
        <v>65.042121196881439</v>
      </c>
      <c r="Y22">
        <f t="shared" si="16"/>
        <v>3.3781869090663266</v>
      </c>
      <c r="Z22">
        <f t="shared" si="17"/>
        <v>5.193844922186055</v>
      </c>
      <c r="AA22">
        <f t="shared" si="18"/>
        <v>1.6258861148926176</v>
      </c>
      <c r="AB22">
        <f t="shared" si="19"/>
        <v>-270.75010103136685</v>
      </c>
      <c r="AC22">
        <f t="shared" si="20"/>
        <v>103.35151786427177</v>
      </c>
      <c r="AD22">
        <f t="shared" si="21"/>
        <v>8.2019572825851874</v>
      </c>
      <c r="AE22">
        <f t="shared" si="22"/>
        <v>0.97714912479354155</v>
      </c>
      <c r="AF22">
        <f t="shared" si="23"/>
        <v>49.853712616041442</v>
      </c>
      <c r="AG22">
        <f t="shared" si="24"/>
        <v>6.1394580732736257</v>
      </c>
      <c r="AH22">
        <f t="shared" si="25"/>
        <v>49.822851806483676</v>
      </c>
      <c r="AI22">
        <v>496.36598806647879</v>
      </c>
      <c r="AJ22">
        <v>434.91721818181799</v>
      </c>
      <c r="AK22">
        <v>-4.7290794808523377E-3</v>
      </c>
      <c r="AL22">
        <v>67.091792263617577</v>
      </c>
      <c r="AM22">
        <f t="shared" si="26"/>
        <v>6.1102392233899216</v>
      </c>
      <c r="AN22">
        <v>27.43607686709958</v>
      </c>
      <c r="AO22">
        <v>34.518396363636349</v>
      </c>
      <c r="AP22">
        <v>-5.3361038960654918E-4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50610.632146272874</v>
      </c>
      <c r="AW22" t="s">
        <v>602</v>
      </c>
      <c r="AX22">
        <v>5106.9799999999996</v>
      </c>
      <c r="AY22">
        <v>578.59411764705885</v>
      </c>
      <c r="AZ22">
        <v>2544.5100000000002</v>
      </c>
      <c r="BA22">
        <f t="shared" si="30"/>
        <v>0.77261079042838943</v>
      </c>
      <c r="BB22">
        <v>-5.4210321881325969</v>
      </c>
      <c r="BC22" t="s">
        <v>624</v>
      </c>
      <c r="BD22">
        <v>5106.8900000000003</v>
      </c>
      <c r="BE22">
        <v>798.85423529411764</v>
      </c>
      <c r="BF22">
        <v>1401.09</v>
      </c>
      <c r="BG22">
        <f t="shared" si="31"/>
        <v>0.42983374708682687</v>
      </c>
      <c r="BH22">
        <v>0.5</v>
      </c>
      <c r="BI22">
        <f t="shared" si="32"/>
        <v>840.2834902438309</v>
      </c>
      <c r="BJ22">
        <f t="shared" si="33"/>
        <v>49.853712616041442</v>
      </c>
      <c r="BK22">
        <f t="shared" si="34"/>
        <v>180.59110061335147</v>
      </c>
      <c r="BL22">
        <f t="shared" si="35"/>
        <v>6.5781067277823804E-2</v>
      </c>
      <c r="BM22">
        <f t="shared" si="36"/>
        <v>0.81609318459199653</v>
      </c>
      <c r="BN22">
        <f t="shared" si="37"/>
        <v>488.03000661548947</v>
      </c>
      <c r="BO22" t="s">
        <v>407</v>
      </c>
      <c r="BP22">
        <v>0</v>
      </c>
      <c r="BQ22">
        <f t="shared" si="38"/>
        <v>488.03000661548947</v>
      </c>
      <c r="BR22">
        <f t="shared" si="39"/>
        <v>0.65167833143089338</v>
      </c>
      <c r="BS22">
        <f t="shared" si="40"/>
        <v>0.65957962134944514</v>
      </c>
      <c r="BT22">
        <f t="shared" si="41"/>
        <v>0.55600832669331457</v>
      </c>
      <c r="BU22">
        <f t="shared" si="42"/>
        <v>0.73220520324435734</v>
      </c>
      <c r="BV22">
        <f t="shared" si="43"/>
        <v>0.58162203696705361</v>
      </c>
      <c r="BW22">
        <f t="shared" si="44"/>
        <v>0.4029454094990163</v>
      </c>
      <c r="BX22">
        <f t="shared" si="45"/>
        <v>0.59705459050098364</v>
      </c>
      <c r="DG22">
        <f t="shared" si="46"/>
        <v>999.98177419354829</v>
      </c>
      <c r="DH22">
        <f t="shared" si="47"/>
        <v>840.2834902438309</v>
      </c>
      <c r="DI22">
        <f t="shared" si="48"/>
        <v>0.84029880536721913</v>
      </c>
      <c r="DJ22">
        <f t="shared" si="49"/>
        <v>0.16017669435873289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1782926738</v>
      </c>
      <c r="DQ22">
        <v>419.87203225806451</v>
      </c>
      <c r="DR22">
        <v>482.78909677419358</v>
      </c>
      <c r="DS22">
        <v>34.545470967741927</v>
      </c>
      <c r="DT22">
        <v>27.432712903225799</v>
      </c>
      <c r="DU22">
        <v>424.33009677419369</v>
      </c>
      <c r="DV22">
        <v>34.086890322580643</v>
      </c>
      <c r="DW22">
        <v>500.0058387096775</v>
      </c>
      <c r="DX22">
        <v>97.741393548387109</v>
      </c>
      <c r="DY22">
        <v>4.8181016129032257E-2</v>
      </c>
      <c r="DZ22">
        <v>33.493319354838697</v>
      </c>
      <c r="EA22">
        <v>32.830083870967741</v>
      </c>
      <c r="EB22">
        <v>999.90000000000032</v>
      </c>
      <c r="EC22">
        <v>0</v>
      </c>
      <c r="ED22">
        <v>0</v>
      </c>
      <c r="EE22">
        <v>10004.677419354841</v>
      </c>
      <c r="EF22">
        <v>0</v>
      </c>
      <c r="EG22">
        <v>673.4984838709679</v>
      </c>
      <c r="EH22">
        <v>-62.917177419354843</v>
      </c>
      <c r="EI22">
        <v>434.89574193548401</v>
      </c>
      <c r="EJ22">
        <v>496.40706451612891</v>
      </c>
      <c r="EK22">
        <v>7.1127609677419361</v>
      </c>
      <c r="EL22">
        <v>482.78909677419358</v>
      </c>
      <c r="EM22">
        <v>27.432712903225799</v>
      </c>
      <c r="EN22">
        <v>3.3765216129032258</v>
      </c>
      <c r="EO22">
        <v>2.6813119354838708</v>
      </c>
      <c r="EP22">
        <v>26.01133225806451</v>
      </c>
      <c r="EQ22">
        <v>22.171029032258069</v>
      </c>
      <c r="ER22">
        <v>999.98177419354829</v>
      </c>
      <c r="ES22">
        <v>0.98998970967741917</v>
      </c>
      <c r="ET22">
        <v>1.00099935483871E-2</v>
      </c>
      <c r="EU22">
        <v>0</v>
      </c>
      <c r="EV22">
        <v>798.97751612903221</v>
      </c>
      <c r="EW22">
        <v>5.0010700000000003</v>
      </c>
      <c r="EX22">
        <v>11306.92903225806</v>
      </c>
      <c r="EY22">
        <v>9080.0770967741937</v>
      </c>
      <c r="EZ22">
        <v>40.311999999999983</v>
      </c>
      <c r="FA22">
        <v>42.5</v>
      </c>
      <c r="FB22">
        <v>41.614838709677407</v>
      </c>
      <c r="FC22">
        <v>42.13687096774192</v>
      </c>
      <c r="FD22">
        <v>42.475612903225787</v>
      </c>
      <c r="FE22">
        <v>985.02096774193546</v>
      </c>
      <c r="FF22">
        <v>9.9599999999999973</v>
      </c>
      <c r="FG22">
        <v>0</v>
      </c>
      <c r="FH22">
        <v>140.60000014305109</v>
      </c>
      <c r="FI22">
        <v>0</v>
      </c>
      <c r="FJ22">
        <v>798.85423529411764</v>
      </c>
      <c r="FK22">
        <v>1.0213235019582121</v>
      </c>
      <c r="FL22">
        <v>-40.269607649530037</v>
      </c>
      <c r="FM22">
        <v>11304.88823529412</v>
      </c>
      <c r="FN22">
        <v>10</v>
      </c>
      <c r="FO22">
        <v>1782926692.5</v>
      </c>
      <c r="FP22" t="s">
        <v>625</v>
      </c>
      <c r="FQ22">
        <v>1782926690.5</v>
      </c>
      <c r="FR22">
        <v>1782926692.5</v>
      </c>
      <c r="FS22">
        <v>37</v>
      </c>
      <c r="FT22">
        <v>-4.2999999999999997E-2</v>
      </c>
      <c r="FU22">
        <v>-2E-3</v>
      </c>
      <c r="FV22">
        <v>-4.7039999999999997</v>
      </c>
      <c r="FW22">
        <v>0.25</v>
      </c>
      <c r="FX22">
        <v>483</v>
      </c>
      <c r="FY22">
        <v>27</v>
      </c>
      <c r="FZ22">
        <v>0.15</v>
      </c>
      <c r="GA22">
        <v>0.06</v>
      </c>
      <c r="GB22">
        <v>-62.873019512195121</v>
      </c>
      <c r="GC22">
        <v>-0.33847526132415201</v>
      </c>
      <c r="GD22">
        <v>0.21128735169225821</v>
      </c>
      <c r="GE22">
        <v>1</v>
      </c>
      <c r="GF22">
        <v>799.13102941176464</v>
      </c>
      <c r="GG22">
        <v>-3.000259750149584</v>
      </c>
      <c r="GH22">
        <v>0.39983463385387369</v>
      </c>
      <c r="GI22">
        <v>1</v>
      </c>
      <c r="GJ22">
        <v>7.1023443902439016</v>
      </c>
      <c r="GK22">
        <v>4.0198954703838372E-2</v>
      </c>
      <c r="GL22">
        <v>4.8474831339662128E-2</v>
      </c>
      <c r="GM22">
        <v>1</v>
      </c>
      <c r="GN22">
        <v>3</v>
      </c>
      <c r="GO22">
        <v>3</v>
      </c>
      <c r="GP22" t="s">
        <v>599</v>
      </c>
      <c r="GQ22">
        <v>3.13354</v>
      </c>
      <c r="GR22">
        <v>2.72201</v>
      </c>
      <c r="GS22">
        <v>9.12607E-2</v>
      </c>
      <c r="GT22">
        <v>0.101241</v>
      </c>
      <c r="GU22">
        <v>0.142732</v>
      </c>
      <c r="GV22">
        <v>0.12334299999999999</v>
      </c>
      <c r="GW22">
        <v>22771.7</v>
      </c>
      <c r="GX22">
        <v>30333</v>
      </c>
      <c r="GY22">
        <v>27182.400000000001</v>
      </c>
      <c r="GZ22">
        <v>34705.800000000003</v>
      </c>
      <c r="HA22">
        <v>34129</v>
      </c>
      <c r="HB22">
        <v>38865.9</v>
      </c>
      <c r="HC22">
        <v>40142</v>
      </c>
      <c r="HD22">
        <v>44415.5</v>
      </c>
      <c r="HE22">
        <v>1.9688000000000001</v>
      </c>
      <c r="HF22">
        <v>1.7565999999999999</v>
      </c>
      <c r="HG22">
        <v>2.8163199999999999E-2</v>
      </c>
      <c r="HH22">
        <v>0</v>
      </c>
      <c r="HI22">
        <v>32.377699999999997</v>
      </c>
      <c r="HJ22">
        <v>999.9</v>
      </c>
      <c r="HK22">
        <v>56.4</v>
      </c>
      <c r="HL22">
        <v>39.700000000000003</v>
      </c>
      <c r="HM22">
        <v>42.1008</v>
      </c>
      <c r="HN22">
        <v>59.349200000000003</v>
      </c>
      <c r="HO22">
        <v>7.3357400000000004</v>
      </c>
      <c r="HP22">
        <v>1</v>
      </c>
      <c r="HQ22">
        <v>0.53983700000000001</v>
      </c>
      <c r="HR22">
        <v>0</v>
      </c>
      <c r="HS22">
        <v>20.287700000000001</v>
      </c>
      <c r="HT22">
        <v>5.2100999999999997</v>
      </c>
      <c r="HU22">
        <v>11.908099999999999</v>
      </c>
      <c r="HV22">
        <v>4.984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1.8673999999999999</v>
      </c>
      <c r="IC22">
        <v>1.86307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1.8635600000000001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-4.4580000000000002</v>
      </c>
      <c r="IX22">
        <v>0.45789999999999997</v>
      </c>
      <c r="IY22">
        <v>-2.5244501374328778</v>
      </c>
      <c r="IZ22">
        <v>-5.1825110452525594E-3</v>
      </c>
      <c r="JA22">
        <v>1.5265819664382561E-6</v>
      </c>
      <c r="JB22">
        <v>-1.241475652429701E-10</v>
      </c>
      <c r="JC22">
        <v>-0.2318738563429853</v>
      </c>
      <c r="JD22">
        <v>2.7492919904454862E-4</v>
      </c>
      <c r="JE22">
        <v>8.6739513355948885E-4</v>
      </c>
      <c r="JF22">
        <v>-8.2500691715147318E-6</v>
      </c>
      <c r="JG22">
        <v>21</v>
      </c>
      <c r="JH22">
        <v>1720</v>
      </c>
      <c r="JI22">
        <v>2</v>
      </c>
      <c r="JJ22">
        <v>37</v>
      </c>
      <c r="JK22">
        <v>0.9</v>
      </c>
      <c r="JL22">
        <v>0.9</v>
      </c>
      <c r="JM22">
        <v>1.22437</v>
      </c>
      <c r="JN22">
        <v>2.5537100000000001</v>
      </c>
      <c r="JO22">
        <v>1.50024</v>
      </c>
      <c r="JP22">
        <v>2.2705099999999998</v>
      </c>
      <c r="JQ22">
        <v>1.4477500000000001</v>
      </c>
      <c r="JR22">
        <v>2.4230999999999998</v>
      </c>
      <c r="JS22">
        <v>42.3506</v>
      </c>
      <c r="JT22">
        <v>14.5261</v>
      </c>
      <c r="JU22">
        <v>18</v>
      </c>
      <c r="JV22">
        <v>546.59900000000005</v>
      </c>
      <c r="JW22">
        <v>422.69</v>
      </c>
      <c r="JX22">
        <v>33.011800000000001</v>
      </c>
      <c r="JY22">
        <v>33.976100000000002</v>
      </c>
      <c r="JZ22">
        <v>30.0001</v>
      </c>
      <c r="KA22">
        <v>33.9681</v>
      </c>
      <c r="KB22">
        <v>33.935400000000001</v>
      </c>
      <c r="KC22">
        <v>24.482900000000001</v>
      </c>
      <c r="KD22">
        <v>42.232500000000002</v>
      </c>
      <c r="KE22">
        <v>0</v>
      </c>
      <c r="KF22">
        <v>-999.9</v>
      </c>
      <c r="KG22">
        <v>482.82499999999999</v>
      </c>
      <c r="KH22">
        <v>27.532599999999999</v>
      </c>
      <c r="KI22">
        <v>100.324</v>
      </c>
      <c r="KJ22">
        <v>99.551400000000001</v>
      </c>
    </row>
    <row r="23" spans="1:296" x14ac:dyDescent="0.3">
      <c r="A23">
        <v>7</v>
      </c>
      <c r="B23">
        <v>1782926884</v>
      </c>
      <c r="C23">
        <v>900.40000009536743</v>
      </c>
      <c r="D23" t="s">
        <v>626</v>
      </c>
      <c r="E23" t="s">
        <v>627</v>
      </c>
      <c r="F23">
        <v>15</v>
      </c>
      <c r="H23">
        <v>1782926876.25</v>
      </c>
      <c r="I23">
        <f t="shared" si="0"/>
        <v>5.8172093547105815E-3</v>
      </c>
      <c r="J23">
        <f t="shared" si="1"/>
        <v>5.8172093547105819</v>
      </c>
      <c r="K23">
        <f t="shared" si="2"/>
        <v>42.241621226649684</v>
      </c>
      <c r="L23">
        <f t="shared" si="3"/>
        <v>419.9969999999999</v>
      </c>
      <c r="M23">
        <f t="shared" si="4"/>
        <v>213.86320010966659</v>
      </c>
      <c r="N23">
        <f t="shared" si="5"/>
        <v>20.912879856987011</v>
      </c>
      <c r="O23">
        <f t="shared" si="6"/>
        <v>41.069930669656927</v>
      </c>
      <c r="P23">
        <f t="shared" si="7"/>
        <v>0.36250884221509116</v>
      </c>
      <c r="Q23">
        <f t="shared" si="8"/>
        <v>2.8905337970750855</v>
      </c>
      <c r="R23">
        <f t="shared" si="9"/>
        <v>0.33901328309424245</v>
      </c>
      <c r="S23">
        <f t="shared" si="10"/>
        <v>0.21386725511746324</v>
      </c>
      <c r="T23">
        <f t="shared" si="11"/>
        <v>128.28099849694161</v>
      </c>
      <c r="U23">
        <f t="shared" si="12"/>
        <v>32.700918149373365</v>
      </c>
      <c r="V23">
        <f t="shared" si="13"/>
        <v>32.773969999999998</v>
      </c>
      <c r="W23">
        <f t="shared" si="14"/>
        <v>4.9882976041337352</v>
      </c>
      <c r="X23">
        <f t="shared" si="15"/>
        <v>65.228539348701148</v>
      </c>
      <c r="Y23">
        <f t="shared" si="16"/>
        <v>3.3821756487335644</v>
      </c>
      <c r="Z23">
        <f t="shared" si="17"/>
        <v>5.185116334819341</v>
      </c>
      <c r="AA23">
        <f t="shared" si="18"/>
        <v>1.6061219554001709</v>
      </c>
      <c r="AB23">
        <f t="shared" si="19"/>
        <v>-256.53893254273663</v>
      </c>
      <c r="AC23">
        <f t="shared" si="20"/>
        <v>107.41825029079227</v>
      </c>
      <c r="AD23">
        <f t="shared" si="21"/>
        <v>8.520813160524435</v>
      </c>
      <c r="AE23">
        <f t="shared" si="22"/>
        <v>-12.318870594478327</v>
      </c>
      <c r="AF23">
        <f t="shared" si="23"/>
        <v>42.241621226649684</v>
      </c>
      <c r="AG23">
        <f t="shared" si="24"/>
        <v>5.8172093547105819</v>
      </c>
      <c r="AH23">
        <f t="shared" si="25"/>
        <v>42.575166290131648</v>
      </c>
      <c r="AI23">
        <v>487.37543257412239</v>
      </c>
      <c r="AJ23">
        <v>434.83012121212101</v>
      </c>
      <c r="AK23">
        <v>-2.0162740140564741E-3</v>
      </c>
      <c r="AL23">
        <v>67.035118500455482</v>
      </c>
      <c r="AM23">
        <f t="shared" si="26"/>
        <v>5.8091789797695137</v>
      </c>
      <c r="AN23">
        <v>27.842142204237671</v>
      </c>
      <c r="AO23">
        <v>34.567236363636333</v>
      </c>
      <c r="AP23">
        <v>8.6913637086574779E-4</v>
      </c>
      <c r="AQ23">
        <v>78.067049385950483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50618.206246651273</v>
      </c>
      <c r="AW23" t="s">
        <v>602</v>
      </c>
      <c r="AX23">
        <v>5106.9799999999996</v>
      </c>
      <c r="AY23">
        <v>578.59411764705885</v>
      </c>
      <c r="AZ23">
        <v>2544.5100000000002</v>
      </c>
      <c r="BA23">
        <f t="shared" si="30"/>
        <v>0.77261079042838943</v>
      </c>
      <c r="BB23">
        <v>-5.4210321881325969</v>
      </c>
      <c r="BC23" t="s">
        <v>628</v>
      </c>
      <c r="BD23">
        <v>5108.62</v>
      </c>
      <c r="BE23">
        <v>792.31264705882359</v>
      </c>
      <c r="BF23">
        <v>1527.91</v>
      </c>
      <c r="BG23">
        <f t="shared" si="31"/>
        <v>0.48144023727914376</v>
      </c>
      <c r="BH23">
        <v>0.5</v>
      </c>
      <c r="BI23">
        <f t="shared" si="32"/>
        <v>672.32788220566931</v>
      </c>
      <c r="BJ23">
        <f t="shared" si="33"/>
        <v>42.241621226649684</v>
      </c>
      <c r="BK23">
        <f t="shared" si="34"/>
        <v>161.84284756924083</v>
      </c>
      <c r="BL23">
        <f t="shared" si="35"/>
        <v>7.0891977971251199E-2</v>
      </c>
      <c r="BM23">
        <f t="shared" si="36"/>
        <v>0.66535332578489581</v>
      </c>
      <c r="BN23">
        <f t="shared" si="37"/>
        <v>502.55975780466508</v>
      </c>
      <c r="BO23" t="s">
        <v>407</v>
      </c>
      <c r="BP23">
        <v>0</v>
      </c>
      <c r="BQ23">
        <f t="shared" si="38"/>
        <v>502.55975780466508</v>
      </c>
      <c r="BR23">
        <f t="shared" si="39"/>
        <v>0.67108026139977817</v>
      </c>
      <c r="BS23">
        <f t="shared" si="40"/>
        <v>0.71741081502669712</v>
      </c>
      <c r="BT23">
        <f t="shared" si="41"/>
        <v>0.49785738114119582</v>
      </c>
      <c r="BU23">
        <f t="shared" si="42"/>
        <v>0.7748710061796823</v>
      </c>
      <c r="BV23">
        <f t="shared" si="43"/>
        <v>0.51711266444587867</v>
      </c>
      <c r="BW23">
        <f t="shared" si="44"/>
        <v>0.45504991846923859</v>
      </c>
      <c r="BX23">
        <f t="shared" si="45"/>
        <v>0.54495008153076141</v>
      </c>
      <c r="DG23">
        <f t="shared" si="46"/>
        <v>800.02176666666685</v>
      </c>
      <c r="DH23">
        <f t="shared" si="47"/>
        <v>672.32788220566931</v>
      </c>
      <c r="DI23">
        <f t="shared" si="48"/>
        <v>0.84038698722780902</v>
      </c>
      <c r="DJ23">
        <f t="shared" si="49"/>
        <v>0.16034688534967143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1782926876.25</v>
      </c>
      <c r="DQ23">
        <v>419.9969999999999</v>
      </c>
      <c r="DR23">
        <v>473.62079999999997</v>
      </c>
      <c r="DS23">
        <v>34.587436666666683</v>
      </c>
      <c r="DT23">
        <v>27.847976666666671</v>
      </c>
      <c r="DU23">
        <v>424.44383333333337</v>
      </c>
      <c r="DV23">
        <v>34.131113333333332</v>
      </c>
      <c r="DW23">
        <v>499.9813333333334</v>
      </c>
      <c r="DX23">
        <v>97.738733333333329</v>
      </c>
      <c r="DY23">
        <v>4.7514353333333342E-2</v>
      </c>
      <c r="DZ23">
        <v>33.463279999999997</v>
      </c>
      <c r="EA23">
        <v>32.773969999999998</v>
      </c>
      <c r="EB23">
        <v>999.9000000000002</v>
      </c>
      <c r="EC23">
        <v>0</v>
      </c>
      <c r="ED23">
        <v>0</v>
      </c>
      <c r="EE23">
        <v>10005.5</v>
      </c>
      <c r="EF23">
        <v>0</v>
      </c>
      <c r="EG23">
        <v>684.82733333333317</v>
      </c>
      <c r="EH23">
        <v>-53.623910000000009</v>
      </c>
      <c r="EI23">
        <v>435.04406666666671</v>
      </c>
      <c r="EJ23">
        <v>487.18803333333341</v>
      </c>
      <c r="EK23">
        <v>6.7394549999999986</v>
      </c>
      <c r="EL23">
        <v>473.62079999999997</v>
      </c>
      <c r="EM23">
        <v>27.847976666666671</v>
      </c>
      <c r="EN23">
        <v>3.380531666666668</v>
      </c>
      <c r="EO23">
        <v>2.7218249999999999</v>
      </c>
      <c r="EP23">
        <v>26.03139333333333</v>
      </c>
      <c r="EQ23">
        <v>22.41746666666667</v>
      </c>
      <c r="ER23">
        <v>800.02176666666685</v>
      </c>
      <c r="ES23">
        <v>0.98702416666666659</v>
      </c>
      <c r="ET23">
        <v>1.2975776666666661E-2</v>
      </c>
      <c r="EU23">
        <v>0</v>
      </c>
      <c r="EV23">
        <v>792.32303333333346</v>
      </c>
      <c r="EW23">
        <v>5.0010700000000003</v>
      </c>
      <c r="EX23">
        <v>9641.2969999999987</v>
      </c>
      <c r="EY23">
        <v>7246.8866666666663</v>
      </c>
      <c r="EZ23">
        <v>40.25</v>
      </c>
      <c r="FA23">
        <v>42.561999999999983</v>
      </c>
      <c r="FB23">
        <v>41.561999999999983</v>
      </c>
      <c r="FC23">
        <v>42.42046666666667</v>
      </c>
      <c r="FD23">
        <v>42.445399999999992</v>
      </c>
      <c r="FE23">
        <v>784.70533333333333</v>
      </c>
      <c r="FF23">
        <v>10.32</v>
      </c>
      <c r="FG23">
        <v>0</v>
      </c>
      <c r="FH23">
        <v>137.60000014305109</v>
      </c>
      <c r="FI23">
        <v>0</v>
      </c>
      <c r="FJ23">
        <v>792.31264705882359</v>
      </c>
      <c r="FK23">
        <v>-0.8703431496920131</v>
      </c>
      <c r="FL23">
        <v>-248.12745030298001</v>
      </c>
      <c r="FM23">
        <v>9629.6711764705888</v>
      </c>
      <c r="FN23">
        <v>10</v>
      </c>
      <c r="FO23">
        <v>1782926841</v>
      </c>
      <c r="FP23" t="s">
        <v>629</v>
      </c>
      <c r="FQ23">
        <v>1782926839</v>
      </c>
      <c r="FR23">
        <v>1782926841</v>
      </c>
      <c r="FS23">
        <v>38</v>
      </c>
      <c r="FT23">
        <v>1.2E-2</v>
      </c>
      <c r="FU23">
        <v>-4.0000000000000001E-3</v>
      </c>
      <c r="FV23">
        <v>-4.6589999999999998</v>
      </c>
      <c r="FW23">
        <v>0.26400000000000001</v>
      </c>
      <c r="FX23">
        <v>474</v>
      </c>
      <c r="FY23">
        <v>28</v>
      </c>
      <c r="FZ23">
        <v>0.17</v>
      </c>
      <c r="GA23">
        <v>0.05</v>
      </c>
      <c r="GB23">
        <v>-53.693785365853671</v>
      </c>
      <c r="GC23">
        <v>6.1317073169848127E-3</v>
      </c>
      <c r="GD23">
        <v>0.39997168226651952</v>
      </c>
      <c r="GE23">
        <v>1</v>
      </c>
      <c r="GF23">
        <v>792.32858823529421</v>
      </c>
      <c r="GG23">
        <v>-0.2467226903315915</v>
      </c>
      <c r="GH23">
        <v>0.24544690544190109</v>
      </c>
      <c r="GI23">
        <v>1</v>
      </c>
      <c r="GJ23">
        <v>6.7509819512195124</v>
      </c>
      <c r="GK23">
        <v>-0.18832871080139679</v>
      </c>
      <c r="GL23">
        <v>1.9849498269694298E-2</v>
      </c>
      <c r="GM23">
        <v>1</v>
      </c>
      <c r="GN23">
        <v>3</v>
      </c>
      <c r="GO23">
        <v>3</v>
      </c>
      <c r="GP23" t="s">
        <v>599</v>
      </c>
      <c r="GQ23">
        <v>3.1321300000000001</v>
      </c>
      <c r="GR23">
        <v>2.7251300000000001</v>
      </c>
      <c r="GS23">
        <v>9.1240500000000002E-2</v>
      </c>
      <c r="GT23">
        <v>9.9832400000000002E-2</v>
      </c>
      <c r="GU23">
        <v>0.14288300000000001</v>
      </c>
      <c r="GV23">
        <v>0.12442</v>
      </c>
      <c r="GW23">
        <v>22770.7</v>
      </c>
      <c r="GX23">
        <v>30379.1</v>
      </c>
      <c r="GY23">
        <v>27180.799999999999</v>
      </c>
      <c r="GZ23">
        <v>34704.300000000003</v>
      </c>
      <c r="HA23">
        <v>34121.1</v>
      </c>
      <c r="HB23">
        <v>38815.800000000003</v>
      </c>
      <c r="HC23">
        <v>40139.300000000003</v>
      </c>
      <c r="HD23">
        <v>44412.800000000003</v>
      </c>
      <c r="HE23">
        <v>1.9663999999999999</v>
      </c>
      <c r="HF23">
        <v>1.758</v>
      </c>
      <c r="HG23">
        <v>2.6375099999999999E-2</v>
      </c>
      <c r="HH23">
        <v>0</v>
      </c>
      <c r="HI23">
        <v>32.348999999999997</v>
      </c>
      <c r="HJ23">
        <v>999.9</v>
      </c>
      <c r="HK23">
        <v>56.3</v>
      </c>
      <c r="HL23">
        <v>39.700000000000003</v>
      </c>
      <c r="HM23">
        <v>42.023400000000002</v>
      </c>
      <c r="HN23">
        <v>58.989199999999997</v>
      </c>
      <c r="HO23">
        <v>7.3597799999999998</v>
      </c>
      <c r="HP23">
        <v>1</v>
      </c>
      <c r="HQ23">
        <v>0.54361800000000005</v>
      </c>
      <c r="HR23">
        <v>0</v>
      </c>
      <c r="HS23">
        <v>20.289300000000001</v>
      </c>
      <c r="HT23">
        <v>5.2112999999999996</v>
      </c>
      <c r="HU23">
        <v>11.908099999999999</v>
      </c>
      <c r="HV23">
        <v>4.9855999999999998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1.86304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-4.4459999999999997</v>
      </c>
      <c r="IX23">
        <v>0.45590000000000003</v>
      </c>
      <c r="IY23">
        <v>-2.5126701101452702</v>
      </c>
      <c r="IZ23">
        <v>-5.1825110452525594E-3</v>
      </c>
      <c r="JA23">
        <v>1.5265819664382561E-6</v>
      </c>
      <c r="JB23">
        <v>-1.241475652429701E-10</v>
      </c>
      <c r="JC23">
        <v>-0.23549637546175209</v>
      </c>
      <c r="JD23">
        <v>2.7492919904454862E-4</v>
      </c>
      <c r="JE23">
        <v>8.6739513355948885E-4</v>
      </c>
      <c r="JF23">
        <v>-8.2500691715147318E-6</v>
      </c>
      <c r="JG23">
        <v>21</v>
      </c>
      <c r="JH23">
        <v>1720</v>
      </c>
      <c r="JI23">
        <v>2</v>
      </c>
      <c r="JJ23">
        <v>37</v>
      </c>
      <c r="JK23">
        <v>0.8</v>
      </c>
      <c r="JL23">
        <v>0.7</v>
      </c>
      <c r="JM23">
        <v>1.2060500000000001</v>
      </c>
      <c r="JN23">
        <v>2.5549300000000001</v>
      </c>
      <c r="JO23">
        <v>1.50024</v>
      </c>
      <c r="JP23">
        <v>2.2705099999999998</v>
      </c>
      <c r="JQ23">
        <v>1.4477500000000001</v>
      </c>
      <c r="JR23">
        <v>2.4145500000000002</v>
      </c>
      <c r="JS23">
        <v>42.377200000000002</v>
      </c>
      <c r="JT23">
        <v>14.5085</v>
      </c>
      <c r="JU23">
        <v>18</v>
      </c>
      <c r="JV23">
        <v>545.24</v>
      </c>
      <c r="JW23">
        <v>423.72800000000001</v>
      </c>
      <c r="JX23">
        <v>33.111899999999999</v>
      </c>
      <c r="JY23">
        <v>34.022100000000002</v>
      </c>
      <c r="JZ23">
        <v>30.000299999999999</v>
      </c>
      <c r="KA23">
        <v>33.998600000000003</v>
      </c>
      <c r="KB23">
        <v>33.962699999999998</v>
      </c>
      <c r="KC23">
        <v>24.128599999999999</v>
      </c>
      <c r="KD23">
        <v>41.444000000000003</v>
      </c>
      <c r="KE23">
        <v>0</v>
      </c>
      <c r="KF23">
        <v>-999.9</v>
      </c>
      <c r="KG23">
        <v>474.05700000000002</v>
      </c>
      <c r="KH23">
        <v>27.867999999999999</v>
      </c>
      <c r="KI23">
        <v>100.31699999999999</v>
      </c>
      <c r="KJ23">
        <v>99.546199999999999</v>
      </c>
    </row>
    <row r="24" spans="1:296" x14ac:dyDescent="0.3">
      <c r="A24">
        <v>8</v>
      </c>
      <c r="B24">
        <v>1782927044</v>
      </c>
      <c r="C24">
        <v>1060.400000095367</v>
      </c>
      <c r="D24" t="s">
        <v>630</v>
      </c>
      <c r="E24" t="s">
        <v>631</v>
      </c>
      <c r="F24">
        <v>15</v>
      </c>
      <c r="H24">
        <v>1782927036.25</v>
      </c>
      <c r="I24">
        <f t="shared" si="0"/>
        <v>5.4111816374118544E-3</v>
      </c>
      <c r="J24">
        <f t="shared" si="1"/>
        <v>5.411181637411854</v>
      </c>
      <c r="K24">
        <f t="shared" si="2"/>
        <v>32.690023191236129</v>
      </c>
      <c r="L24">
        <f t="shared" si="3"/>
        <v>420.00699999999989</v>
      </c>
      <c r="M24">
        <f t="shared" si="4"/>
        <v>245.65357302580122</v>
      </c>
      <c r="N24">
        <f t="shared" si="5"/>
        <v>24.022842201041779</v>
      </c>
      <c r="O24">
        <f t="shared" si="6"/>
        <v>41.073133030608169</v>
      </c>
      <c r="P24">
        <f t="shared" si="7"/>
        <v>0.33383681204172999</v>
      </c>
      <c r="Q24">
        <f t="shared" si="8"/>
        <v>2.8897238282948625</v>
      </c>
      <c r="R24">
        <f t="shared" si="9"/>
        <v>0.31379550974673126</v>
      </c>
      <c r="S24">
        <f t="shared" si="10"/>
        <v>0.19782248576676009</v>
      </c>
      <c r="T24">
        <f t="shared" si="11"/>
        <v>96.345339242275585</v>
      </c>
      <c r="U24">
        <f t="shared" si="12"/>
        <v>32.649064968098081</v>
      </c>
      <c r="V24">
        <f t="shared" si="13"/>
        <v>32.823066666666669</v>
      </c>
      <c r="W24">
        <f t="shared" si="14"/>
        <v>5.0020978894794625</v>
      </c>
      <c r="X24">
        <f t="shared" si="15"/>
        <v>65.226644413558176</v>
      </c>
      <c r="Y24">
        <f t="shared" si="16"/>
        <v>3.3880933315841166</v>
      </c>
      <c r="Z24">
        <f t="shared" si="17"/>
        <v>5.1943394636438773</v>
      </c>
      <c r="AA24">
        <f t="shared" si="18"/>
        <v>1.6140045578953459</v>
      </c>
      <c r="AB24">
        <f t="shared" si="19"/>
        <v>-238.63311020986276</v>
      </c>
      <c r="AC24">
        <f t="shared" si="20"/>
        <v>104.68414133593822</v>
      </c>
      <c r="AD24">
        <f t="shared" si="21"/>
        <v>8.3095511085962279</v>
      </c>
      <c r="AE24">
        <f t="shared" si="22"/>
        <v>-29.294078523052718</v>
      </c>
      <c r="AF24">
        <f t="shared" si="23"/>
        <v>32.690023191236129</v>
      </c>
      <c r="AG24">
        <f t="shared" si="24"/>
        <v>5.411181637411854</v>
      </c>
      <c r="AH24">
        <f t="shared" si="25"/>
        <v>32.342601330293874</v>
      </c>
      <c r="AI24">
        <v>475.31107657786703</v>
      </c>
      <c r="AJ24">
        <v>435.22844242424247</v>
      </c>
      <c r="AK24">
        <v>2.624610114743579E-2</v>
      </c>
      <c r="AL24">
        <v>67.086526776275122</v>
      </c>
      <c r="AM24">
        <f t="shared" si="26"/>
        <v>5.477644033743748</v>
      </c>
      <c r="AN24">
        <v>28.273179195394061</v>
      </c>
      <c r="AO24">
        <v>34.618464848484841</v>
      </c>
      <c r="AP24">
        <v>1.3445148138172509E-4</v>
      </c>
      <c r="AQ24">
        <v>78.233164634154164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50590.495017524307</v>
      </c>
      <c r="AW24" t="s">
        <v>602</v>
      </c>
      <c r="AX24">
        <v>5106.9799999999996</v>
      </c>
      <c r="AY24">
        <v>578.59411764705885</v>
      </c>
      <c r="AZ24">
        <v>2544.5100000000002</v>
      </c>
      <c r="BA24">
        <f t="shared" si="30"/>
        <v>0.77261079042838943</v>
      </c>
      <c r="BB24">
        <v>-5.4210321881325969</v>
      </c>
      <c r="BC24" t="s">
        <v>632</v>
      </c>
      <c r="BD24">
        <v>5109.71</v>
      </c>
      <c r="BE24">
        <v>775.04576470588233</v>
      </c>
      <c r="BF24">
        <v>1634.12</v>
      </c>
      <c r="BG24">
        <f t="shared" si="31"/>
        <v>0.52571061812725972</v>
      </c>
      <c r="BH24">
        <v>0.5</v>
      </c>
      <c r="BI24">
        <f t="shared" si="32"/>
        <v>504.30315836387325</v>
      </c>
      <c r="BJ24">
        <f t="shared" si="33"/>
        <v>32.690023191236129</v>
      </c>
      <c r="BK24">
        <f t="shared" si="34"/>
        <v>132.55876255350057</v>
      </c>
      <c r="BL24">
        <f t="shared" si="35"/>
        <v>7.5571716629762212E-2</v>
      </c>
      <c r="BM24">
        <f t="shared" si="36"/>
        <v>0.55711330869214037</v>
      </c>
      <c r="BN24">
        <f t="shared" si="37"/>
        <v>513.53828872762131</v>
      </c>
      <c r="BO24" t="s">
        <v>407</v>
      </c>
      <c r="BP24">
        <v>0</v>
      </c>
      <c r="BQ24">
        <f t="shared" si="38"/>
        <v>513.53828872762131</v>
      </c>
      <c r="BR24">
        <f t="shared" si="39"/>
        <v>0.68574016062001486</v>
      </c>
      <c r="BS24">
        <f t="shared" si="40"/>
        <v>0.76663238981356474</v>
      </c>
      <c r="BT24">
        <f t="shared" si="41"/>
        <v>0.44825341236764554</v>
      </c>
      <c r="BU24">
        <f t="shared" si="42"/>
        <v>0.81388268128404351</v>
      </c>
      <c r="BV24">
        <f t="shared" si="43"/>
        <v>0.46308695512973008</v>
      </c>
      <c r="BW24">
        <f t="shared" si="44"/>
        <v>0.5079636628908305</v>
      </c>
      <c r="BX24">
        <f t="shared" si="45"/>
        <v>0.4920363371091695</v>
      </c>
      <c r="DG24">
        <f t="shared" si="46"/>
        <v>599.9998333333333</v>
      </c>
      <c r="DH24">
        <f t="shared" si="47"/>
        <v>504.30315836387325</v>
      </c>
      <c r="DI24">
        <f t="shared" si="48"/>
        <v>0.84050549741353808</v>
      </c>
      <c r="DJ24">
        <f t="shared" si="49"/>
        <v>0.16057561000812876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1782927036.25</v>
      </c>
      <c r="DQ24">
        <v>420.00699999999989</v>
      </c>
      <c r="DR24">
        <v>461.96543333333341</v>
      </c>
      <c r="DS24">
        <v>34.646076666666673</v>
      </c>
      <c r="DT24">
        <v>28.377163333333328</v>
      </c>
      <c r="DU24">
        <v>424.41079999999988</v>
      </c>
      <c r="DV24">
        <v>34.191099999999999</v>
      </c>
      <c r="DW24">
        <v>499.96276666666671</v>
      </c>
      <c r="DX24">
        <v>97.74375000000002</v>
      </c>
      <c r="DY24">
        <v>4.7794023333333352E-2</v>
      </c>
      <c r="DZ24">
        <v>33.495019999999997</v>
      </c>
      <c r="EA24">
        <v>32.823066666666669</v>
      </c>
      <c r="EB24">
        <v>999.9000000000002</v>
      </c>
      <c r="EC24">
        <v>0</v>
      </c>
      <c r="ED24">
        <v>0</v>
      </c>
      <c r="EE24">
        <v>10000.33333333333</v>
      </c>
      <c r="EF24">
        <v>0</v>
      </c>
      <c r="EG24">
        <v>734.49353333333318</v>
      </c>
      <c r="EH24">
        <v>-41.958376666666673</v>
      </c>
      <c r="EI24">
        <v>435.08086666666662</v>
      </c>
      <c r="EJ24">
        <v>475.45753333333317</v>
      </c>
      <c r="EK24">
        <v>6.2689086666666656</v>
      </c>
      <c r="EL24">
        <v>461.96543333333341</v>
      </c>
      <c r="EM24">
        <v>28.377163333333328</v>
      </c>
      <c r="EN24">
        <v>3.3864380000000001</v>
      </c>
      <c r="EO24">
        <v>2.7736900000000002</v>
      </c>
      <c r="EP24">
        <v>26.060896666666672</v>
      </c>
      <c r="EQ24">
        <v>22.72825000000001</v>
      </c>
      <c r="ER24">
        <v>599.9998333333333</v>
      </c>
      <c r="ES24">
        <v>0.9830131666666666</v>
      </c>
      <c r="ET24">
        <v>1.6986879999999999E-2</v>
      </c>
      <c r="EU24">
        <v>0</v>
      </c>
      <c r="EV24">
        <v>775.17526666666663</v>
      </c>
      <c r="EW24">
        <v>5.0010700000000003</v>
      </c>
      <c r="EX24">
        <v>7916.5803333333324</v>
      </c>
      <c r="EY24">
        <v>5415.1363333333338</v>
      </c>
      <c r="EZ24">
        <v>39.953799999999987</v>
      </c>
      <c r="FA24">
        <v>42.566199999999988</v>
      </c>
      <c r="FB24">
        <v>41.5</v>
      </c>
      <c r="FC24">
        <v>42.441199999999981</v>
      </c>
      <c r="FD24">
        <v>42.25</v>
      </c>
      <c r="FE24">
        <v>584.89199999999994</v>
      </c>
      <c r="FF24">
        <v>10.11</v>
      </c>
      <c r="FG24">
        <v>0</v>
      </c>
      <c r="FH24">
        <v>159.4000000953674</v>
      </c>
      <c r="FI24">
        <v>0</v>
      </c>
      <c r="FJ24">
        <v>775.04576470588233</v>
      </c>
      <c r="FK24">
        <v>-4.2566176555264894</v>
      </c>
      <c r="FL24">
        <v>-812.95833504474615</v>
      </c>
      <c r="FM24">
        <v>7878.5405882352943</v>
      </c>
      <c r="FN24">
        <v>10</v>
      </c>
      <c r="FO24">
        <v>1782926990</v>
      </c>
      <c r="FP24" t="s">
        <v>633</v>
      </c>
      <c r="FQ24">
        <v>1782926983.5</v>
      </c>
      <c r="FR24">
        <v>1782926990</v>
      </c>
      <c r="FS24">
        <v>39</v>
      </c>
      <c r="FT24">
        <v>4.2999999999999997E-2</v>
      </c>
      <c r="FU24">
        <v>-3.0000000000000001E-3</v>
      </c>
      <c r="FV24">
        <v>-4.5709999999999997</v>
      </c>
      <c r="FW24">
        <v>0.25800000000000001</v>
      </c>
      <c r="FX24">
        <v>463</v>
      </c>
      <c r="FY24">
        <v>28</v>
      </c>
      <c r="FZ24">
        <v>0.2</v>
      </c>
      <c r="GA24">
        <v>0.06</v>
      </c>
      <c r="GB24">
        <v>-41.893190243902453</v>
      </c>
      <c r="GC24">
        <v>-0.55152961672481005</v>
      </c>
      <c r="GD24">
        <v>0.19339370787665761</v>
      </c>
      <c r="GE24">
        <v>1</v>
      </c>
      <c r="GF24">
        <v>775.37444117647055</v>
      </c>
      <c r="GG24">
        <v>-3.5544537845237349</v>
      </c>
      <c r="GH24">
        <v>0.3955371768930131</v>
      </c>
      <c r="GI24">
        <v>1</v>
      </c>
      <c r="GJ24">
        <v>6.2521600000000008</v>
      </c>
      <c r="GK24">
        <v>0.47162843205576438</v>
      </c>
      <c r="GL24">
        <v>8.8732455826902271E-2</v>
      </c>
      <c r="GM24">
        <v>1</v>
      </c>
      <c r="GN24">
        <v>3</v>
      </c>
      <c r="GO24">
        <v>3</v>
      </c>
      <c r="GP24" t="s">
        <v>599</v>
      </c>
      <c r="GQ24">
        <v>3.1329600000000002</v>
      </c>
      <c r="GR24">
        <v>2.7233499999999999</v>
      </c>
      <c r="GS24">
        <v>9.1264799999999993E-2</v>
      </c>
      <c r="GT24">
        <v>9.7980300000000006E-2</v>
      </c>
      <c r="GU24">
        <v>0.142987</v>
      </c>
      <c r="GV24">
        <v>0.12542500000000001</v>
      </c>
      <c r="GW24">
        <v>22767.3</v>
      </c>
      <c r="GX24">
        <v>30437.4</v>
      </c>
      <c r="GY24">
        <v>27177.8</v>
      </c>
      <c r="GZ24">
        <v>34700</v>
      </c>
      <c r="HA24">
        <v>34113.599999999999</v>
      </c>
      <c r="HB24">
        <v>38768</v>
      </c>
      <c r="HC24">
        <v>40134.800000000003</v>
      </c>
      <c r="HD24">
        <v>44409.2</v>
      </c>
      <c r="HE24">
        <v>1.9672000000000001</v>
      </c>
      <c r="HF24">
        <v>1.7565999999999999</v>
      </c>
      <c r="HG24">
        <v>2.4884900000000001E-2</v>
      </c>
      <c r="HH24">
        <v>0</v>
      </c>
      <c r="HI24">
        <v>32.440899999999999</v>
      </c>
      <c r="HJ24">
        <v>999.9</v>
      </c>
      <c r="HK24">
        <v>56.2</v>
      </c>
      <c r="HL24">
        <v>39.6</v>
      </c>
      <c r="HM24">
        <v>41.7258</v>
      </c>
      <c r="HN24">
        <v>59.0092</v>
      </c>
      <c r="HO24">
        <v>7.1153899999999997</v>
      </c>
      <c r="HP24">
        <v>1</v>
      </c>
      <c r="HQ24">
        <v>0.54939000000000004</v>
      </c>
      <c r="HR24">
        <v>0</v>
      </c>
      <c r="HS24">
        <v>20.290600000000001</v>
      </c>
      <c r="HT24">
        <v>5.2100999999999997</v>
      </c>
      <c r="HU24">
        <v>11.908099999999999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1.86249</v>
      </c>
      <c r="IE24">
        <v>1.8620300000000001</v>
      </c>
      <c r="IF24">
        <v>1.8620300000000001</v>
      </c>
      <c r="IG24">
        <v>1.8626400000000001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-4.4039999999999999</v>
      </c>
      <c r="IX24">
        <v>0.45400000000000001</v>
      </c>
      <c r="IY24">
        <v>-2.4697679725709558</v>
      </c>
      <c r="IZ24">
        <v>-5.1825110452525594E-3</v>
      </c>
      <c r="JA24">
        <v>1.5265819664382561E-6</v>
      </c>
      <c r="JB24">
        <v>-1.241475652429701E-10</v>
      </c>
      <c r="JC24">
        <v>-0.2386708622041058</v>
      </c>
      <c r="JD24">
        <v>2.7492919904454862E-4</v>
      </c>
      <c r="JE24">
        <v>8.6739513355948885E-4</v>
      </c>
      <c r="JF24">
        <v>-8.2500691715147318E-6</v>
      </c>
      <c r="JG24">
        <v>21</v>
      </c>
      <c r="JH24">
        <v>1720</v>
      </c>
      <c r="JI24">
        <v>2</v>
      </c>
      <c r="JJ24">
        <v>37</v>
      </c>
      <c r="JK24">
        <v>1</v>
      </c>
      <c r="JL24">
        <v>0.9</v>
      </c>
      <c r="JM24">
        <v>1.18164</v>
      </c>
      <c r="JN24">
        <v>2.5439500000000002</v>
      </c>
      <c r="JO24">
        <v>1.50024</v>
      </c>
      <c r="JP24">
        <v>2.2705099999999998</v>
      </c>
      <c r="JQ24">
        <v>1.4477500000000001</v>
      </c>
      <c r="JR24">
        <v>2.4060100000000002</v>
      </c>
      <c r="JS24">
        <v>42.430399999999999</v>
      </c>
      <c r="JT24">
        <v>14.491</v>
      </c>
      <c r="JU24">
        <v>18</v>
      </c>
      <c r="JV24">
        <v>546.23099999999999</v>
      </c>
      <c r="JW24">
        <v>423.21199999999999</v>
      </c>
      <c r="JX24">
        <v>33.230899999999998</v>
      </c>
      <c r="JY24">
        <v>34.092799999999997</v>
      </c>
      <c r="JZ24">
        <v>30.000399999999999</v>
      </c>
      <c r="KA24">
        <v>34.053600000000003</v>
      </c>
      <c r="KB24">
        <v>34.014400000000002</v>
      </c>
      <c r="KC24">
        <v>23.6325</v>
      </c>
      <c r="KD24">
        <v>40.987000000000002</v>
      </c>
      <c r="KE24">
        <v>0</v>
      </c>
      <c r="KF24">
        <v>-999.9</v>
      </c>
      <c r="KG24">
        <v>461.86399999999998</v>
      </c>
      <c r="KH24">
        <v>28.2944</v>
      </c>
      <c r="KI24">
        <v>100.306</v>
      </c>
      <c r="KJ24">
        <v>99.536100000000005</v>
      </c>
    </row>
    <row r="25" spans="1:296" x14ac:dyDescent="0.3">
      <c r="A25">
        <v>9</v>
      </c>
      <c r="B25">
        <v>1782927197.5</v>
      </c>
      <c r="C25">
        <v>1213.900000095367</v>
      </c>
      <c r="D25" t="s">
        <v>634</v>
      </c>
      <c r="E25" t="s">
        <v>635</v>
      </c>
      <c r="F25">
        <v>15</v>
      </c>
      <c r="H25">
        <v>1782927189.5</v>
      </c>
      <c r="I25">
        <f t="shared" si="0"/>
        <v>5.0280602504792936E-3</v>
      </c>
      <c r="J25">
        <f t="shared" si="1"/>
        <v>5.0280602504792933</v>
      </c>
      <c r="K25">
        <f t="shared" si="2"/>
        <v>21.004797197157536</v>
      </c>
      <c r="L25">
        <f t="shared" si="3"/>
        <v>420.09680645161291</v>
      </c>
      <c r="M25">
        <f t="shared" si="4"/>
        <v>295.71501029093162</v>
      </c>
      <c r="N25">
        <f t="shared" si="5"/>
        <v>28.919371062154333</v>
      </c>
      <c r="O25">
        <f t="shared" si="6"/>
        <v>41.083255854506014</v>
      </c>
      <c r="P25">
        <f t="shared" si="7"/>
        <v>0.30816778455519805</v>
      </c>
      <c r="Q25">
        <f t="shared" si="8"/>
        <v>2.8901487139356927</v>
      </c>
      <c r="R25">
        <f t="shared" si="9"/>
        <v>0.29100732133732954</v>
      </c>
      <c r="S25">
        <f t="shared" si="10"/>
        <v>0.18334169767890499</v>
      </c>
      <c r="T25">
        <f t="shared" si="11"/>
        <v>64.413217775346766</v>
      </c>
      <c r="U25">
        <f t="shared" si="12"/>
        <v>32.392968741117606</v>
      </c>
      <c r="V25">
        <f t="shared" si="13"/>
        <v>32.707758064516128</v>
      </c>
      <c r="W25">
        <f t="shared" si="14"/>
        <v>4.9697389664206808</v>
      </c>
      <c r="X25">
        <f t="shared" si="15"/>
        <v>65.135748163308278</v>
      </c>
      <c r="Y25">
        <f t="shared" si="16"/>
        <v>3.3519208509099192</v>
      </c>
      <c r="Z25">
        <f t="shared" si="17"/>
        <v>5.1460541184020592</v>
      </c>
      <c r="AA25">
        <f t="shared" si="18"/>
        <v>1.6178181155107616</v>
      </c>
      <c r="AB25">
        <f t="shared" si="19"/>
        <v>-221.73745704613685</v>
      </c>
      <c r="AC25">
        <f t="shared" si="20"/>
        <v>96.689938649926845</v>
      </c>
      <c r="AD25">
        <f t="shared" si="21"/>
        <v>7.6632642863437948</v>
      </c>
      <c r="AE25">
        <f t="shared" si="22"/>
        <v>-52.971036334519439</v>
      </c>
      <c r="AF25">
        <f t="shared" si="23"/>
        <v>21.004797197157536</v>
      </c>
      <c r="AG25">
        <f t="shared" si="24"/>
        <v>5.0280602504792933</v>
      </c>
      <c r="AH25">
        <f t="shared" si="25"/>
        <v>21.197984022298812</v>
      </c>
      <c r="AI25">
        <v>461.07953106367881</v>
      </c>
      <c r="AJ25">
        <v>434.87978787878802</v>
      </c>
      <c r="AK25">
        <v>2.9611344544372758E-3</v>
      </c>
      <c r="AL25">
        <v>67.035130370775349</v>
      </c>
      <c r="AM25">
        <f t="shared" si="26"/>
        <v>4.9961141370809656</v>
      </c>
      <c r="AN25">
        <v>28.45803518330121</v>
      </c>
      <c r="AO25">
        <v>34.24981030303028</v>
      </c>
      <c r="AP25">
        <v>-2.1912690225522151E-4</v>
      </c>
      <c r="AQ25">
        <v>78.06741799999017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50629.950031483153</v>
      </c>
      <c r="AW25" t="s">
        <v>602</v>
      </c>
      <c r="AX25">
        <v>5106.9799999999996</v>
      </c>
      <c r="AY25">
        <v>578.59411764705885</v>
      </c>
      <c r="AZ25">
        <v>2544.5100000000002</v>
      </c>
      <c r="BA25">
        <f t="shared" si="30"/>
        <v>0.77261079042838943</v>
      </c>
      <c r="BB25">
        <v>-5.4210321881325969</v>
      </c>
      <c r="BC25" t="s">
        <v>636</v>
      </c>
      <c r="BD25">
        <v>5112.12</v>
      </c>
      <c r="BE25">
        <v>761.25241176470593</v>
      </c>
      <c r="BF25">
        <v>1728.1</v>
      </c>
      <c r="BG25">
        <f t="shared" si="31"/>
        <v>0.55948590257235931</v>
      </c>
      <c r="BH25">
        <v>0.5</v>
      </c>
      <c r="BI25">
        <f t="shared" si="32"/>
        <v>336.30530996215532</v>
      </c>
      <c r="BJ25">
        <f t="shared" si="33"/>
        <v>21.004797197157536</v>
      </c>
      <c r="BK25">
        <f t="shared" si="34"/>
        <v>94.079039942026768</v>
      </c>
      <c r="BL25">
        <f t="shared" si="35"/>
        <v>7.8576902006881333E-2</v>
      </c>
      <c r="BM25">
        <f t="shared" si="36"/>
        <v>0.47243215091719248</v>
      </c>
      <c r="BN25">
        <f t="shared" si="37"/>
        <v>522.46753422680843</v>
      </c>
      <c r="BO25" t="s">
        <v>407</v>
      </c>
      <c r="BP25">
        <v>0</v>
      </c>
      <c r="BQ25">
        <f t="shared" si="38"/>
        <v>522.46753422680843</v>
      </c>
      <c r="BR25">
        <f t="shared" si="39"/>
        <v>0.69766359919749532</v>
      </c>
      <c r="BS25">
        <f t="shared" si="40"/>
        <v>0.80194223006033516</v>
      </c>
      <c r="BT25">
        <f t="shared" si="41"/>
        <v>0.40375512078467657</v>
      </c>
      <c r="BU25">
        <f t="shared" si="42"/>
        <v>0.84109842592213524</v>
      </c>
      <c r="BV25">
        <f t="shared" si="43"/>
        <v>0.41528226478483171</v>
      </c>
      <c r="BW25">
        <f t="shared" si="44"/>
        <v>0.55039402576168872</v>
      </c>
      <c r="BX25">
        <f t="shared" si="45"/>
        <v>0.44960597423831128</v>
      </c>
      <c r="DG25">
        <f t="shared" si="46"/>
        <v>400.01096774193559</v>
      </c>
      <c r="DH25">
        <f t="shared" si="47"/>
        <v>336.30530996215532</v>
      </c>
      <c r="DI25">
        <f t="shared" si="48"/>
        <v>0.84074022235090429</v>
      </c>
      <c r="DJ25">
        <f t="shared" si="49"/>
        <v>0.16102862913724536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1782927189.5</v>
      </c>
      <c r="DQ25">
        <v>420.09680645161291</v>
      </c>
      <c r="DR25">
        <v>447.83951612903229</v>
      </c>
      <c r="DS25">
        <v>34.275064516129042</v>
      </c>
      <c r="DT25">
        <v>28.44772903225806</v>
      </c>
      <c r="DU25">
        <v>424.54380645161291</v>
      </c>
      <c r="DV25">
        <v>33.830096774193549</v>
      </c>
      <c r="DW25">
        <v>499.95987096774178</v>
      </c>
      <c r="DX25">
        <v>97.747216129032253</v>
      </c>
      <c r="DY25">
        <v>4.7518854838709677E-2</v>
      </c>
      <c r="DZ25">
        <v>33.32830645161291</v>
      </c>
      <c r="EA25">
        <v>32.707758064516128</v>
      </c>
      <c r="EB25">
        <v>999.90000000000032</v>
      </c>
      <c r="EC25">
        <v>0</v>
      </c>
      <c r="ED25">
        <v>0</v>
      </c>
      <c r="EE25">
        <v>10002.41935483871</v>
      </c>
      <c r="EF25">
        <v>0</v>
      </c>
      <c r="EG25">
        <v>926.90645161290331</v>
      </c>
      <c r="EH25">
        <v>-27.742609677419349</v>
      </c>
      <c r="EI25">
        <v>435.00664516129052</v>
      </c>
      <c r="EJ25">
        <v>460.95251612903229</v>
      </c>
      <c r="EK25">
        <v>5.8273351612903239</v>
      </c>
      <c r="EL25">
        <v>447.83951612903229</v>
      </c>
      <c r="EM25">
        <v>28.44772903225806</v>
      </c>
      <c r="EN25">
        <v>3.3502919354838712</v>
      </c>
      <c r="EO25">
        <v>2.7806864516129028</v>
      </c>
      <c r="EP25">
        <v>25.879587096774198</v>
      </c>
      <c r="EQ25">
        <v>22.76987096774193</v>
      </c>
      <c r="ER25">
        <v>400.01096774193559</v>
      </c>
      <c r="ES25">
        <v>0.97502270967741944</v>
      </c>
      <c r="ET25">
        <v>2.4977212903225798E-2</v>
      </c>
      <c r="EU25">
        <v>0</v>
      </c>
      <c r="EV25">
        <v>761.4981612903224</v>
      </c>
      <c r="EW25">
        <v>5.0010700000000003</v>
      </c>
      <c r="EX25">
        <v>6494.6238709677418</v>
      </c>
      <c r="EY25">
        <v>3583.8051612903232</v>
      </c>
      <c r="EZ25">
        <v>39.215451612903209</v>
      </c>
      <c r="FA25">
        <v>42.241870967741917</v>
      </c>
      <c r="FB25">
        <v>41.016000000000012</v>
      </c>
      <c r="FC25">
        <v>41.90499999999998</v>
      </c>
      <c r="FD25">
        <v>41.668999999999997</v>
      </c>
      <c r="FE25">
        <v>385.14387096774192</v>
      </c>
      <c r="FF25">
        <v>9.870000000000001</v>
      </c>
      <c r="FG25">
        <v>0</v>
      </c>
      <c r="FH25">
        <v>152.80000019073489</v>
      </c>
      <c r="FI25">
        <v>0</v>
      </c>
      <c r="FJ25">
        <v>761.25241176470593</v>
      </c>
      <c r="FK25">
        <v>-3.9551470348355928</v>
      </c>
      <c r="FL25">
        <v>142.49509747647619</v>
      </c>
      <c r="FM25">
        <v>6499.5523529411776</v>
      </c>
      <c r="FN25">
        <v>10</v>
      </c>
      <c r="FO25">
        <v>1782927155</v>
      </c>
      <c r="FP25" t="s">
        <v>637</v>
      </c>
      <c r="FQ25">
        <v>1782927149</v>
      </c>
      <c r="FR25">
        <v>1782927155</v>
      </c>
      <c r="FS25">
        <v>40</v>
      </c>
      <c r="FT25">
        <v>-4.2999999999999997E-2</v>
      </c>
      <c r="FU25">
        <v>1E-3</v>
      </c>
      <c r="FV25">
        <v>-4.5609999999999999</v>
      </c>
      <c r="FW25">
        <v>0.27300000000000002</v>
      </c>
      <c r="FX25">
        <v>449</v>
      </c>
      <c r="FY25">
        <v>28</v>
      </c>
      <c r="FZ25">
        <v>0.32</v>
      </c>
      <c r="GA25">
        <v>0.06</v>
      </c>
      <c r="GB25">
        <v>-27.8044075</v>
      </c>
      <c r="GC25">
        <v>6.6962476547925726E-2</v>
      </c>
      <c r="GD25">
        <v>0.2548644467040273</v>
      </c>
      <c r="GE25">
        <v>1</v>
      </c>
      <c r="GF25">
        <v>761.69317647058824</v>
      </c>
      <c r="GG25">
        <v>-3.868907561667069</v>
      </c>
      <c r="GH25">
        <v>0.43260017341027568</v>
      </c>
      <c r="GI25">
        <v>1</v>
      </c>
      <c r="GJ25">
        <v>5.8128017500000002</v>
      </c>
      <c r="GK25">
        <v>0.1419787992495061</v>
      </c>
      <c r="GL25">
        <v>2.6388202751182172E-2</v>
      </c>
      <c r="GM25">
        <v>1</v>
      </c>
      <c r="GN25">
        <v>3</v>
      </c>
      <c r="GO25">
        <v>3</v>
      </c>
      <c r="GP25" t="s">
        <v>599</v>
      </c>
      <c r="GQ25">
        <v>3.1329500000000001</v>
      </c>
      <c r="GR25">
        <v>2.7243300000000001</v>
      </c>
      <c r="GS25">
        <v>9.1250899999999996E-2</v>
      </c>
      <c r="GT25">
        <v>9.5753699999999997E-2</v>
      </c>
      <c r="GU25">
        <v>0.14196500000000001</v>
      </c>
      <c r="GV25">
        <v>0.12581999999999999</v>
      </c>
      <c r="GW25">
        <v>22766.3</v>
      </c>
      <c r="GX25">
        <v>30511.8</v>
      </c>
      <c r="GY25">
        <v>27176.3</v>
      </c>
      <c r="GZ25">
        <v>34699.300000000003</v>
      </c>
      <c r="HA25">
        <v>34152.699999999997</v>
      </c>
      <c r="HB25">
        <v>38751.699999999997</v>
      </c>
      <c r="HC25">
        <v>40132.6</v>
      </c>
      <c r="HD25">
        <v>44410.7</v>
      </c>
      <c r="HE25">
        <v>1.9658</v>
      </c>
      <c r="HF25">
        <v>1.7569999999999999</v>
      </c>
      <c r="HG25">
        <v>1.9937799999999999E-2</v>
      </c>
      <c r="HH25">
        <v>0</v>
      </c>
      <c r="HI25">
        <v>32.400700000000001</v>
      </c>
      <c r="HJ25">
        <v>999.9</v>
      </c>
      <c r="HK25">
        <v>56.3</v>
      </c>
      <c r="HL25">
        <v>39.6</v>
      </c>
      <c r="HM25">
        <v>41.796300000000002</v>
      </c>
      <c r="HN25">
        <v>59.279200000000003</v>
      </c>
      <c r="HO25">
        <v>7.4839700000000002</v>
      </c>
      <c r="HP25">
        <v>1</v>
      </c>
      <c r="HQ25">
        <v>0.55341499999999999</v>
      </c>
      <c r="HR25">
        <v>0</v>
      </c>
      <c r="HS25">
        <v>20.292300000000001</v>
      </c>
      <c r="HT25">
        <v>5.2088999999999999</v>
      </c>
      <c r="HU25">
        <v>11.908099999999999</v>
      </c>
      <c r="HV25">
        <v>4.984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1.86304</v>
      </c>
      <c r="ID25">
        <v>1.86249</v>
      </c>
      <c r="IE25">
        <v>1.8620300000000001</v>
      </c>
      <c r="IF25">
        <v>1.8620300000000001</v>
      </c>
      <c r="IG25">
        <v>1.8626400000000001</v>
      </c>
      <c r="IH25">
        <v>1.8635600000000001</v>
      </c>
      <c r="II25">
        <v>1.86154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-4.4459999999999997</v>
      </c>
      <c r="IX25">
        <v>0.44429999999999997</v>
      </c>
      <c r="IY25">
        <v>-2.5123138619951808</v>
      </c>
      <c r="IZ25">
        <v>-5.1825110452525594E-3</v>
      </c>
      <c r="JA25">
        <v>1.5265819664382561E-6</v>
      </c>
      <c r="JB25">
        <v>-1.241475652429701E-10</v>
      </c>
      <c r="JC25">
        <v>-0.23761296961523651</v>
      </c>
      <c r="JD25">
        <v>2.7492919904454862E-4</v>
      </c>
      <c r="JE25">
        <v>8.6739513355948885E-4</v>
      </c>
      <c r="JF25">
        <v>-8.2500691715147318E-6</v>
      </c>
      <c r="JG25">
        <v>21</v>
      </c>
      <c r="JH25">
        <v>1720</v>
      </c>
      <c r="JI25">
        <v>2</v>
      </c>
      <c r="JJ25">
        <v>37</v>
      </c>
      <c r="JK25">
        <v>0.8</v>
      </c>
      <c r="JL25">
        <v>0.7</v>
      </c>
      <c r="JM25">
        <v>1.1523399999999999</v>
      </c>
      <c r="JN25">
        <v>2.5524900000000001</v>
      </c>
      <c r="JO25">
        <v>1.50024</v>
      </c>
      <c r="JP25">
        <v>2.2705099999999998</v>
      </c>
      <c r="JQ25">
        <v>1.4477500000000001</v>
      </c>
      <c r="JR25">
        <v>2.35107</v>
      </c>
      <c r="JS25">
        <v>42.430399999999999</v>
      </c>
      <c r="JT25">
        <v>14.4648</v>
      </c>
      <c r="JU25">
        <v>18</v>
      </c>
      <c r="JV25">
        <v>545.64700000000005</v>
      </c>
      <c r="JW25">
        <v>423.74</v>
      </c>
      <c r="JX25">
        <v>33.111199999999997</v>
      </c>
      <c r="JY25">
        <v>34.1267</v>
      </c>
      <c r="JZ25">
        <v>30.000299999999999</v>
      </c>
      <c r="KA25">
        <v>34.096499999999999</v>
      </c>
      <c r="KB25">
        <v>34.057099999999998</v>
      </c>
      <c r="KC25">
        <v>23.0547</v>
      </c>
      <c r="KD25">
        <v>40.9726</v>
      </c>
      <c r="KE25">
        <v>0</v>
      </c>
      <c r="KF25">
        <v>-999.9</v>
      </c>
      <c r="KG25">
        <v>447.94400000000002</v>
      </c>
      <c r="KH25">
        <v>28.333600000000001</v>
      </c>
      <c r="KI25">
        <v>100.301</v>
      </c>
      <c r="KJ25">
        <v>99.537199999999999</v>
      </c>
    </row>
    <row r="26" spans="1:296" x14ac:dyDescent="0.3">
      <c r="A26">
        <v>10</v>
      </c>
      <c r="B26">
        <v>1782927334</v>
      </c>
      <c r="C26">
        <v>1350.400000095367</v>
      </c>
      <c r="D26" t="s">
        <v>638</v>
      </c>
      <c r="E26" t="s">
        <v>639</v>
      </c>
      <c r="F26">
        <v>15</v>
      </c>
      <c r="H26">
        <v>1782927326</v>
      </c>
      <c r="I26">
        <f t="shared" si="0"/>
        <v>4.6028111940439684E-3</v>
      </c>
      <c r="J26">
        <f t="shared" si="1"/>
        <v>4.6028111940439684</v>
      </c>
      <c r="K26">
        <f t="shared" si="2"/>
        <v>15.178946402311494</v>
      </c>
      <c r="L26">
        <f t="shared" si="3"/>
        <v>420.06348387096779</v>
      </c>
      <c r="M26">
        <f t="shared" si="4"/>
        <v>316.69558203577918</v>
      </c>
      <c r="N26">
        <f t="shared" si="5"/>
        <v>30.972944404755875</v>
      </c>
      <c r="O26">
        <f t="shared" si="6"/>
        <v>41.082363223285064</v>
      </c>
      <c r="P26">
        <f t="shared" si="7"/>
        <v>0.27288414594266103</v>
      </c>
      <c r="Q26">
        <f t="shared" si="8"/>
        <v>2.8907087218076319</v>
      </c>
      <c r="R26">
        <f t="shared" si="9"/>
        <v>0.25933801190105016</v>
      </c>
      <c r="S26">
        <f t="shared" si="10"/>
        <v>0.16324727058067787</v>
      </c>
      <c r="T26">
        <f t="shared" si="11"/>
        <v>48.440883346820478</v>
      </c>
      <c r="U26">
        <f t="shared" si="12"/>
        <v>32.44455920102007</v>
      </c>
      <c r="V26">
        <f t="shared" si="13"/>
        <v>32.838780645161293</v>
      </c>
      <c r="W26">
        <f t="shared" si="14"/>
        <v>5.0065218491530521</v>
      </c>
      <c r="X26">
        <f t="shared" si="15"/>
        <v>64.871292467571791</v>
      </c>
      <c r="Y26">
        <f t="shared" si="16"/>
        <v>3.3448419855829568</v>
      </c>
      <c r="Z26">
        <f t="shared" si="17"/>
        <v>5.1561204630769364</v>
      </c>
      <c r="AA26">
        <f t="shared" si="18"/>
        <v>1.6616798635700953</v>
      </c>
      <c r="AB26">
        <f t="shared" si="19"/>
        <v>-202.98397365733902</v>
      </c>
      <c r="AC26">
        <f t="shared" si="20"/>
        <v>81.723529742688882</v>
      </c>
      <c r="AD26">
        <f t="shared" si="21"/>
        <v>6.4810960658588481</v>
      </c>
      <c r="AE26">
        <f t="shared" si="22"/>
        <v>-66.338464501970819</v>
      </c>
      <c r="AF26">
        <f t="shared" si="23"/>
        <v>15.178946402311494</v>
      </c>
      <c r="AG26">
        <f t="shared" si="24"/>
        <v>4.6028111940439684</v>
      </c>
      <c r="AH26">
        <f t="shared" si="25"/>
        <v>15.330416829700942</v>
      </c>
      <c r="AI26">
        <v>453.7781064760913</v>
      </c>
      <c r="AJ26">
        <v>434.81627878787901</v>
      </c>
      <c r="AK26">
        <v>3.730695557009269E-3</v>
      </c>
      <c r="AL26">
        <v>67.035662528437626</v>
      </c>
      <c r="AM26">
        <f t="shared" si="26"/>
        <v>4.5948647077426639</v>
      </c>
      <c r="AN26">
        <v>28.868745580820661</v>
      </c>
      <c r="AO26">
        <v>34.197322424242429</v>
      </c>
      <c r="AP26">
        <v>-5.8274366975573301E-4</v>
      </c>
      <c r="AQ26">
        <v>78.068562075125982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50639.903068089698</v>
      </c>
      <c r="AW26" t="s">
        <v>602</v>
      </c>
      <c r="AX26">
        <v>5106.9799999999996</v>
      </c>
      <c r="AY26">
        <v>578.59411764705885</v>
      </c>
      <c r="AZ26">
        <v>2544.5100000000002</v>
      </c>
      <c r="BA26">
        <f t="shared" si="30"/>
        <v>0.77261079042838943</v>
      </c>
      <c r="BB26">
        <v>-5.4210321881325969</v>
      </c>
      <c r="BC26" t="s">
        <v>640</v>
      </c>
      <c r="BD26">
        <v>5113.3500000000004</v>
      </c>
      <c r="BE26">
        <v>756.6304705882352</v>
      </c>
      <c r="BF26">
        <v>1782.66</v>
      </c>
      <c r="BG26">
        <f t="shared" si="31"/>
        <v>0.5755609759638769</v>
      </c>
      <c r="BH26">
        <v>0.5</v>
      </c>
      <c r="BI26">
        <f t="shared" si="32"/>
        <v>252.2788382509014</v>
      </c>
      <c r="BJ26">
        <f t="shared" si="33"/>
        <v>15.178946402311494</v>
      </c>
      <c r="BK26">
        <f t="shared" si="34"/>
        <v>72.600927179360923</v>
      </c>
      <c r="BL26">
        <f t="shared" si="35"/>
        <v>8.16555947905412E-2</v>
      </c>
      <c r="BM26">
        <f t="shared" si="36"/>
        <v>0.42736696846285893</v>
      </c>
      <c r="BN26">
        <f t="shared" si="37"/>
        <v>527.34723230389147</v>
      </c>
      <c r="BO26" t="s">
        <v>407</v>
      </c>
      <c r="BP26">
        <v>0</v>
      </c>
      <c r="BQ26">
        <f t="shared" si="38"/>
        <v>527.34723230389147</v>
      </c>
      <c r="BR26">
        <f t="shared" si="39"/>
        <v>0.70417957866116287</v>
      </c>
      <c r="BS26">
        <f t="shared" si="40"/>
        <v>0.81734971221144359</v>
      </c>
      <c r="BT26">
        <f t="shared" si="41"/>
        <v>0.3776839490598683</v>
      </c>
      <c r="BU26">
        <f t="shared" si="42"/>
        <v>0.85213736594440825</v>
      </c>
      <c r="BV26">
        <f t="shared" si="43"/>
        <v>0.38752929707662076</v>
      </c>
      <c r="BW26">
        <f t="shared" si="44"/>
        <v>0.56966660121946855</v>
      </c>
      <c r="BX26">
        <f t="shared" si="45"/>
        <v>0.43033339878053145</v>
      </c>
      <c r="DG26">
        <f t="shared" si="46"/>
        <v>299.98445161290317</v>
      </c>
      <c r="DH26">
        <f t="shared" si="47"/>
        <v>252.2788382509014</v>
      </c>
      <c r="DI26">
        <f t="shared" si="48"/>
        <v>0.8409730467512343</v>
      </c>
      <c r="DJ26">
        <f t="shared" si="49"/>
        <v>0.16147798022988236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1782927326</v>
      </c>
      <c r="DQ26">
        <v>420.06348387096779</v>
      </c>
      <c r="DR26">
        <v>440.59764516129042</v>
      </c>
      <c r="DS26">
        <v>34.200709677419347</v>
      </c>
      <c r="DT26">
        <v>28.86643225806451</v>
      </c>
      <c r="DU26">
        <v>424.54316129032259</v>
      </c>
      <c r="DV26">
        <v>33.758535483870972</v>
      </c>
      <c r="DW26">
        <v>500.01806451612902</v>
      </c>
      <c r="DX26">
        <v>97.75186129032258</v>
      </c>
      <c r="DY26">
        <v>4.8506512903225822E-2</v>
      </c>
      <c r="DZ26">
        <v>33.363174193548382</v>
      </c>
      <c r="EA26">
        <v>32.838780645161293</v>
      </c>
      <c r="EB26">
        <v>999.90000000000032</v>
      </c>
      <c r="EC26">
        <v>0</v>
      </c>
      <c r="ED26">
        <v>0</v>
      </c>
      <c r="EE26">
        <v>10005.16129032258</v>
      </c>
      <c r="EF26">
        <v>0</v>
      </c>
      <c r="EG26">
        <v>1039.842903225807</v>
      </c>
      <c r="EH26">
        <v>-20.53417096774194</v>
      </c>
      <c r="EI26">
        <v>434.9387096774193</v>
      </c>
      <c r="EJ26">
        <v>453.69422580645181</v>
      </c>
      <c r="EK26">
        <v>5.3342761290322596</v>
      </c>
      <c r="EL26">
        <v>440.59764516129042</v>
      </c>
      <c r="EM26">
        <v>28.86643225806451</v>
      </c>
      <c r="EN26">
        <v>3.3431825806451618</v>
      </c>
      <c r="EO26">
        <v>2.8217477419354831</v>
      </c>
      <c r="EP26">
        <v>25.843729032258061</v>
      </c>
      <c r="EQ26">
        <v>23.011851612903229</v>
      </c>
      <c r="ER26">
        <v>299.98445161290317</v>
      </c>
      <c r="ES26">
        <v>0.96702141935483865</v>
      </c>
      <c r="ET26">
        <v>3.2978645161290322E-2</v>
      </c>
      <c r="EU26">
        <v>0</v>
      </c>
      <c r="EV26">
        <v>756.76725806451589</v>
      </c>
      <c r="EW26">
        <v>5.0010700000000003</v>
      </c>
      <c r="EX26">
        <v>5789.4461290322588</v>
      </c>
      <c r="EY26">
        <v>2667.907741935484</v>
      </c>
      <c r="EZ26">
        <v>38.811999999999983</v>
      </c>
      <c r="FA26">
        <v>42</v>
      </c>
      <c r="FB26">
        <v>40.686999999999983</v>
      </c>
      <c r="FC26">
        <v>41.787999999999982</v>
      </c>
      <c r="FD26">
        <v>41.326225806451603</v>
      </c>
      <c r="FE26">
        <v>285.25451612903231</v>
      </c>
      <c r="FF26">
        <v>9.7300000000000022</v>
      </c>
      <c r="FG26">
        <v>0</v>
      </c>
      <c r="FH26">
        <v>136</v>
      </c>
      <c r="FI26">
        <v>0</v>
      </c>
      <c r="FJ26">
        <v>756.6304705882352</v>
      </c>
      <c r="FK26">
        <v>-2.00343136776028</v>
      </c>
      <c r="FL26">
        <v>-94.056372702538638</v>
      </c>
      <c r="FM26">
        <v>5779.24</v>
      </c>
      <c r="FN26">
        <v>10</v>
      </c>
      <c r="FO26">
        <v>1782927292.5</v>
      </c>
      <c r="FP26" t="s">
        <v>641</v>
      </c>
      <c r="FQ26">
        <v>1782927289.5</v>
      </c>
      <c r="FR26">
        <v>1782927292.5</v>
      </c>
      <c r="FS26">
        <v>41</v>
      </c>
      <c r="FT26">
        <v>-3.3000000000000002E-2</v>
      </c>
      <c r="FU26">
        <v>-1E-3</v>
      </c>
      <c r="FV26">
        <v>-4.5629999999999997</v>
      </c>
      <c r="FW26">
        <v>0.27900000000000003</v>
      </c>
      <c r="FX26">
        <v>441</v>
      </c>
      <c r="FY26">
        <v>29</v>
      </c>
      <c r="FZ26">
        <v>0.44</v>
      </c>
      <c r="GA26">
        <v>0.06</v>
      </c>
      <c r="GB26">
        <v>-20.61171707317073</v>
      </c>
      <c r="GC26">
        <v>0.57823484320557283</v>
      </c>
      <c r="GD26">
        <v>0.27102316515377473</v>
      </c>
      <c r="GE26">
        <v>1</v>
      </c>
      <c r="GF26">
        <v>756.84791176470594</v>
      </c>
      <c r="GG26">
        <v>-2.314300983236274</v>
      </c>
      <c r="GH26">
        <v>0.29749674913172702</v>
      </c>
      <c r="GI26">
        <v>1</v>
      </c>
      <c r="GJ26">
        <v>5.3427517073170741</v>
      </c>
      <c r="GK26">
        <v>-0.1474889895470301</v>
      </c>
      <c r="GL26">
        <v>1.6029862817975551E-2</v>
      </c>
      <c r="GM26">
        <v>1</v>
      </c>
      <c r="GN26">
        <v>3</v>
      </c>
      <c r="GO26">
        <v>3</v>
      </c>
      <c r="GP26" t="s">
        <v>599</v>
      </c>
      <c r="GQ26">
        <v>3.1337999999999999</v>
      </c>
      <c r="GR26">
        <v>2.7242999999999999</v>
      </c>
      <c r="GS26">
        <v>9.1240799999999997E-2</v>
      </c>
      <c r="GT26">
        <v>9.4604499999999994E-2</v>
      </c>
      <c r="GU26">
        <v>0.141814</v>
      </c>
      <c r="GV26">
        <v>0.127553</v>
      </c>
      <c r="GW26">
        <v>22764</v>
      </c>
      <c r="GX26">
        <v>30547.4</v>
      </c>
      <c r="GY26">
        <v>27173.5</v>
      </c>
      <c r="GZ26">
        <v>34695.9</v>
      </c>
      <c r="HA26">
        <v>34156.300000000003</v>
      </c>
      <c r="HB26">
        <v>38669.800000000003</v>
      </c>
      <c r="HC26">
        <v>40129.300000000003</v>
      </c>
      <c r="HD26">
        <v>44404.9</v>
      </c>
      <c r="HE26">
        <v>1.9654</v>
      </c>
      <c r="HF26">
        <v>1.7576000000000001</v>
      </c>
      <c r="HG26">
        <v>1.7434399999999999E-2</v>
      </c>
      <c r="HH26">
        <v>0</v>
      </c>
      <c r="HI26">
        <v>32.5702</v>
      </c>
      <c r="HJ26">
        <v>999.9</v>
      </c>
      <c r="HK26">
        <v>56.5</v>
      </c>
      <c r="HL26">
        <v>39.6</v>
      </c>
      <c r="HM26">
        <v>41.941099999999999</v>
      </c>
      <c r="HN26">
        <v>59.2592</v>
      </c>
      <c r="HO26">
        <v>7.1714700000000002</v>
      </c>
      <c r="HP26">
        <v>1</v>
      </c>
      <c r="HQ26">
        <v>0.55723599999999995</v>
      </c>
      <c r="HR26">
        <v>0</v>
      </c>
      <c r="HS26">
        <v>20.293099999999999</v>
      </c>
      <c r="HT26">
        <v>5.2100999999999997</v>
      </c>
      <c r="HU26">
        <v>11.908099999999999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1.86304</v>
      </c>
      <c r="ID26">
        <v>1.86249</v>
      </c>
      <c r="IE26">
        <v>1.8620300000000001</v>
      </c>
      <c r="IF26">
        <v>1.8620300000000001</v>
      </c>
      <c r="IG26">
        <v>1.8626400000000001</v>
      </c>
      <c r="IH26">
        <v>1.8635299999999999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-4.4790000000000001</v>
      </c>
      <c r="IX26">
        <v>0.44209999999999999</v>
      </c>
      <c r="IY26">
        <v>-2.545012657162149</v>
      </c>
      <c r="IZ26">
        <v>-5.1825110452525594E-3</v>
      </c>
      <c r="JA26">
        <v>1.5265819664382561E-6</v>
      </c>
      <c r="JB26">
        <v>-1.241475652429701E-10</v>
      </c>
      <c r="JC26">
        <v>-0.23821944919936239</v>
      </c>
      <c r="JD26">
        <v>2.7492919904454862E-4</v>
      </c>
      <c r="JE26">
        <v>8.6739513355948885E-4</v>
      </c>
      <c r="JF26">
        <v>-8.2500691715147318E-6</v>
      </c>
      <c r="JG26">
        <v>21</v>
      </c>
      <c r="JH26">
        <v>1720</v>
      </c>
      <c r="JI26">
        <v>2</v>
      </c>
      <c r="JJ26">
        <v>37</v>
      </c>
      <c r="JK26">
        <v>0.7</v>
      </c>
      <c r="JL26">
        <v>0.7</v>
      </c>
      <c r="JM26">
        <v>1.1376999999999999</v>
      </c>
      <c r="JN26">
        <v>2.5390600000000001</v>
      </c>
      <c r="JO26">
        <v>1.50024</v>
      </c>
      <c r="JP26">
        <v>2.2705099999999998</v>
      </c>
      <c r="JQ26">
        <v>1.4477500000000001</v>
      </c>
      <c r="JR26">
        <v>2.47559</v>
      </c>
      <c r="JS26">
        <v>42.483699999999999</v>
      </c>
      <c r="JT26">
        <v>14.4648</v>
      </c>
      <c r="JU26">
        <v>18</v>
      </c>
      <c r="JV26">
        <v>545.75900000000001</v>
      </c>
      <c r="JW26">
        <v>424.45100000000002</v>
      </c>
      <c r="JX26">
        <v>33.121000000000002</v>
      </c>
      <c r="JY26">
        <v>34.173000000000002</v>
      </c>
      <c r="JZ26">
        <v>30.000499999999999</v>
      </c>
      <c r="KA26">
        <v>34.142499999999998</v>
      </c>
      <c r="KB26">
        <v>34.109000000000002</v>
      </c>
      <c r="KC26">
        <v>22.755700000000001</v>
      </c>
      <c r="KD26">
        <v>39.97</v>
      </c>
      <c r="KE26">
        <v>0</v>
      </c>
      <c r="KF26">
        <v>-999.9</v>
      </c>
      <c r="KG26">
        <v>440.726</v>
      </c>
      <c r="KH26">
        <v>28.829799999999999</v>
      </c>
      <c r="KI26">
        <v>100.292</v>
      </c>
      <c r="KJ26">
        <v>99.525700000000001</v>
      </c>
    </row>
    <row r="27" spans="1:296" x14ac:dyDescent="0.3">
      <c r="A27">
        <v>11</v>
      </c>
      <c r="B27">
        <v>1782927476.5</v>
      </c>
      <c r="C27">
        <v>1492.900000095367</v>
      </c>
      <c r="D27" t="s">
        <v>642</v>
      </c>
      <c r="E27" t="s">
        <v>643</v>
      </c>
      <c r="F27">
        <v>15</v>
      </c>
      <c r="H27">
        <v>1782927468.75</v>
      </c>
      <c r="I27">
        <f t="shared" si="0"/>
        <v>3.9724614240622151E-3</v>
      </c>
      <c r="J27">
        <f t="shared" si="1"/>
        <v>3.9724614240622151</v>
      </c>
      <c r="K27">
        <f t="shared" si="2"/>
        <v>9.0900081029019209</v>
      </c>
      <c r="L27">
        <f t="shared" si="3"/>
        <v>420.00813333333338</v>
      </c>
      <c r="M27">
        <f t="shared" si="4"/>
        <v>343.35647851173093</v>
      </c>
      <c r="N27">
        <f t="shared" si="5"/>
        <v>33.579721461458163</v>
      </c>
      <c r="O27">
        <f t="shared" si="6"/>
        <v>41.076132275158031</v>
      </c>
      <c r="P27">
        <f t="shared" si="7"/>
        <v>0.22973597704521298</v>
      </c>
      <c r="Q27">
        <f t="shared" si="8"/>
        <v>2.8906659897685092</v>
      </c>
      <c r="R27">
        <f t="shared" si="9"/>
        <v>0.22005315457394883</v>
      </c>
      <c r="S27">
        <f t="shared" si="10"/>
        <v>0.13836917629646764</v>
      </c>
      <c r="T27">
        <f t="shared" si="11"/>
        <v>32.48489081995222</v>
      </c>
      <c r="U27">
        <f t="shared" si="12"/>
        <v>32.666598403168805</v>
      </c>
      <c r="V27">
        <f t="shared" si="13"/>
        <v>33.030903333333328</v>
      </c>
      <c r="W27">
        <f t="shared" si="14"/>
        <v>5.0608860985531603</v>
      </c>
      <c r="X27">
        <f t="shared" si="15"/>
        <v>64.83583899872346</v>
      </c>
      <c r="Y27">
        <f t="shared" si="16"/>
        <v>3.3715135256785858</v>
      </c>
      <c r="Z27">
        <f t="shared" si="17"/>
        <v>5.2000769601284356</v>
      </c>
      <c r="AA27">
        <f t="shared" si="18"/>
        <v>1.6893725728745745</v>
      </c>
      <c r="AB27">
        <f t="shared" si="19"/>
        <v>-175.18554880114368</v>
      </c>
      <c r="AC27">
        <f t="shared" si="20"/>
        <v>75.401872937231033</v>
      </c>
      <c r="AD27">
        <f t="shared" si="21"/>
        <v>5.9899207798195784</v>
      </c>
      <c r="AE27">
        <f t="shared" si="22"/>
        <v>-61.308864264140865</v>
      </c>
      <c r="AF27">
        <f t="shared" si="23"/>
        <v>9.0900081029019209</v>
      </c>
      <c r="AG27">
        <f t="shared" si="24"/>
        <v>3.9724614240622151</v>
      </c>
      <c r="AH27">
        <f t="shared" si="25"/>
        <v>9.0517329591610682</v>
      </c>
      <c r="AI27">
        <v>446.20400724767791</v>
      </c>
      <c r="AJ27">
        <v>434.95182424242432</v>
      </c>
      <c r="AK27">
        <v>1.08951539498102E-2</v>
      </c>
      <c r="AL27">
        <v>67.095882815257326</v>
      </c>
      <c r="AM27">
        <f t="shared" si="26"/>
        <v>3.9609685045202303</v>
      </c>
      <c r="AN27">
        <v>29.869084113071139</v>
      </c>
      <c r="AO27">
        <v>34.459800606060597</v>
      </c>
      <c r="AP27">
        <v>-2.5232924362814812E-4</v>
      </c>
      <c r="AQ27">
        <v>78.256110595942715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50613.619413880224</v>
      </c>
      <c r="AW27" t="s">
        <v>602</v>
      </c>
      <c r="AX27">
        <v>5106.9799999999996</v>
      </c>
      <c r="AY27">
        <v>578.59411764705885</v>
      </c>
      <c r="AZ27">
        <v>2544.5100000000002</v>
      </c>
      <c r="BA27">
        <f t="shared" si="30"/>
        <v>0.77261079042838943</v>
      </c>
      <c r="BB27">
        <v>-5.4210321881325969</v>
      </c>
      <c r="BC27" t="s">
        <v>644</v>
      </c>
      <c r="BD27">
        <v>5113.71</v>
      </c>
      <c r="BE27">
        <v>750.76199999999994</v>
      </c>
      <c r="BF27">
        <v>1866.65</v>
      </c>
      <c r="BG27">
        <f t="shared" si="31"/>
        <v>0.59780248037928918</v>
      </c>
      <c r="BH27">
        <v>0.5</v>
      </c>
      <c r="BI27">
        <f t="shared" si="32"/>
        <v>168.29357306733269</v>
      </c>
      <c r="BJ27">
        <f t="shared" si="33"/>
        <v>9.0900081029019209</v>
      </c>
      <c r="BK27">
        <f t="shared" si="34"/>
        <v>50.303157705772307</v>
      </c>
      <c r="BL27">
        <f t="shared" si="35"/>
        <v>8.6224565956709395E-2</v>
      </c>
      <c r="BM27">
        <f t="shared" si="36"/>
        <v>0.36314252805828628</v>
      </c>
      <c r="BN27">
        <f t="shared" si="37"/>
        <v>534.46115238040602</v>
      </c>
      <c r="BO27" t="s">
        <v>407</v>
      </c>
      <c r="BP27">
        <v>0</v>
      </c>
      <c r="BQ27">
        <f t="shared" si="38"/>
        <v>534.46115238040602</v>
      </c>
      <c r="BR27">
        <f t="shared" si="39"/>
        <v>0.71367896907272066</v>
      </c>
      <c r="BS27">
        <f t="shared" si="40"/>
        <v>0.83763499596465729</v>
      </c>
      <c r="BT27">
        <f t="shared" si="41"/>
        <v>0.33723558549472948</v>
      </c>
      <c r="BU27">
        <f t="shared" si="42"/>
        <v>0.8663350831965182</v>
      </c>
      <c r="BV27">
        <f t="shared" si="43"/>
        <v>0.34480620767389664</v>
      </c>
      <c r="BW27">
        <f t="shared" si="44"/>
        <v>0.59630530743088694</v>
      </c>
      <c r="BX27">
        <f t="shared" si="45"/>
        <v>0.40369469256911306</v>
      </c>
      <c r="DG27">
        <f t="shared" si="46"/>
        <v>200.00116666666659</v>
      </c>
      <c r="DH27">
        <f t="shared" si="47"/>
        <v>168.29357306733269</v>
      </c>
      <c r="DI27">
        <f t="shared" si="48"/>
        <v>0.84146295680274907</v>
      </c>
      <c r="DJ27">
        <f t="shared" si="49"/>
        <v>0.16242350662930582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1782927468.75</v>
      </c>
      <c r="DQ27">
        <v>420.00813333333338</v>
      </c>
      <c r="DR27">
        <v>432.91783333333319</v>
      </c>
      <c r="DS27">
        <v>34.474110000000003</v>
      </c>
      <c r="DT27">
        <v>29.871659999999999</v>
      </c>
      <c r="DU27">
        <v>424.46230000000003</v>
      </c>
      <c r="DV27">
        <v>34.027540000000002</v>
      </c>
      <c r="DW27">
        <v>500.01816666666667</v>
      </c>
      <c r="DX27">
        <v>97.74941000000004</v>
      </c>
      <c r="DY27">
        <v>4.9011066666666672E-2</v>
      </c>
      <c r="DZ27">
        <v>33.514740000000003</v>
      </c>
      <c r="EA27">
        <v>33.030903333333328</v>
      </c>
      <c r="EB27">
        <v>999.9000000000002</v>
      </c>
      <c r="EC27">
        <v>0</v>
      </c>
      <c r="ED27">
        <v>0</v>
      </c>
      <c r="EE27">
        <v>10005.16666666667</v>
      </c>
      <c r="EF27">
        <v>0</v>
      </c>
      <c r="EG27">
        <v>866.43896666666672</v>
      </c>
      <c r="EH27">
        <v>-12.90971333333334</v>
      </c>
      <c r="EI27">
        <v>435.00453333333348</v>
      </c>
      <c r="EJ27">
        <v>446.24793333333332</v>
      </c>
      <c r="EK27">
        <v>4.6024506666666678</v>
      </c>
      <c r="EL27">
        <v>432.91783333333319</v>
      </c>
      <c r="EM27">
        <v>29.871659999999999</v>
      </c>
      <c r="EN27">
        <v>3.369823666666667</v>
      </c>
      <c r="EO27">
        <v>2.9199373333333329</v>
      </c>
      <c r="EP27">
        <v>25.977779999999999</v>
      </c>
      <c r="EQ27">
        <v>23.578263333333339</v>
      </c>
      <c r="ER27">
        <v>200.00116666666659</v>
      </c>
      <c r="ES27">
        <v>0.94997646666666669</v>
      </c>
      <c r="ET27">
        <v>5.0023153333333327E-2</v>
      </c>
      <c r="EU27">
        <v>0</v>
      </c>
      <c r="EV27">
        <v>750.96293333333335</v>
      </c>
      <c r="EW27">
        <v>5.0010700000000003</v>
      </c>
      <c r="EX27">
        <v>4629.8943333333336</v>
      </c>
      <c r="EY27">
        <v>1751.8226666666669</v>
      </c>
      <c r="EZ27">
        <v>38.75</v>
      </c>
      <c r="FA27">
        <v>42.061999999999983</v>
      </c>
      <c r="FB27">
        <v>40.612399999999987</v>
      </c>
      <c r="FC27">
        <v>42.024799999999992</v>
      </c>
      <c r="FD27">
        <v>41.316199999999988</v>
      </c>
      <c r="FE27">
        <v>185.24499999999989</v>
      </c>
      <c r="FF27">
        <v>9.7530000000000019</v>
      </c>
      <c r="FG27">
        <v>0</v>
      </c>
      <c r="FH27">
        <v>142</v>
      </c>
      <c r="FI27">
        <v>0</v>
      </c>
      <c r="FJ27">
        <v>750.76199999999994</v>
      </c>
      <c r="FK27">
        <v>-4.2995098123360078</v>
      </c>
      <c r="FL27">
        <v>-798.25245401370637</v>
      </c>
      <c r="FM27">
        <v>4598.34</v>
      </c>
      <c r="FN27">
        <v>10</v>
      </c>
      <c r="FO27">
        <v>1782927435.5</v>
      </c>
      <c r="FP27" t="s">
        <v>645</v>
      </c>
      <c r="FQ27">
        <v>1782927430.5</v>
      </c>
      <c r="FR27">
        <v>1782927435.5</v>
      </c>
      <c r="FS27">
        <v>42</v>
      </c>
      <c r="FT27">
        <v>2.5000000000000001E-2</v>
      </c>
      <c r="FU27">
        <v>-4.0000000000000001E-3</v>
      </c>
      <c r="FV27">
        <v>-4.5060000000000002</v>
      </c>
      <c r="FW27">
        <v>0.29399999999999998</v>
      </c>
      <c r="FX27">
        <v>433</v>
      </c>
      <c r="FY27">
        <v>29</v>
      </c>
      <c r="FZ27">
        <v>0.62</v>
      </c>
      <c r="GA27">
        <v>7.0000000000000007E-2</v>
      </c>
      <c r="GB27">
        <v>-12.944202499999999</v>
      </c>
      <c r="GC27">
        <v>0.35918386491558368</v>
      </c>
      <c r="GD27">
        <v>0.149142960758294</v>
      </c>
      <c r="GE27">
        <v>1</v>
      </c>
      <c r="GF27">
        <v>751.17558823529419</v>
      </c>
      <c r="GG27">
        <v>-4.2314132886118214</v>
      </c>
      <c r="GH27">
        <v>0.45282051486778702</v>
      </c>
      <c r="GI27">
        <v>1</v>
      </c>
      <c r="GJ27">
        <v>4.6023047500000001</v>
      </c>
      <c r="GK27">
        <v>-1.200686679174786E-2</v>
      </c>
      <c r="GL27">
        <v>5.7748506420079622E-3</v>
      </c>
      <c r="GM27">
        <v>1</v>
      </c>
      <c r="GN27">
        <v>3</v>
      </c>
      <c r="GO27">
        <v>3</v>
      </c>
      <c r="GP27" t="s">
        <v>599</v>
      </c>
      <c r="GQ27">
        <v>3.1337899999999999</v>
      </c>
      <c r="GR27">
        <v>2.7240799999999998</v>
      </c>
      <c r="GS27">
        <v>9.1224100000000002E-2</v>
      </c>
      <c r="GT27">
        <v>9.3318600000000002E-2</v>
      </c>
      <c r="GU27">
        <v>0.142508</v>
      </c>
      <c r="GV27">
        <v>0.13051299999999999</v>
      </c>
      <c r="GW27">
        <v>22761.4</v>
      </c>
      <c r="GX27">
        <v>30582.400000000001</v>
      </c>
      <c r="GY27">
        <v>27170.400000000001</v>
      </c>
      <c r="GZ27">
        <v>34687.1</v>
      </c>
      <c r="HA27">
        <v>34125.199999999997</v>
      </c>
      <c r="HB27">
        <v>38531.199999999997</v>
      </c>
      <c r="HC27">
        <v>40124.1</v>
      </c>
      <c r="HD27">
        <v>44396.2</v>
      </c>
      <c r="HE27">
        <v>1.964</v>
      </c>
      <c r="HF27">
        <v>1.7564</v>
      </c>
      <c r="HG27">
        <v>1.9818499999999999E-2</v>
      </c>
      <c r="HH27">
        <v>0</v>
      </c>
      <c r="HI27">
        <v>32.715899999999998</v>
      </c>
      <c r="HJ27">
        <v>999.9</v>
      </c>
      <c r="HK27">
        <v>56.5</v>
      </c>
      <c r="HL27">
        <v>39.700000000000003</v>
      </c>
      <c r="HM27">
        <v>42.168599999999998</v>
      </c>
      <c r="HN27">
        <v>59.5792</v>
      </c>
      <c r="HO27">
        <v>7.1955099999999996</v>
      </c>
      <c r="HP27">
        <v>1</v>
      </c>
      <c r="HQ27">
        <v>0.56713400000000003</v>
      </c>
      <c r="HR27">
        <v>0</v>
      </c>
      <c r="HS27">
        <v>20.294</v>
      </c>
      <c r="HT27">
        <v>5.2077099999999996</v>
      </c>
      <c r="HU27">
        <v>11.908099999999999</v>
      </c>
      <c r="HV27">
        <v>4.984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1.8674299999999999</v>
      </c>
      <c r="IC27">
        <v>1.8631</v>
      </c>
      <c r="ID27">
        <v>1.86249</v>
      </c>
      <c r="IE27">
        <v>1.8620300000000001</v>
      </c>
      <c r="IF27">
        <v>1.8620300000000001</v>
      </c>
      <c r="IG27">
        <v>1.8626400000000001</v>
      </c>
      <c r="IH27">
        <v>1.8635600000000001</v>
      </c>
      <c r="II27">
        <v>1.86154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-4.4539999999999997</v>
      </c>
      <c r="IX27">
        <v>0.44600000000000001</v>
      </c>
      <c r="IY27">
        <v>-2.5197805862888809</v>
      </c>
      <c r="IZ27">
        <v>-5.1825110452525594E-3</v>
      </c>
      <c r="JA27">
        <v>1.5265819664382561E-6</v>
      </c>
      <c r="JB27">
        <v>-1.241475652429701E-10</v>
      </c>
      <c r="JC27">
        <v>-0.2420663834799143</v>
      </c>
      <c r="JD27">
        <v>2.7492919904454862E-4</v>
      </c>
      <c r="JE27">
        <v>8.6739513355948885E-4</v>
      </c>
      <c r="JF27">
        <v>-8.2500691715147318E-6</v>
      </c>
      <c r="JG27">
        <v>21</v>
      </c>
      <c r="JH27">
        <v>1720</v>
      </c>
      <c r="JI27">
        <v>2</v>
      </c>
      <c r="JJ27">
        <v>37</v>
      </c>
      <c r="JK27">
        <v>0.8</v>
      </c>
      <c r="JL27">
        <v>0.7</v>
      </c>
      <c r="JM27">
        <v>1.1218300000000001</v>
      </c>
      <c r="JN27">
        <v>2.5402800000000001</v>
      </c>
      <c r="JO27">
        <v>1.50024</v>
      </c>
      <c r="JP27">
        <v>2.2705099999999998</v>
      </c>
      <c r="JQ27">
        <v>1.4477500000000001</v>
      </c>
      <c r="JR27">
        <v>2.4682599999999999</v>
      </c>
      <c r="JS27">
        <v>42.6706</v>
      </c>
      <c r="JT27">
        <v>14.4472</v>
      </c>
      <c r="JU27">
        <v>18</v>
      </c>
      <c r="JV27">
        <v>545.62900000000002</v>
      </c>
      <c r="JW27">
        <v>424.36200000000002</v>
      </c>
      <c r="JX27">
        <v>33.321899999999999</v>
      </c>
      <c r="JY27">
        <v>34.293900000000001</v>
      </c>
      <c r="JZ27">
        <v>30.000399999999999</v>
      </c>
      <c r="KA27">
        <v>34.241</v>
      </c>
      <c r="KB27">
        <v>34.207000000000001</v>
      </c>
      <c r="KC27">
        <v>22.449100000000001</v>
      </c>
      <c r="KD27">
        <v>38.584600000000002</v>
      </c>
      <c r="KE27">
        <v>0</v>
      </c>
      <c r="KF27">
        <v>-999.9</v>
      </c>
      <c r="KG27">
        <v>432.97</v>
      </c>
      <c r="KH27">
        <v>29.818300000000001</v>
      </c>
      <c r="KI27">
        <v>100.279</v>
      </c>
      <c r="KJ27">
        <v>99.503699999999995</v>
      </c>
    </row>
    <row r="28" spans="1:296" x14ac:dyDescent="0.3">
      <c r="A28">
        <v>12</v>
      </c>
      <c r="B28">
        <v>1782927607</v>
      </c>
      <c r="C28">
        <v>1623.400000095367</v>
      </c>
      <c r="D28" t="s">
        <v>646</v>
      </c>
      <c r="E28" t="s">
        <v>647</v>
      </c>
      <c r="F28">
        <v>15</v>
      </c>
      <c r="H28">
        <v>1782927599.25</v>
      </c>
      <c r="I28">
        <f t="shared" si="0"/>
        <v>3.407060457079363E-3</v>
      </c>
      <c r="J28">
        <f t="shared" si="1"/>
        <v>3.4070604570793632</v>
      </c>
      <c r="K28">
        <f t="shared" si="2"/>
        <v>1.9647211339820629</v>
      </c>
      <c r="L28">
        <f t="shared" si="3"/>
        <v>420.01779999999991</v>
      </c>
      <c r="M28">
        <f t="shared" si="4"/>
        <v>391.69798007110796</v>
      </c>
      <c r="N28">
        <f t="shared" si="5"/>
        <v>38.30561294935675</v>
      </c>
      <c r="O28">
        <f t="shared" si="6"/>
        <v>41.075114239086865</v>
      </c>
      <c r="P28">
        <f t="shared" si="7"/>
        <v>0.19518402299882637</v>
      </c>
      <c r="Q28">
        <f t="shared" si="8"/>
        <v>2.8912182394835781</v>
      </c>
      <c r="R28">
        <f t="shared" si="9"/>
        <v>0.18814805792934955</v>
      </c>
      <c r="S28">
        <f t="shared" si="10"/>
        <v>0.11820355887576561</v>
      </c>
      <c r="T28">
        <f t="shared" si="11"/>
        <v>16.511520531700306</v>
      </c>
      <c r="U28">
        <f t="shared" si="12"/>
        <v>32.754797591752897</v>
      </c>
      <c r="V28">
        <f t="shared" si="13"/>
        <v>33.089816666666671</v>
      </c>
      <c r="W28">
        <f t="shared" si="14"/>
        <v>5.0776591526475547</v>
      </c>
      <c r="X28">
        <f t="shared" si="15"/>
        <v>64.937478533760498</v>
      </c>
      <c r="Y28">
        <f t="shared" si="16"/>
        <v>3.3833787215039992</v>
      </c>
      <c r="Z28">
        <f t="shared" si="17"/>
        <v>5.2102095706488001</v>
      </c>
      <c r="AA28">
        <f t="shared" si="18"/>
        <v>1.6942804311435555</v>
      </c>
      <c r="AB28">
        <f t="shared" si="19"/>
        <v>-150.2513661571999</v>
      </c>
      <c r="AC28">
        <f t="shared" si="20"/>
        <v>71.654582718311588</v>
      </c>
      <c r="AD28">
        <f t="shared" si="21"/>
        <v>5.6937605350377556</v>
      </c>
      <c r="AE28">
        <f t="shared" si="22"/>
        <v>-56.391502372150256</v>
      </c>
      <c r="AF28">
        <f t="shared" si="23"/>
        <v>1.9647211339820629</v>
      </c>
      <c r="AG28">
        <f t="shared" si="24"/>
        <v>3.4070604570793632</v>
      </c>
      <c r="AH28">
        <f t="shared" si="25"/>
        <v>2.0154145803791526</v>
      </c>
      <c r="AI28">
        <v>437.51649904582541</v>
      </c>
      <c r="AJ28">
        <v>435.00546666666662</v>
      </c>
      <c r="AK28">
        <v>3.188944601641759E-3</v>
      </c>
      <c r="AL28">
        <v>67.035449311751833</v>
      </c>
      <c r="AM28">
        <f t="shared" si="26"/>
        <v>3.3795320829110187</v>
      </c>
      <c r="AN28">
        <v>30.65372140214469</v>
      </c>
      <c r="AO28">
        <v>34.570739393939398</v>
      </c>
      <c r="AP28">
        <v>-3.8235234220807679E-4</v>
      </c>
      <c r="AQ28">
        <v>78.068392739399769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50623.201806999226</v>
      </c>
      <c r="AW28" t="s">
        <v>602</v>
      </c>
      <c r="AX28">
        <v>5106.9799999999996</v>
      </c>
      <c r="AY28">
        <v>578.59411764705885</v>
      </c>
      <c r="AZ28">
        <v>2544.5100000000002</v>
      </c>
      <c r="BA28">
        <f t="shared" si="30"/>
        <v>0.77261079042838943</v>
      </c>
      <c r="BB28">
        <v>-5.4210321881325969</v>
      </c>
      <c r="BC28" t="s">
        <v>648</v>
      </c>
      <c r="BD28">
        <v>5118.12</v>
      </c>
      <c r="BE28">
        <v>739.2342941176471</v>
      </c>
      <c r="BF28">
        <v>1984.02</v>
      </c>
      <c r="BG28">
        <f t="shared" si="31"/>
        <v>0.62740582548681612</v>
      </c>
      <c r="BH28">
        <v>0.5</v>
      </c>
      <c r="BI28">
        <f t="shared" si="32"/>
        <v>84.290088673419817</v>
      </c>
      <c r="BJ28">
        <f t="shared" si="33"/>
        <v>1.9647211339820629</v>
      </c>
      <c r="BK28">
        <f t="shared" si="34"/>
        <v>26.442046332251945</v>
      </c>
      <c r="BL28">
        <f t="shared" si="35"/>
        <v>8.7623034194810337E-2</v>
      </c>
      <c r="BM28">
        <f t="shared" si="36"/>
        <v>0.28250219251822073</v>
      </c>
      <c r="BN28">
        <f t="shared" si="37"/>
        <v>543.66987900240474</v>
      </c>
      <c r="BO28" t="s">
        <v>407</v>
      </c>
      <c r="BP28">
        <v>0</v>
      </c>
      <c r="BQ28">
        <f t="shared" si="38"/>
        <v>543.66987900240474</v>
      </c>
      <c r="BR28">
        <f t="shared" si="39"/>
        <v>0.72597560558744134</v>
      </c>
      <c r="BS28">
        <f t="shared" si="40"/>
        <v>0.86422439081700964</v>
      </c>
      <c r="BT28">
        <f t="shared" si="41"/>
        <v>0.28012732957421227</v>
      </c>
      <c r="BU28">
        <f t="shared" si="42"/>
        <v>0.8857000013393469</v>
      </c>
      <c r="BV28">
        <f t="shared" si="43"/>
        <v>0.2851037549628867</v>
      </c>
      <c r="BW28">
        <f t="shared" si="44"/>
        <v>0.6355938485608662</v>
      </c>
      <c r="BX28">
        <f t="shared" si="45"/>
        <v>0.3644061514391338</v>
      </c>
      <c r="DG28">
        <f t="shared" si="46"/>
        <v>100.0057133333333</v>
      </c>
      <c r="DH28">
        <f t="shared" si="47"/>
        <v>84.290088673419817</v>
      </c>
      <c r="DI28">
        <f t="shared" si="48"/>
        <v>0.84285273174812458</v>
      </c>
      <c r="DJ28">
        <f t="shared" si="49"/>
        <v>0.16510577227388051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1782927599.25</v>
      </c>
      <c r="DQ28">
        <v>420.01779999999991</v>
      </c>
      <c r="DR28">
        <v>424.09216666666663</v>
      </c>
      <c r="DS28">
        <v>34.597086666666662</v>
      </c>
      <c r="DT28">
        <v>30.650576666666669</v>
      </c>
      <c r="DU28">
        <v>424.53840000000002</v>
      </c>
      <c r="DV28">
        <v>34.156126666666673</v>
      </c>
      <c r="DW28">
        <v>500.06503333333319</v>
      </c>
      <c r="DX28">
        <v>97.746220000000008</v>
      </c>
      <c r="DY28">
        <v>4.752645333333335E-2</v>
      </c>
      <c r="DZ28">
        <v>33.549520000000001</v>
      </c>
      <c r="EA28">
        <v>33.089816666666671</v>
      </c>
      <c r="EB28">
        <v>999.9000000000002</v>
      </c>
      <c r="EC28">
        <v>0</v>
      </c>
      <c r="ED28">
        <v>0</v>
      </c>
      <c r="EE28">
        <v>10008.66666666667</v>
      </c>
      <c r="EF28">
        <v>0</v>
      </c>
      <c r="EG28">
        <v>818.95043333333342</v>
      </c>
      <c r="EH28">
        <v>-4.0743499999999999</v>
      </c>
      <c r="EI28">
        <v>435.06996666666657</v>
      </c>
      <c r="EJ28">
        <v>437.5019333333334</v>
      </c>
      <c r="EK28">
        <v>3.9465159999999999</v>
      </c>
      <c r="EL28">
        <v>424.09216666666663</v>
      </c>
      <c r="EM28">
        <v>30.650576666666669</v>
      </c>
      <c r="EN28">
        <v>3.3817359999999992</v>
      </c>
      <c r="EO28">
        <v>2.9959776666666662</v>
      </c>
      <c r="EP28">
        <v>26.037406666666669</v>
      </c>
      <c r="EQ28">
        <v>24.005569999999999</v>
      </c>
      <c r="ER28">
        <v>100.0057133333333</v>
      </c>
      <c r="ES28">
        <v>0.89993713333333314</v>
      </c>
      <c r="ET28">
        <v>0.10006294333333331</v>
      </c>
      <c r="EU28">
        <v>0</v>
      </c>
      <c r="EV28">
        <v>739.29156666666665</v>
      </c>
      <c r="EW28">
        <v>5.0010700000000003</v>
      </c>
      <c r="EX28">
        <v>3650.652</v>
      </c>
      <c r="EY28">
        <v>836.60100000000023</v>
      </c>
      <c r="EZ28">
        <v>38.5</v>
      </c>
      <c r="FA28">
        <v>42.008266666666671</v>
      </c>
      <c r="FB28">
        <v>40.495800000000003</v>
      </c>
      <c r="FC28">
        <v>41.95379999999998</v>
      </c>
      <c r="FD28">
        <v>41.201699999999988</v>
      </c>
      <c r="FE28">
        <v>85.498333333333321</v>
      </c>
      <c r="FF28">
        <v>9.509999999999998</v>
      </c>
      <c r="FG28">
        <v>0</v>
      </c>
      <c r="FH28">
        <v>130</v>
      </c>
      <c r="FI28">
        <v>0</v>
      </c>
      <c r="FJ28">
        <v>739.2342941176471</v>
      </c>
      <c r="FK28">
        <v>-5.3921566496358757E-2</v>
      </c>
      <c r="FL28">
        <v>-238.59558805235289</v>
      </c>
      <c r="FM28">
        <v>3642.3817647058818</v>
      </c>
      <c r="FN28">
        <v>10</v>
      </c>
      <c r="FO28">
        <v>1782927570</v>
      </c>
      <c r="FP28" t="s">
        <v>649</v>
      </c>
      <c r="FQ28">
        <v>1782927567.5</v>
      </c>
      <c r="FR28">
        <v>1782927570</v>
      </c>
      <c r="FS28">
        <v>43</v>
      </c>
      <c r="FT28">
        <v>-6.6000000000000003E-2</v>
      </c>
      <c r="FU28">
        <v>-0.01</v>
      </c>
      <c r="FV28">
        <v>-4.5350000000000001</v>
      </c>
      <c r="FW28">
        <v>0.32</v>
      </c>
      <c r="FX28">
        <v>424</v>
      </c>
      <c r="FY28">
        <v>31</v>
      </c>
      <c r="FZ28">
        <v>1.45</v>
      </c>
      <c r="GA28">
        <v>0.06</v>
      </c>
      <c r="GB28">
        <v>-4.1269392682926833</v>
      </c>
      <c r="GC28">
        <v>0.44585142857143373</v>
      </c>
      <c r="GD28">
        <v>0.16904744727789281</v>
      </c>
      <c r="GE28">
        <v>1</v>
      </c>
      <c r="GF28">
        <v>739.35670588235291</v>
      </c>
      <c r="GG28">
        <v>-1.2881894595349519</v>
      </c>
      <c r="GH28">
        <v>0.1992868947923721</v>
      </c>
      <c r="GI28">
        <v>1</v>
      </c>
      <c r="GJ28">
        <v>3.9646739024390252</v>
      </c>
      <c r="GK28">
        <v>-0.31887365853657229</v>
      </c>
      <c r="GL28">
        <v>3.2292946966719513E-2</v>
      </c>
      <c r="GM28">
        <v>1</v>
      </c>
      <c r="GN28">
        <v>3</v>
      </c>
      <c r="GO28">
        <v>3</v>
      </c>
      <c r="GP28" t="s">
        <v>599</v>
      </c>
      <c r="GQ28">
        <v>3.1339899999999998</v>
      </c>
      <c r="GR28">
        <v>2.7244299999999999</v>
      </c>
      <c r="GS28">
        <v>9.1197600000000004E-2</v>
      </c>
      <c r="GT28">
        <v>9.1848100000000002E-2</v>
      </c>
      <c r="GU28">
        <v>0.14279800000000001</v>
      </c>
      <c r="GV28">
        <v>0.1328</v>
      </c>
      <c r="GW28">
        <v>22758.799999999999</v>
      </c>
      <c r="GX28">
        <v>30627</v>
      </c>
      <c r="GY28">
        <v>27166.9</v>
      </c>
      <c r="GZ28">
        <v>34682</v>
      </c>
      <c r="HA28">
        <v>34110.9</v>
      </c>
      <c r="HB28">
        <v>38425.699999999997</v>
      </c>
      <c r="HC28">
        <v>40120.1</v>
      </c>
      <c r="HD28">
        <v>44391.199999999997</v>
      </c>
      <c r="HE28">
        <v>1.9618</v>
      </c>
      <c r="HF28">
        <v>1.7565999999999999</v>
      </c>
      <c r="HG28">
        <v>2.0295400000000002E-2</v>
      </c>
      <c r="HH28">
        <v>0</v>
      </c>
      <c r="HI28">
        <v>32.753700000000002</v>
      </c>
      <c r="HJ28">
        <v>999.9</v>
      </c>
      <c r="HK28">
        <v>56.4</v>
      </c>
      <c r="HL28">
        <v>39.700000000000003</v>
      </c>
      <c r="HM28">
        <v>42.094499999999996</v>
      </c>
      <c r="HN28">
        <v>58.989199999999997</v>
      </c>
      <c r="HO28">
        <v>6.9190699999999996</v>
      </c>
      <c r="HP28">
        <v>1</v>
      </c>
      <c r="HQ28">
        <v>0.57475600000000004</v>
      </c>
      <c r="HR28">
        <v>0</v>
      </c>
      <c r="HS28">
        <v>20.294599999999999</v>
      </c>
      <c r="HT28">
        <v>5.2100999999999997</v>
      </c>
      <c r="HU28">
        <v>11.908099999999999</v>
      </c>
      <c r="HV28">
        <v>4.9843999999999999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1.8675200000000001</v>
      </c>
      <c r="IC28">
        <v>1.8631</v>
      </c>
      <c r="ID28">
        <v>1.86249</v>
      </c>
      <c r="IE28">
        <v>1.8620300000000001</v>
      </c>
      <c r="IF28">
        <v>1.8620300000000001</v>
      </c>
      <c r="IG28">
        <v>1.8626400000000001</v>
      </c>
      <c r="IH28">
        <v>1.8635600000000001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-4.5199999999999996</v>
      </c>
      <c r="IX28">
        <v>0.43990000000000001</v>
      </c>
      <c r="IY28">
        <v>-2.5861040153170118</v>
      </c>
      <c r="IZ28">
        <v>-5.1825110452525594E-3</v>
      </c>
      <c r="JA28">
        <v>1.5265819664382561E-6</v>
      </c>
      <c r="JB28">
        <v>-1.241475652429701E-10</v>
      </c>
      <c r="JC28">
        <v>-0.2516159407604972</v>
      </c>
      <c r="JD28">
        <v>2.7492919904454862E-4</v>
      </c>
      <c r="JE28">
        <v>8.6739513355948885E-4</v>
      </c>
      <c r="JF28">
        <v>-8.2500691715147318E-6</v>
      </c>
      <c r="JG28">
        <v>21</v>
      </c>
      <c r="JH28">
        <v>1720</v>
      </c>
      <c r="JI28">
        <v>2</v>
      </c>
      <c r="JJ28">
        <v>37</v>
      </c>
      <c r="JK28">
        <v>0.7</v>
      </c>
      <c r="JL28">
        <v>0.6</v>
      </c>
      <c r="JM28">
        <v>1.1047400000000001</v>
      </c>
      <c r="JN28">
        <v>2.5415000000000001</v>
      </c>
      <c r="JO28">
        <v>1.50024</v>
      </c>
      <c r="JP28">
        <v>2.2705099999999998</v>
      </c>
      <c r="JQ28">
        <v>1.4477500000000001</v>
      </c>
      <c r="JR28">
        <v>2.4877899999999999</v>
      </c>
      <c r="JS28">
        <v>42.777799999999999</v>
      </c>
      <c r="JT28">
        <v>14.4297</v>
      </c>
      <c r="JU28">
        <v>18</v>
      </c>
      <c r="JV28">
        <v>544.86400000000003</v>
      </c>
      <c r="JW28">
        <v>425.01299999999998</v>
      </c>
      <c r="JX28">
        <v>33.441899999999997</v>
      </c>
      <c r="JY28">
        <v>34.390300000000003</v>
      </c>
      <c r="JZ28">
        <v>30.0002</v>
      </c>
      <c r="KA28">
        <v>34.327500000000001</v>
      </c>
      <c r="KB28">
        <v>34.286999999999999</v>
      </c>
      <c r="KC28">
        <v>22.086600000000001</v>
      </c>
      <c r="KD28">
        <v>37.207700000000003</v>
      </c>
      <c r="KE28">
        <v>0</v>
      </c>
      <c r="KF28">
        <v>-999.9</v>
      </c>
      <c r="KG28">
        <v>424.23899999999998</v>
      </c>
      <c r="KH28">
        <v>30.700099999999999</v>
      </c>
      <c r="KI28">
        <v>100.268</v>
      </c>
      <c r="KJ28">
        <v>99.491</v>
      </c>
    </row>
    <row r="29" spans="1:296" x14ac:dyDescent="0.3">
      <c r="A29">
        <v>13</v>
      </c>
      <c r="B29">
        <v>1782927729.5</v>
      </c>
      <c r="C29">
        <v>1745.900000095367</v>
      </c>
      <c r="D29" t="s">
        <v>650</v>
      </c>
      <c r="E29" t="s">
        <v>651</v>
      </c>
      <c r="F29">
        <v>15</v>
      </c>
      <c r="H29">
        <v>1782927721.75</v>
      </c>
      <c r="I29">
        <f t="shared" si="0"/>
        <v>2.8505023593109863E-3</v>
      </c>
      <c r="J29">
        <f t="shared" si="1"/>
        <v>2.8505023593109864</v>
      </c>
      <c r="K29">
        <f t="shared" si="2"/>
        <v>-1.3119614621135001</v>
      </c>
      <c r="L29">
        <f t="shared" si="3"/>
        <v>419.77286666666657</v>
      </c>
      <c r="M29">
        <f t="shared" si="4"/>
        <v>420.94829436284073</v>
      </c>
      <c r="N29">
        <f t="shared" si="5"/>
        <v>41.167372106770962</v>
      </c>
      <c r="O29">
        <f t="shared" si="6"/>
        <v>41.052419106602031</v>
      </c>
      <c r="P29">
        <f t="shared" si="7"/>
        <v>0.15884792988691229</v>
      </c>
      <c r="Q29">
        <f t="shared" si="8"/>
        <v>2.8837386331545094</v>
      </c>
      <c r="R29">
        <f t="shared" si="9"/>
        <v>0.15414210902507383</v>
      </c>
      <c r="S29">
        <f t="shared" si="10"/>
        <v>9.6750005096030087E-2</v>
      </c>
      <c r="T29">
        <f t="shared" si="11"/>
        <v>8.2446722457776733</v>
      </c>
      <c r="U29">
        <f t="shared" si="12"/>
        <v>32.919387907870139</v>
      </c>
      <c r="V29">
        <f t="shared" si="13"/>
        <v>33.208073333333338</v>
      </c>
      <c r="W29">
        <f t="shared" si="14"/>
        <v>5.1114737206106424</v>
      </c>
      <c r="X29">
        <f t="shared" si="15"/>
        <v>64.649089479646975</v>
      </c>
      <c r="Y29">
        <f t="shared" si="16"/>
        <v>3.3814775556775243</v>
      </c>
      <c r="Z29">
        <f t="shared" si="17"/>
        <v>5.2305107200962073</v>
      </c>
      <c r="AA29">
        <f t="shared" si="18"/>
        <v>1.7299961649331181</v>
      </c>
      <c r="AB29">
        <f t="shared" si="19"/>
        <v>-125.7071540456145</v>
      </c>
      <c r="AC29">
        <f t="shared" si="20"/>
        <v>63.890140986544772</v>
      </c>
      <c r="AD29">
        <f t="shared" si="21"/>
        <v>5.094637092689525</v>
      </c>
      <c r="AE29">
        <f t="shared" si="22"/>
        <v>-48.477703720602527</v>
      </c>
      <c r="AF29">
        <f t="shared" si="23"/>
        <v>-1.3119614621135001</v>
      </c>
      <c r="AG29">
        <f t="shared" si="24"/>
        <v>2.8505023593109864</v>
      </c>
      <c r="AH29">
        <f t="shared" si="25"/>
        <v>-1.2453300515229655</v>
      </c>
      <c r="AI29">
        <v>433.30359867503091</v>
      </c>
      <c r="AJ29">
        <v>434.8606727272724</v>
      </c>
      <c r="AK29">
        <v>-2.7598674779134298E-3</v>
      </c>
      <c r="AL29">
        <v>67.035449311751833</v>
      </c>
      <c r="AM29">
        <f t="shared" si="26"/>
        <v>2.9093762811909429</v>
      </c>
      <c r="AN29">
        <v>31.311314518972519</v>
      </c>
      <c r="AO29">
        <v>34.682229696969692</v>
      </c>
      <c r="AP29">
        <v>-3.3484142993576303E-5</v>
      </c>
      <c r="AQ29">
        <v>78.068392739399769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50403.464204969678</v>
      </c>
      <c r="AW29" t="s">
        <v>602</v>
      </c>
      <c r="AX29">
        <v>5106.9799999999996</v>
      </c>
      <c r="AY29">
        <v>578.59411764705885</v>
      </c>
      <c r="AZ29">
        <v>2544.5100000000002</v>
      </c>
      <c r="BA29">
        <f t="shared" si="30"/>
        <v>0.77261079042838943</v>
      </c>
      <c r="BB29">
        <v>-5.4210321881325969</v>
      </c>
      <c r="BC29" t="s">
        <v>652</v>
      </c>
      <c r="BD29">
        <v>5113.72</v>
      </c>
      <c r="BE29">
        <v>720.27599999999995</v>
      </c>
      <c r="BF29">
        <v>2151.67</v>
      </c>
      <c r="BG29">
        <f t="shared" si="31"/>
        <v>0.66524792370577268</v>
      </c>
      <c r="BH29">
        <v>0.5</v>
      </c>
      <c r="BI29">
        <f t="shared" si="32"/>
        <v>42.15557374807134</v>
      </c>
      <c r="BJ29">
        <f t="shared" si="33"/>
        <v>-1.3119614621135001</v>
      </c>
      <c r="BK29">
        <f t="shared" si="34"/>
        <v>14.021953954265019</v>
      </c>
      <c r="BL29">
        <f t="shared" si="35"/>
        <v>9.7473960396686349E-2</v>
      </c>
      <c r="BM29">
        <f t="shared" si="36"/>
        <v>0.18257446541523567</v>
      </c>
      <c r="BN29">
        <f t="shared" si="37"/>
        <v>555.53099112908967</v>
      </c>
      <c r="BO29" t="s">
        <v>407</v>
      </c>
      <c r="BP29">
        <v>0</v>
      </c>
      <c r="BQ29">
        <f t="shared" si="38"/>
        <v>555.53099112908967</v>
      </c>
      <c r="BR29">
        <f t="shared" si="39"/>
        <v>0.74181403694382053</v>
      </c>
      <c r="BS29">
        <f t="shared" si="40"/>
        <v>0.89678530005513191</v>
      </c>
      <c r="BT29">
        <f t="shared" si="41"/>
        <v>0.19750836899128701</v>
      </c>
      <c r="BU29">
        <f t="shared" si="42"/>
        <v>0.90993321813502137</v>
      </c>
      <c r="BV29">
        <f t="shared" si="43"/>
        <v>0.19982543684922194</v>
      </c>
      <c r="BW29">
        <f t="shared" si="44"/>
        <v>0.69166823074713801</v>
      </c>
      <c r="BX29">
        <f t="shared" si="45"/>
        <v>0.30833176925286199</v>
      </c>
      <c r="DG29">
        <f t="shared" si="46"/>
        <v>50.024346666666673</v>
      </c>
      <c r="DH29">
        <f t="shared" si="47"/>
        <v>42.15557374807134</v>
      </c>
      <c r="DI29">
        <f t="shared" si="48"/>
        <v>0.8427011356884222</v>
      </c>
      <c r="DJ29">
        <f t="shared" si="49"/>
        <v>0.16481319187865467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1782927721.75</v>
      </c>
      <c r="DQ29">
        <v>419.77286666666657</v>
      </c>
      <c r="DR29">
        <v>419.63436666666672</v>
      </c>
      <c r="DS29">
        <v>34.576586666666657</v>
      </c>
      <c r="DT29">
        <v>31.273720000000001</v>
      </c>
      <c r="DU29">
        <v>424.29259999999999</v>
      </c>
      <c r="DV29">
        <v>34.242586666666661</v>
      </c>
      <c r="DW29">
        <v>499.91876666666673</v>
      </c>
      <c r="DX29">
        <v>97.746953333333323</v>
      </c>
      <c r="DY29">
        <v>4.978954E-2</v>
      </c>
      <c r="DZ29">
        <v>33.61902666666667</v>
      </c>
      <c r="EA29">
        <v>33.208073333333338</v>
      </c>
      <c r="EB29">
        <v>999.9000000000002</v>
      </c>
      <c r="EC29">
        <v>0</v>
      </c>
      <c r="ED29">
        <v>0</v>
      </c>
      <c r="EE29">
        <v>9965.6666666666661</v>
      </c>
      <c r="EF29">
        <v>0</v>
      </c>
      <c r="EG29">
        <v>703.04243333333341</v>
      </c>
      <c r="EH29">
        <v>0.13848365133333329</v>
      </c>
      <c r="EI29">
        <v>434.85640000000001</v>
      </c>
      <c r="EJ29">
        <v>433.1815666666667</v>
      </c>
      <c r="EK29">
        <v>3.4124933333333338</v>
      </c>
      <c r="EL29">
        <v>419.63436666666672</v>
      </c>
      <c r="EM29">
        <v>31.273720000000001</v>
      </c>
      <c r="EN29">
        <v>3.390471666666667</v>
      </c>
      <c r="EO29">
        <v>3.0569093333333339</v>
      </c>
      <c r="EP29">
        <v>26.08102666666667</v>
      </c>
      <c r="EQ29">
        <v>24.341180000000001</v>
      </c>
      <c r="ER29">
        <v>50.024346666666673</v>
      </c>
      <c r="ES29">
        <v>0.89996043333333342</v>
      </c>
      <c r="ET29">
        <v>0.10003977999999999</v>
      </c>
      <c r="EU29">
        <v>0</v>
      </c>
      <c r="EV29">
        <v>720.69930000000022</v>
      </c>
      <c r="EW29">
        <v>5.0010700000000003</v>
      </c>
      <c r="EX29">
        <v>2997.1683333333331</v>
      </c>
      <c r="EY29">
        <v>396.47370000000012</v>
      </c>
      <c r="EZ29">
        <v>38.366599999999998</v>
      </c>
      <c r="FA29">
        <v>41.936999999999983</v>
      </c>
      <c r="FB29">
        <v>40.375</v>
      </c>
      <c r="FC29">
        <v>41.870666666666658</v>
      </c>
      <c r="FD29">
        <v>41.099799999999981</v>
      </c>
      <c r="FE29">
        <v>40.518333333333338</v>
      </c>
      <c r="FF29">
        <v>4.5039999999999996</v>
      </c>
      <c r="FG29">
        <v>0</v>
      </c>
      <c r="FH29">
        <v>121.6000001430511</v>
      </c>
      <c r="FI29">
        <v>0</v>
      </c>
      <c r="FJ29">
        <v>720.27599999999995</v>
      </c>
      <c r="FK29">
        <v>-5.80147056467412</v>
      </c>
      <c r="FL29">
        <v>-85.522058032144983</v>
      </c>
      <c r="FM29">
        <v>3000.1135294117648</v>
      </c>
      <c r="FN29">
        <v>10</v>
      </c>
      <c r="FO29">
        <v>1782927750.5</v>
      </c>
      <c r="FP29" t="s">
        <v>653</v>
      </c>
      <c r="FQ29">
        <v>1782927567.5</v>
      </c>
      <c r="FR29">
        <v>1782927750.5</v>
      </c>
      <c r="FS29">
        <v>44</v>
      </c>
      <c r="FT29">
        <v>-6.6000000000000003E-2</v>
      </c>
      <c r="FU29">
        <v>-1.2E-2</v>
      </c>
      <c r="FV29">
        <v>-4.5350000000000001</v>
      </c>
      <c r="FW29">
        <v>0.33400000000000002</v>
      </c>
      <c r="FX29">
        <v>424</v>
      </c>
      <c r="FY29">
        <v>31</v>
      </c>
      <c r="FZ29">
        <v>1.45</v>
      </c>
      <c r="GA29">
        <v>0.08</v>
      </c>
      <c r="GB29">
        <v>0.18760903849999999</v>
      </c>
      <c r="GC29">
        <v>-0.9346327454409018</v>
      </c>
      <c r="GD29">
        <v>0.1540954394541065</v>
      </c>
      <c r="GE29">
        <v>1</v>
      </c>
      <c r="GF29">
        <v>721.05617647058818</v>
      </c>
      <c r="GG29">
        <v>-8.0660962588020126</v>
      </c>
      <c r="GH29">
        <v>0.81482396043880678</v>
      </c>
      <c r="GI29">
        <v>1</v>
      </c>
      <c r="GJ29">
        <v>3.4294307499999999</v>
      </c>
      <c r="GK29">
        <v>-0.39927275797373629</v>
      </c>
      <c r="GL29">
        <v>4.3005226681619768E-2</v>
      </c>
      <c r="GM29">
        <v>1</v>
      </c>
      <c r="GN29">
        <v>3</v>
      </c>
      <c r="GO29">
        <v>3</v>
      </c>
      <c r="GP29" t="s">
        <v>599</v>
      </c>
      <c r="GQ29">
        <v>3.1336200000000001</v>
      </c>
      <c r="GR29">
        <v>2.7246999999999999</v>
      </c>
      <c r="GS29">
        <v>9.1167200000000004E-2</v>
      </c>
      <c r="GT29">
        <v>9.1130600000000006E-2</v>
      </c>
      <c r="GU29">
        <v>0.14311299999999999</v>
      </c>
      <c r="GV29">
        <v>0.134855</v>
      </c>
      <c r="GW29">
        <v>22757.3</v>
      </c>
      <c r="GX29">
        <v>30648.6</v>
      </c>
      <c r="GY29">
        <v>27164.5</v>
      </c>
      <c r="GZ29">
        <v>34679.4</v>
      </c>
      <c r="HA29">
        <v>34096.300000000003</v>
      </c>
      <c r="HB29">
        <v>38332.5</v>
      </c>
      <c r="HC29">
        <v>40117.1</v>
      </c>
      <c r="HD29">
        <v>44388.6</v>
      </c>
      <c r="HE29">
        <v>1.9612000000000001</v>
      </c>
      <c r="HF29">
        <v>1.7567999999999999</v>
      </c>
      <c r="HG29">
        <v>2.1904699999999999E-2</v>
      </c>
      <c r="HH29">
        <v>0</v>
      </c>
      <c r="HI29">
        <v>32.850099999999998</v>
      </c>
      <c r="HJ29">
        <v>999.9</v>
      </c>
      <c r="HK29">
        <v>56.3</v>
      </c>
      <c r="HL29">
        <v>39.799999999999997</v>
      </c>
      <c r="HM29">
        <v>42.245100000000001</v>
      </c>
      <c r="HN29">
        <v>59.719200000000001</v>
      </c>
      <c r="HO29">
        <v>6.9871800000000004</v>
      </c>
      <c r="HP29">
        <v>1</v>
      </c>
      <c r="HQ29">
        <v>0.58042700000000003</v>
      </c>
      <c r="HR29">
        <v>0</v>
      </c>
      <c r="HS29">
        <v>20.295100000000001</v>
      </c>
      <c r="HT29">
        <v>5.2100999999999997</v>
      </c>
      <c r="HU29">
        <v>11.908099999999999</v>
      </c>
      <c r="HV29">
        <v>4.9843999999999999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1.8674299999999999</v>
      </c>
      <c r="IC29">
        <v>1.86307</v>
      </c>
      <c r="ID29">
        <v>1.86249</v>
      </c>
      <c r="IE29">
        <v>1.8620300000000001</v>
      </c>
      <c r="IF29">
        <v>1.8620300000000001</v>
      </c>
      <c r="IG29">
        <v>1.8626400000000001</v>
      </c>
      <c r="IH29">
        <v>1.8635600000000001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-4.5190000000000001</v>
      </c>
      <c r="IX29">
        <v>0.33400000000000002</v>
      </c>
      <c r="IY29">
        <v>-2.5861040153170118</v>
      </c>
      <c r="IZ29">
        <v>-5.1825110452525594E-3</v>
      </c>
      <c r="JA29">
        <v>1.5265819664382561E-6</v>
      </c>
      <c r="JB29">
        <v>-1.241475652429701E-10</v>
      </c>
      <c r="JC29">
        <v>-0.2516159407604972</v>
      </c>
      <c r="JD29">
        <v>2.7492919904454862E-4</v>
      </c>
      <c r="JE29">
        <v>8.6739513355948885E-4</v>
      </c>
      <c r="JF29">
        <v>-8.2500691715147318E-6</v>
      </c>
      <c r="JG29">
        <v>21</v>
      </c>
      <c r="JH29">
        <v>1720</v>
      </c>
      <c r="JI29">
        <v>2</v>
      </c>
      <c r="JJ29">
        <v>37</v>
      </c>
      <c r="JK29">
        <v>2.7</v>
      </c>
      <c r="JL29">
        <v>2.7</v>
      </c>
      <c r="JM29">
        <v>1.09497</v>
      </c>
      <c r="JN29">
        <v>2.5378400000000001</v>
      </c>
      <c r="JO29">
        <v>1.50024</v>
      </c>
      <c r="JP29">
        <v>2.2705099999999998</v>
      </c>
      <c r="JQ29">
        <v>1.4477500000000001</v>
      </c>
      <c r="JR29">
        <v>2.47559</v>
      </c>
      <c r="JS29">
        <v>42.8583</v>
      </c>
      <c r="JT29">
        <v>14.420999999999999</v>
      </c>
      <c r="JU29">
        <v>18</v>
      </c>
      <c r="JV29">
        <v>544.96900000000005</v>
      </c>
      <c r="JW29">
        <v>425.56400000000002</v>
      </c>
      <c r="JX29">
        <v>33.548999999999999</v>
      </c>
      <c r="JY29">
        <v>34.459000000000003</v>
      </c>
      <c r="JZ29">
        <v>30.000299999999999</v>
      </c>
      <c r="KA29">
        <v>34.389499999999998</v>
      </c>
      <c r="KB29">
        <v>34.351700000000001</v>
      </c>
      <c r="KC29">
        <v>21.9087</v>
      </c>
      <c r="KD29">
        <v>36.064999999999998</v>
      </c>
      <c r="KE29">
        <v>0</v>
      </c>
      <c r="KF29">
        <v>-999.9</v>
      </c>
      <c r="KG29">
        <v>419.84899999999999</v>
      </c>
      <c r="KH29">
        <v>31.439499999999999</v>
      </c>
      <c r="KI29">
        <v>100.26</v>
      </c>
      <c r="KJ29">
        <v>99.484399999999994</v>
      </c>
    </row>
    <row r="30" spans="1:296" x14ac:dyDescent="0.3">
      <c r="A30">
        <v>14</v>
      </c>
      <c r="B30">
        <v>1782927871.5</v>
      </c>
      <c r="C30">
        <v>1887.900000095367</v>
      </c>
      <c r="D30" t="s">
        <v>654</v>
      </c>
      <c r="E30" t="s">
        <v>655</v>
      </c>
      <c r="F30">
        <v>15</v>
      </c>
      <c r="H30">
        <v>1782927863.5</v>
      </c>
      <c r="I30">
        <f t="shared" si="0"/>
        <v>2.5525887142555138E-3</v>
      </c>
      <c r="J30">
        <f t="shared" si="1"/>
        <v>2.5525887142555139</v>
      </c>
      <c r="K30">
        <f t="shared" si="2"/>
        <v>-2.5178824259084811</v>
      </c>
      <c r="L30">
        <f t="shared" si="3"/>
        <v>419.91493548387092</v>
      </c>
      <c r="M30">
        <f t="shared" si="4"/>
        <v>436.23581909091087</v>
      </c>
      <c r="N30">
        <f t="shared" si="5"/>
        <v>42.662561548272393</v>
      </c>
      <c r="O30">
        <f t="shared" si="6"/>
        <v>41.066427826702814</v>
      </c>
      <c r="P30">
        <f t="shared" si="7"/>
        <v>0.14299681003186435</v>
      </c>
      <c r="Q30">
        <f t="shared" si="8"/>
        <v>2.8916050713224242</v>
      </c>
      <c r="R30">
        <f t="shared" si="9"/>
        <v>0.13918123031826457</v>
      </c>
      <c r="S30">
        <f t="shared" si="10"/>
        <v>8.7322603561689152E-2</v>
      </c>
      <c r="T30">
        <f t="shared" si="11"/>
        <v>4.9265316007447799</v>
      </c>
      <c r="U30">
        <f t="shared" si="12"/>
        <v>32.98231291066363</v>
      </c>
      <c r="V30">
        <f t="shared" si="13"/>
        <v>33.238458064516131</v>
      </c>
      <c r="W30">
        <f t="shared" si="14"/>
        <v>5.1201935662534082</v>
      </c>
      <c r="X30">
        <f t="shared" si="15"/>
        <v>65.084086529216449</v>
      </c>
      <c r="Y30">
        <f t="shared" si="16"/>
        <v>3.404766845978437</v>
      </c>
      <c r="Z30">
        <f t="shared" si="17"/>
        <v>5.2313353809614069</v>
      </c>
      <c r="AA30">
        <f t="shared" si="18"/>
        <v>1.7154267202749711</v>
      </c>
      <c r="AB30">
        <f t="shared" si="19"/>
        <v>-112.56916229866816</v>
      </c>
      <c r="AC30">
        <f t="shared" si="20"/>
        <v>59.767062800386682</v>
      </c>
      <c r="AD30">
        <f t="shared" si="21"/>
        <v>4.7536675027157971</v>
      </c>
      <c r="AE30">
        <f t="shared" si="22"/>
        <v>-43.121900394820898</v>
      </c>
      <c r="AF30">
        <f t="shared" si="23"/>
        <v>-2.5178824259084811</v>
      </c>
      <c r="AG30">
        <f t="shared" si="24"/>
        <v>2.5525887142555139</v>
      </c>
      <c r="AH30">
        <f t="shared" si="25"/>
        <v>-2.4858142149440505</v>
      </c>
      <c r="AI30">
        <v>432.04861827219202</v>
      </c>
      <c r="AJ30">
        <v>435.00391515151517</v>
      </c>
      <c r="AK30">
        <v>2.4451810791897548E-2</v>
      </c>
      <c r="AL30">
        <v>67.035689881630205</v>
      </c>
      <c r="AM30">
        <f t="shared" si="26"/>
        <v>2.5230857023524238</v>
      </c>
      <c r="AN30">
        <v>31.859909631273428</v>
      </c>
      <c r="AO30">
        <v>34.786521818181818</v>
      </c>
      <c r="AP30">
        <v>-7.4058467690565715E-4</v>
      </c>
      <c r="AQ30">
        <v>78.068929092422835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50622.058774005702</v>
      </c>
      <c r="AW30" t="s">
        <v>602</v>
      </c>
      <c r="AX30">
        <v>5106.9799999999996</v>
      </c>
      <c r="AY30">
        <v>578.59411764705885</v>
      </c>
      <c r="AZ30">
        <v>2544.5100000000002</v>
      </c>
      <c r="BA30">
        <f t="shared" si="30"/>
        <v>0.77261079042838943</v>
      </c>
      <c r="BB30">
        <v>-5.4210321881325969</v>
      </c>
      <c r="BC30" t="s">
        <v>656</v>
      </c>
      <c r="BD30">
        <v>5112.49</v>
      </c>
      <c r="BE30">
        <v>709.40164705882353</v>
      </c>
      <c r="BF30">
        <v>2286.21</v>
      </c>
      <c r="BG30">
        <f t="shared" si="31"/>
        <v>0.68970407484053364</v>
      </c>
      <c r="BH30">
        <v>0.5</v>
      </c>
      <c r="BI30">
        <f t="shared" si="32"/>
        <v>25.245003610614884</v>
      </c>
      <c r="BJ30">
        <f t="shared" si="33"/>
        <v>-2.5178824259084811</v>
      </c>
      <c r="BK30">
        <f t="shared" si="34"/>
        <v>8.705790929802534</v>
      </c>
      <c r="BL30">
        <f t="shared" si="35"/>
        <v>0.11499898383866401</v>
      </c>
      <c r="BM30">
        <f t="shared" si="36"/>
        <v>0.11298174708360133</v>
      </c>
      <c r="BN30">
        <f t="shared" si="37"/>
        <v>564.10187225109451</v>
      </c>
      <c r="BO30" t="s">
        <v>407</v>
      </c>
      <c r="BP30">
        <v>0</v>
      </c>
      <c r="BQ30">
        <f t="shared" si="38"/>
        <v>564.10187225109451</v>
      </c>
      <c r="BR30">
        <f t="shared" si="39"/>
        <v>0.75325894285691408</v>
      </c>
      <c r="BS30">
        <f t="shared" si="40"/>
        <v>0.91562679923143897</v>
      </c>
      <c r="BT30">
        <f t="shared" si="41"/>
        <v>0.13042766103651834</v>
      </c>
      <c r="BU30">
        <f t="shared" si="42"/>
        <v>0.92339756805756357</v>
      </c>
      <c r="BV30">
        <f t="shared" si="43"/>
        <v>0.13138914147783842</v>
      </c>
      <c r="BW30">
        <f t="shared" si="44"/>
        <v>0.72808795112214197</v>
      </c>
      <c r="BX30">
        <f t="shared" si="45"/>
        <v>0.27191204887785803</v>
      </c>
      <c r="DG30">
        <f t="shared" si="46"/>
        <v>29.964645161290331</v>
      </c>
      <c r="DH30">
        <f t="shared" si="47"/>
        <v>25.245003610614884</v>
      </c>
      <c r="DI30">
        <f t="shared" si="48"/>
        <v>0.84249299381751097</v>
      </c>
      <c r="DJ30">
        <f t="shared" si="49"/>
        <v>0.16441147806779616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1782927863.5</v>
      </c>
      <c r="DQ30">
        <v>419.91493548387092</v>
      </c>
      <c r="DR30">
        <v>418.17983870967748</v>
      </c>
      <c r="DS30">
        <v>34.814629032258068</v>
      </c>
      <c r="DT30">
        <v>31.858364516129029</v>
      </c>
      <c r="DU30">
        <v>424.43235483870973</v>
      </c>
      <c r="DV30">
        <v>34.379925806451602</v>
      </c>
      <c r="DW30">
        <v>500.03399999999999</v>
      </c>
      <c r="DX30">
        <v>97.747035483870974</v>
      </c>
      <c r="DY30">
        <v>4.998090322580645E-2</v>
      </c>
      <c r="DZ30">
        <v>33.621845161290317</v>
      </c>
      <c r="EA30">
        <v>33.238458064516131</v>
      </c>
      <c r="EB30">
        <v>999.90000000000032</v>
      </c>
      <c r="EC30">
        <v>0</v>
      </c>
      <c r="ED30">
        <v>0</v>
      </c>
      <c r="EE30">
        <v>10010.8064516129</v>
      </c>
      <c r="EF30">
        <v>0</v>
      </c>
      <c r="EG30">
        <v>697.61945161290316</v>
      </c>
      <c r="EH30">
        <v>1.7351196774193549</v>
      </c>
      <c r="EI30">
        <v>435.06148387096772</v>
      </c>
      <c r="EJ30">
        <v>431.94070967741942</v>
      </c>
      <c r="EK30">
        <v>2.9562748387096769</v>
      </c>
      <c r="EL30">
        <v>418.17983870967748</v>
      </c>
      <c r="EM30">
        <v>31.858364516129029</v>
      </c>
      <c r="EN30">
        <v>3.4030270967741938</v>
      </c>
      <c r="EO30">
        <v>3.1140603225806451</v>
      </c>
      <c r="EP30">
        <v>26.143551612903231</v>
      </c>
      <c r="EQ30">
        <v>24.650700000000001</v>
      </c>
      <c r="ER30">
        <v>29.964645161290331</v>
      </c>
      <c r="ES30">
        <v>0.90023074193548391</v>
      </c>
      <c r="ET30">
        <v>9.9769100000000027E-2</v>
      </c>
      <c r="EU30">
        <v>0</v>
      </c>
      <c r="EV30">
        <v>709.59303225806445</v>
      </c>
      <c r="EW30">
        <v>5.0010700000000003</v>
      </c>
      <c r="EX30">
        <v>2737.5845161290322</v>
      </c>
      <c r="EY30">
        <v>219.8528387096774</v>
      </c>
      <c r="EZ30">
        <v>38.076225806451603</v>
      </c>
      <c r="FA30">
        <v>41.752000000000002</v>
      </c>
      <c r="FB30">
        <v>40.186999999999983</v>
      </c>
      <c r="FC30">
        <v>41.628935483870968</v>
      </c>
      <c r="FD30">
        <v>40.889000000000003</v>
      </c>
      <c r="FE30">
        <v>22.472903225806458</v>
      </c>
      <c r="FF30">
        <v>2.4899999999999989</v>
      </c>
      <c r="FG30">
        <v>0</v>
      </c>
      <c r="FH30">
        <v>141.20000004768369</v>
      </c>
      <c r="FI30">
        <v>0</v>
      </c>
      <c r="FJ30">
        <v>709.40164705882353</v>
      </c>
      <c r="FK30">
        <v>-0.80539213252653952</v>
      </c>
      <c r="FL30">
        <v>-40.147058953962173</v>
      </c>
      <c r="FM30">
        <v>2738.3247058823531</v>
      </c>
      <c r="FN30">
        <v>10</v>
      </c>
      <c r="FO30">
        <v>1782927841</v>
      </c>
      <c r="FP30" t="s">
        <v>657</v>
      </c>
      <c r="FQ30">
        <v>1782927830.5</v>
      </c>
      <c r="FR30">
        <v>1782927841</v>
      </c>
      <c r="FS30">
        <v>45</v>
      </c>
      <c r="FT30">
        <v>3.0000000000000001E-3</v>
      </c>
      <c r="FU30">
        <v>-1E-3</v>
      </c>
      <c r="FV30">
        <v>-4.5069999999999997</v>
      </c>
      <c r="FW30">
        <v>0.34</v>
      </c>
      <c r="FX30">
        <v>417</v>
      </c>
      <c r="FY30">
        <v>32</v>
      </c>
      <c r="FZ30">
        <v>1.85</v>
      </c>
      <c r="GA30">
        <v>0.09</v>
      </c>
      <c r="GB30">
        <v>1.6485148780487811</v>
      </c>
      <c r="GC30">
        <v>0.66370933797909637</v>
      </c>
      <c r="GD30">
        <v>0.2294811821938407</v>
      </c>
      <c r="GE30">
        <v>1</v>
      </c>
      <c r="GF30">
        <v>709.77805882352936</v>
      </c>
      <c r="GG30">
        <v>-3.8639266600825479</v>
      </c>
      <c r="GH30">
        <v>0.43327690786924777</v>
      </c>
      <c r="GI30">
        <v>1</v>
      </c>
      <c r="GJ30">
        <v>2.972640487804878</v>
      </c>
      <c r="GK30">
        <v>-0.26743923344947562</v>
      </c>
      <c r="GL30">
        <v>3.5463905247050891E-2</v>
      </c>
      <c r="GM30">
        <v>1</v>
      </c>
      <c r="GN30">
        <v>3</v>
      </c>
      <c r="GO30">
        <v>3</v>
      </c>
      <c r="GP30" t="s">
        <v>599</v>
      </c>
      <c r="GQ30">
        <v>3.1332800000000001</v>
      </c>
      <c r="GR30">
        <v>2.72601</v>
      </c>
      <c r="GS30">
        <v>9.1177499999999995E-2</v>
      </c>
      <c r="GT30">
        <v>9.0880500000000003E-2</v>
      </c>
      <c r="GU30">
        <v>0.143429</v>
      </c>
      <c r="GV30">
        <v>0.136355</v>
      </c>
      <c r="GW30">
        <v>22756.3</v>
      </c>
      <c r="GX30">
        <v>30656.1</v>
      </c>
      <c r="GY30">
        <v>27163.9</v>
      </c>
      <c r="GZ30">
        <v>34678.699999999997</v>
      </c>
      <c r="HA30">
        <v>34082.6</v>
      </c>
      <c r="HB30">
        <v>38265.4</v>
      </c>
      <c r="HC30">
        <v>40115.5</v>
      </c>
      <c r="HD30">
        <v>44387.8</v>
      </c>
      <c r="HE30">
        <v>1.9601999999999999</v>
      </c>
      <c r="HF30">
        <v>1.7567999999999999</v>
      </c>
      <c r="HG30">
        <v>2.4437899999999999E-2</v>
      </c>
      <c r="HH30">
        <v>0</v>
      </c>
      <c r="HI30">
        <v>32.853099999999998</v>
      </c>
      <c r="HJ30">
        <v>999.9</v>
      </c>
      <c r="HK30">
        <v>56.3</v>
      </c>
      <c r="HL30">
        <v>39.799999999999997</v>
      </c>
      <c r="HM30">
        <v>42.244599999999998</v>
      </c>
      <c r="HN30">
        <v>59.709099999999999</v>
      </c>
      <c r="HO30">
        <v>7.0793299999999997</v>
      </c>
      <c r="HP30">
        <v>1</v>
      </c>
      <c r="HQ30">
        <v>0.58361799999999997</v>
      </c>
      <c r="HR30">
        <v>0</v>
      </c>
      <c r="HS30">
        <v>20.295300000000001</v>
      </c>
      <c r="HT30">
        <v>5.2100999999999997</v>
      </c>
      <c r="HU30">
        <v>11.908099999999999</v>
      </c>
      <c r="HV30">
        <v>4.9855999999999998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1.8673999999999999</v>
      </c>
      <c r="IC30">
        <v>1.8631</v>
      </c>
      <c r="ID30">
        <v>1.86249</v>
      </c>
      <c r="IE30">
        <v>1.8620300000000001</v>
      </c>
      <c r="IF30">
        <v>1.8620300000000001</v>
      </c>
      <c r="IG30">
        <v>1.8626400000000001</v>
      </c>
      <c r="IH30">
        <v>1.8635600000000001</v>
      </c>
      <c r="II30">
        <v>1.8615699999999999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-4.5170000000000003</v>
      </c>
      <c r="IX30">
        <v>0.43390000000000001</v>
      </c>
      <c r="IY30">
        <v>-2.5833388240441262</v>
      </c>
      <c r="IZ30">
        <v>-5.1825110452525594E-3</v>
      </c>
      <c r="JA30">
        <v>1.5265819664382561E-6</v>
      </c>
      <c r="JB30">
        <v>-1.241475652429701E-10</v>
      </c>
      <c r="JC30">
        <v>-0.26472985672799221</v>
      </c>
      <c r="JD30">
        <v>2.7492919904454862E-4</v>
      </c>
      <c r="JE30">
        <v>8.6739513355948885E-4</v>
      </c>
      <c r="JF30">
        <v>-8.2500691715147318E-6</v>
      </c>
      <c r="JG30">
        <v>21</v>
      </c>
      <c r="JH30">
        <v>1720</v>
      </c>
      <c r="JI30">
        <v>2</v>
      </c>
      <c r="JJ30">
        <v>37</v>
      </c>
      <c r="JK30">
        <v>0.7</v>
      </c>
      <c r="JL30">
        <v>0.5</v>
      </c>
      <c r="JM30">
        <v>1.09253</v>
      </c>
      <c r="JN30">
        <v>2.5402800000000001</v>
      </c>
      <c r="JO30">
        <v>1.50024</v>
      </c>
      <c r="JP30">
        <v>2.2705099999999998</v>
      </c>
      <c r="JQ30">
        <v>1.4477500000000001</v>
      </c>
      <c r="JR30">
        <v>2.4084500000000002</v>
      </c>
      <c r="JS30">
        <v>42.912100000000002</v>
      </c>
      <c r="JT30">
        <v>14.403499999999999</v>
      </c>
      <c r="JU30">
        <v>18</v>
      </c>
      <c r="JV30">
        <v>544.67899999999997</v>
      </c>
      <c r="JW30">
        <v>425.85</v>
      </c>
      <c r="JX30">
        <v>33.552700000000002</v>
      </c>
      <c r="JY30">
        <v>34.496499999999997</v>
      </c>
      <c r="JZ30">
        <v>30</v>
      </c>
      <c r="KA30">
        <v>34.436100000000003</v>
      </c>
      <c r="KB30">
        <v>34.395000000000003</v>
      </c>
      <c r="KC30">
        <v>21.857199999999999</v>
      </c>
      <c r="KD30">
        <v>35.322099999999999</v>
      </c>
      <c r="KE30">
        <v>0</v>
      </c>
      <c r="KF30">
        <v>-999.9</v>
      </c>
      <c r="KG30">
        <v>418.39600000000002</v>
      </c>
      <c r="KH30">
        <v>31.8109</v>
      </c>
      <c r="KI30">
        <v>100.256</v>
      </c>
      <c r="KJ30">
        <v>99.482399999999998</v>
      </c>
    </row>
    <row r="31" spans="1:296" x14ac:dyDescent="0.3">
      <c r="A31">
        <v>15</v>
      </c>
      <c r="B31">
        <v>1782928049.5</v>
      </c>
      <c r="C31">
        <v>2065.900000095367</v>
      </c>
      <c r="D31" t="s">
        <v>658</v>
      </c>
      <c r="E31" t="s">
        <v>659</v>
      </c>
      <c r="F31">
        <v>15</v>
      </c>
      <c r="H31">
        <v>1782928041.5</v>
      </c>
      <c r="I31">
        <f t="shared" si="0"/>
        <v>2.2683731334110098E-3</v>
      </c>
      <c r="J31">
        <f t="shared" si="1"/>
        <v>2.2683731334110098</v>
      </c>
      <c r="K31">
        <f t="shared" si="2"/>
        <v>-5.2534396484244068</v>
      </c>
      <c r="L31">
        <f t="shared" si="3"/>
        <v>420.04706451612901</v>
      </c>
      <c r="M31">
        <f t="shared" si="4"/>
        <v>474.52280184214663</v>
      </c>
      <c r="N31">
        <f t="shared" si="5"/>
        <v>46.4068606159152</v>
      </c>
      <c r="O31">
        <f t="shared" si="6"/>
        <v>41.079302194647418</v>
      </c>
      <c r="P31">
        <f t="shared" si="7"/>
        <v>0.12709880307798646</v>
      </c>
      <c r="Q31">
        <f t="shared" si="8"/>
        <v>2.8895847690641978</v>
      </c>
      <c r="R31">
        <f t="shared" si="9"/>
        <v>0.12407275093763837</v>
      </c>
      <c r="S31">
        <f t="shared" si="10"/>
        <v>7.7811347419740828E-2</v>
      </c>
      <c r="T31">
        <f t="shared" si="11"/>
        <v>1.5966703903835998E-4</v>
      </c>
      <c r="U31">
        <f t="shared" si="12"/>
        <v>32.853041940793261</v>
      </c>
      <c r="V31">
        <f t="shared" si="13"/>
        <v>33.091638709677433</v>
      </c>
      <c r="W31">
        <f t="shared" si="14"/>
        <v>5.078178671640952</v>
      </c>
      <c r="X31">
        <f t="shared" si="15"/>
        <v>64.999773433092571</v>
      </c>
      <c r="Y31">
        <f t="shared" si="16"/>
        <v>3.3674000788635752</v>
      </c>
      <c r="Z31">
        <f t="shared" si="17"/>
        <v>5.1806335637920391</v>
      </c>
      <c r="AA31">
        <f t="shared" si="18"/>
        <v>1.7107785927773769</v>
      </c>
      <c r="AB31">
        <f t="shared" si="19"/>
        <v>-100.03525518342553</v>
      </c>
      <c r="AC31">
        <f t="shared" si="20"/>
        <v>55.489506820901674</v>
      </c>
      <c r="AD31">
        <f t="shared" si="21"/>
        <v>4.4095983897725004</v>
      </c>
      <c r="AE31">
        <f t="shared" si="22"/>
        <v>-40.135990305712319</v>
      </c>
      <c r="AF31">
        <f t="shared" si="23"/>
        <v>-5.2534396484244068</v>
      </c>
      <c r="AG31">
        <f t="shared" si="24"/>
        <v>2.2683731334110098</v>
      </c>
      <c r="AH31">
        <f t="shared" si="25"/>
        <v>-5.2791555828050214</v>
      </c>
      <c r="AI31">
        <v>428.48329840441488</v>
      </c>
      <c r="AJ31">
        <v>435.03395757575748</v>
      </c>
      <c r="AK31">
        <v>-1.369437522706865E-3</v>
      </c>
      <c r="AL31">
        <v>67.035505519871705</v>
      </c>
      <c r="AM31">
        <f t="shared" si="26"/>
        <v>2.2546599959540261</v>
      </c>
      <c r="AN31">
        <v>31.807160681096601</v>
      </c>
      <c r="AO31">
        <v>34.416683030303027</v>
      </c>
      <c r="AP31">
        <v>5.2869453650592239E-4</v>
      </c>
      <c r="AQ31">
        <v>78.068548516592813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50594.478930422199</v>
      </c>
      <c r="AW31" t="s">
        <v>533</v>
      </c>
      <c r="AX31">
        <v>5108.59</v>
      </c>
      <c r="AY31">
        <v>577.7117647058825</v>
      </c>
      <c r="AZ31">
        <v>2527.6</v>
      </c>
      <c r="BA31">
        <f t="shared" si="30"/>
        <v>0.7714386118429013</v>
      </c>
      <c r="BB31">
        <v>-5.2534396484243606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-5.2534396484244068</v>
      </c>
      <c r="BK31" t="e">
        <f t="shared" si="34"/>
        <v>#DIV/0!</v>
      </c>
      <c r="BL31">
        <f t="shared" si="35"/>
        <v>-5.4959388233716766E-11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1.2962794247634104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1782928041.5</v>
      </c>
      <c r="DQ31">
        <v>420.04706451612901</v>
      </c>
      <c r="DR31">
        <v>414.88590322580637</v>
      </c>
      <c r="DS31">
        <v>34.432583870967733</v>
      </c>
      <c r="DT31">
        <v>31.804048387096771</v>
      </c>
      <c r="DU31">
        <v>424.57883870967743</v>
      </c>
      <c r="DV31">
        <v>34.01236129032258</v>
      </c>
      <c r="DW31">
        <v>499.95912903225798</v>
      </c>
      <c r="DX31">
        <v>97.747083870967742</v>
      </c>
      <c r="DY31">
        <v>4.9819535483870962E-2</v>
      </c>
      <c r="DZ31">
        <v>33.447835483870968</v>
      </c>
      <c r="EA31">
        <v>33.091638709677433</v>
      </c>
      <c r="EB31">
        <v>999.90000000000032</v>
      </c>
      <c r="EC31">
        <v>0</v>
      </c>
      <c r="ED31">
        <v>0</v>
      </c>
      <c r="EE31">
        <v>9999.1935483870966</v>
      </c>
      <c r="EF31">
        <v>0</v>
      </c>
      <c r="EG31">
        <v>965.35783870967737</v>
      </c>
      <c r="EH31">
        <v>5.161142903225806</v>
      </c>
      <c r="EI31">
        <v>435.0261290322581</v>
      </c>
      <c r="EJ31">
        <v>428.51441935483871</v>
      </c>
      <c r="EK31">
        <v>2.6285416129032262</v>
      </c>
      <c r="EL31">
        <v>414.88590322580637</v>
      </c>
      <c r="EM31">
        <v>31.804048387096771</v>
      </c>
      <c r="EN31">
        <v>3.3656851612903229</v>
      </c>
      <c r="EO31">
        <v>3.1087522580645151</v>
      </c>
      <c r="EP31">
        <v>25.95701935483871</v>
      </c>
      <c r="EQ31">
        <v>24.62217096774194</v>
      </c>
      <c r="ER31">
        <v>1.00021E-2</v>
      </c>
      <c r="ES31">
        <v>0</v>
      </c>
      <c r="ET31">
        <v>0</v>
      </c>
      <c r="EU31">
        <v>0</v>
      </c>
      <c r="EV31">
        <v>578.57419354838703</v>
      </c>
      <c r="EW31">
        <v>1.00021E-2</v>
      </c>
      <c r="EX31">
        <v>2753.646774193548</v>
      </c>
      <c r="EY31">
        <v>3.0161290322580649</v>
      </c>
      <c r="EZ31">
        <v>37.686999999999983</v>
      </c>
      <c r="FA31">
        <v>41.378999999999998</v>
      </c>
      <c r="FB31">
        <v>39.811999999999983</v>
      </c>
      <c r="FC31">
        <v>41.125</v>
      </c>
      <c r="FD31">
        <v>40.203258064516113</v>
      </c>
      <c r="FE31">
        <v>0</v>
      </c>
      <c r="FF31">
        <v>0</v>
      </c>
      <c r="FG31">
        <v>0</v>
      </c>
      <c r="FH31">
        <v>177.30000019073489</v>
      </c>
      <c r="FI31">
        <v>0</v>
      </c>
      <c r="FJ31">
        <v>577.7117647058825</v>
      </c>
      <c r="FK31">
        <v>-55.551471111478612</v>
      </c>
      <c r="FL31">
        <v>522.76960720031866</v>
      </c>
      <c r="FM31">
        <v>2767.552941176471</v>
      </c>
      <c r="FN31">
        <v>10</v>
      </c>
      <c r="FO31">
        <v>1782928008</v>
      </c>
      <c r="FP31" t="s">
        <v>660</v>
      </c>
      <c r="FQ31">
        <v>1782928005</v>
      </c>
      <c r="FR31">
        <v>1782928008</v>
      </c>
      <c r="FS31">
        <v>46</v>
      </c>
      <c r="FT31">
        <v>-1.4E-2</v>
      </c>
      <c r="FU31">
        <v>-3.0000000000000001E-3</v>
      </c>
      <c r="FV31">
        <v>-4.5119999999999996</v>
      </c>
      <c r="FW31">
        <v>0.34499999999999997</v>
      </c>
      <c r="FX31">
        <v>415</v>
      </c>
      <c r="FY31">
        <v>32</v>
      </c>
      <c r="FZ31">
        <v>1.78</v>
      </c>
      <c r="GA31">
        <v>0.08</v>
      </c>
      <c r="GB31">
        <v>5.1932820000000008</v>
      </c>
      <c r="GC31">
        <v>-0.39335392120075929</v>
      </c>
      <c r="GD31">
        <v>0.12568725741299319</v>
      </c>
      <c r="GE31">
        <v>1</v>
      </c>
      <c r="GF31">
        <v>578.28088235294115</v>
      </c>
      <c r="GG31">
        <v>0.26356003078988688</v>
      </c>
      <c r="GH31">
        <v>5.2190546629053776</v>
      </c>
      <c r="GI31">
        <v>1</v>
      </c>
      <c r="GJ31">
        <v>2.6394392500000001</v>
      </c>
      <c r="GK31">
        <v>-0.23188919324577839</v>
      </c>
      <c r="GL31">
        <v>2.2874706379263161E-2</v>
      </c>
      <c r="GM31">
        <v>1</v>
      </c>
      <c r="GN31">
        <v>3</v>
      </c>
      <c r="GO31">
        <v>3</v>
      </c>
      <c r="GP31" t="s">
        <v>599</v>
      </c>
      <c r="GQ31">
        <v>3.1343299999999998</v>
      </c>
      <c r="GR31">
        <v>2.72567</v>
      </c>
      <c r="GS31">
        <v>9.1188699999999998E-2</v>
      </c>
      <c r="GT31">
        <v>9.0287400000000004E-2</v>
      </c>
      <c r="GU31">
        <v>0.142404</v>
      </c>
      <c r="GV31">
        <v>0.136187</v>
      </c>
      <c r="GW31">
        <v>22754.6</v>
      </c>
      <c r="GX31">
        <v>30675.599999999999</v>
      </c>
      <c r="GY31">
        <v>27162.1</v>
      </c>
      <c r="GZ31">
        <v>34678</v>
      </c>
      <c r="HA31">
        <v>34121.9</v>
      </c>
      <c r="HB31">
        <v>38272.300000000003</v>
      </c>
      <c r="HC31">
        <v>40113.699999999997</v>
      </c>
      <c r="HD31">
        <v>44387.199999999997</v>
      </c>
      <c r="HE31">
        <v>1.96</v>
      </c>
      <c r="HF31">
        <v>1.7556</v>
      </c>
      <c r="HG31">
        <v>2.2798800000000001E-2</v>
      </c>
      <c r="HH31">
        <v>0</v>
      </c>
      <c r="HI31">
        <v>32.739100000000001</v>
      </c>
      <c r="HJ31">
        <v>999.9</v>
      </c>
      <c r="HK31">
        <v>56.4</v>
      </c>
      <c r="HL31">
        <v>39.799999999999997</v>
      </c>
      <c r="HM31">
        <v>42.320300000000003</v>
      </c>
      <c r="HN31">
        <v>59.519100000000002</v>
      </c>
      <c r="HO31">
        <v>7.0392599999999996</v>
      </c>
      <c r="HP31">
        <v>1</v>
      </c>
      <c r="HQ31">
        <v>0.58418700000000001</v>
      </c>
      <c r="HR31">
        <v>0</v>
      </c>
      <c r="HS31">
        <v>20.296199999999999</v>
      </c>
      <c r="HT31">
        <v>5.2100999999999997</v>
      </c>
      <c r="HU31">
        <v>11.908099999999999</v>
      </c>
      <c r="HV31">
        <v>4.9847999999999999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1.86737</v>
      </c>
      <c r="IC31">
        <v>1.86304</v>
      </c>
      <c r="ID31">
        <v>1.86249</v>
      </c>
      <c r="IE31">
        <v>1.8620300000000001</v>
      </c>
      <c r="IF31">
        <v>1.8620300000000001</v>
      </c>
      <c r="IG31">
        <v>1.8626400000000001</v>
      </c>
      <c r="IH31">
        <v>1.8635600000000001</v>
      </c>
      <c r="II31">
        <v>1.86154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-4.5309999999999997</v>
      </c>
      <c r="IX31">
        <v>0.41970000000000002</v>
      </c>
      <c r="IY31">
        <v>-2.5971063332244322</v>
      </c>
      <c r="IZ31">
        <v>-5.1825110452525594E-3</v>
      </c>
      <c r="JA31">
        <v>1.5265819664382561E-6</v>
      </c>
      <c r="JB31">
        <v>-1.241475652429701E-10</v>
      </c>
      <c r="JC31">
        <v>-0.26794524689678939</v>
      </c>
      <c r="JD31">
        <v>2.7492919904454862E-4</v>
      </c>
      <c r="JE31">
        <v>8.6739513355948885E-4</v>
      </c>
      <c r="JF31">
        <v>-8.2500691715147318E-6</v>
      </c>
      <c r="JG31">
        <v>21</v>
      </c>
      <c r="JH31">
        <v>1720</v>
      </c>
      <c r="JI31">
        <v>2</v>
      </c>
      <c r="JJ31">
        <v>37</v>
      </c>
      <c r="JK31">
        <v>0.7</v>
      </c>
      <c r="JL31">
        <v>0.7</v>
      </c>
      <c r="JM31">
        <v>1.08521</v>
      </c>
      <c r="JN31">
        <v>2.5402800000000001</v>
      </c>
      <c r="JO31">
        <v>1.50024</v>
      </c>
      <c r="JP31">
        <v>2.2705099999999998</v>
      </c>
      <c r="JQ31">
        <v>1.4477500000000001</v>
      </c>
      <c r="JR31">
        <v>2.47559</v>
      </c>
      <c r="JS31">
        <v>42.912100000000002</v>
      </c>
      <c r="JT31">
        <v>14.385999999999999</v>
      </c>
      <c r="JU31">
        <v>18</v>
      </c>
      <c r="JV31">
        <v>544.69799999999998</v>
      </c>
      <c r="JW31">
        <v>425.25400000000002</v>
      </c>
      <c r="JX31">
        <v>33.400300000000001</v>
      </c>
      <c r="JY31">
        <v>34.493400000000001</v>
      </c>
      <c r="JZ31">
        <v>30</v>
      </c>
      <c r="KA31">
        <v>34.454700000000003</v>
      </c>
      <c r="KB31">
        <v>34.416699999999999</v>
      </c>
      <c r="KC31">
        <v>21.706800000000001</v>
      </c>
      <c r="KD31">
        <v>35.7087</v>
      </c>
      <c r="KE31">
        <v>0</v>
      </c>
      <c r="KF31">
        <v>-999.9</v>
      </c>
      <c r="KG31">
        <v>414.916</v>
      </c>
      <c r="KH31">
        <v>31.852499999999999</v>
      </c>
      <c r="KI31">
        <v>100.251</v>
      </c>
      <c r="KJ31">
        <v>99.480900000000005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C098-A17E-4A5F-94CA-DD1E354BC708}">
  <dimension ref="A2:KJ31"/>
  <sheetViews>
    <sheetView workbookViewId="0">
      <selection activeCell="K36" sqref="K3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591</v>
      </c>
      <c r="G13" t="s">
        <v>592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1782922776.5999999</v>
      </c>
      <c r="C17">
        <v>0</v>
      </c>
      <c r="D17" t="s">
        <v>661</v>
      </c>
      <c r="E17" t="s">
        <v>662</v>
      </c>
      <c r="F17">
        <v>15</v>
      </c>
      <c r="H17">
        <v>1782922768.849999</v>
      </c>
      <c r="I17">
        <f t="shared" ref="I17:I31" si="0">(J17)/1000</f>
        <v>4.2288085859759307E-3</v>
      </c>
      <c r="J17">
        <f t="shared" ref="J17:J31" si="1">IF(DO17, AM17, AG17)</f>
        <v>4.2288085859759308</v>
      </c>
      <c r="K17">
        <f t="shared" ref="K17:K31" si="2">IF(DO17, AH17, AF17)</f>
        <v>41.245870367571428</v>
      </c>
      <c r="L17">
        <f t="shared" ref="L17:L31" si="3">DQ17 - IF(AT17&gt;1, K17*DK17*100/(AV17), 0)</f>
        <v>418.61136666666658</v>
      </c>
      <c r="M17">
        <f t="shared" ref="M17:M31" si="4">((S17-I17/2)*L17-K17)/(S17+I17/2)</f>
        <v>104.41100430407883</v>
      </c>
      <c r="N17">
        <f t="shared" ref="N17:N31" si="5">M17*(DX17+DY17)/1000</f>
        <v>10.212838666968215</v>
      </c>
      <c r="O17">
        <f t="shared" ref="O17:O31" si="6">(DQ17 - IF(AT17&gt;1, K17*DK17*100/(AV17), 0))*(DX17+DY17)/1000</f>
        <v>40.945974808124035</v>
      </c>
      <c r="P17">
        <f t="shared" ref="P17:P31" si="7">2/((1/R17-1/Q17)+SIGN(R17)*SQRT((1/R17-1/Q17)*(1/R17-1/Q17) + 4*DL17/((DL17+1)*(DL17+1))*(2*1/R17*1/Q17-1/Q17*1/Q17)))</f>
        <v>0.22358272083460645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2.8896358394424766</v>
      </c>
      <c r="R17">
        <f t="shared" ref="R17:R31" si="9">I17*(1000-(1000*0.61365*EXP(17.502*V17/(240.97+V17))/(DX17+DY17)+DS17)/2)/(1000*0.61365*EXP(17.502*V17/(240.97+V17))/(DX17+DY17)-DS17)</f>
        <v>0.21439736806482965</v>
      </c>
      <c r="S17">
        <f t="shared" ref="S17:S31" si="10">1/((DL17+1)/(P17/1.6)+1/(Q17/1.37)) + DL17/((DL17+1)/(P17/1.6) + DL17/(Q17/1.37))</f>
        <v>0.1347921778180724</v>
      </c>
      <c r="T17">
        <f t="shared" ref="T17:T31" si="11">(DG17*DJ17)</f>
        <v>319.77991649085669</v>
      </c>
      <c r="U17">
        <f t="shared" ref="U17:U31" si="12">(DZ17+(T17+2*0.95*0.0000000567*(((DZ17+$B$7)+273)^4-(DZ17+273)^4)-44100*I17)/(1.84*29.3*Q17+8*0.95*0.0000000567*(DZ17+273)^3))</f>
        <v>35.27540196265705</v>
      </c>
      <c r="V17">
        <f t="shared" ref="V17:V31" si="13">($C$7*EA17+$D$7*EB17+$E$7*U17)</f>
        <v>34.18629</v>
      </c>
      <c r="W17">
        <f t="shared" ref="W17:W31" si="14">0.61365*EXP(17.502*V17/(240.97+V17))</f>
        <v>5.3987823290763997</v>
      </c>
      <c r="X17">
        <f t="shared" ref="X17:X31" si="15">(Y17/Z17*100)</f>
        <v>64.819498287058053</v>
      </c>
      <c r="Y17">
        <f t="shared" ref="Y17:Y31" si="16">DS17*(DX17+DY17)/1000</f>
        <v>3.5578174348030753</v>
      </c>
      <c r="Z17">
        <f t="shared" ref="Z17:Z31" si="17">0.61365*EXP(17.502*DZ17/(240.97+DZ17))</f>
        <v>5.4888074249618715</v>
      </c>
      <c r="AA17">
        <f t="shared" ref="AA17:AA31" si="18">(W17-DS17*(DX17+DY17)/1000)</f>
        <v>1.8409648942733243</v>
      </c>
      <c r="AB17">
        <f t="shared" ref="AB17:AB31" si="19">(-I17*44100)</f>
        <v>-186.49045864153854</v>
      </c>
      <c r="AC17">
        <f t="shared" ref="AC17:AC31" si="20">2*29.3*Q17*0.92*(DZ17-V17)</f>
        <v>46.299613280154546</v>
      </c>
      <c r="AD17">
        <f t="shared" ref="AD17:AD31" si="21">2*0.95*0.0000000567*(((DZ17+$B$7)+273)^4-(V17+273)^4)</f>
        <v>3.7177583351777268</v>
      </c>
      <c r="AE17">
        <f t="shared" ref="AE17:AE31" si="22">T17+AD17+AB17+AC17</f>
        <v>183.30682946465043</v>
      </c>
      <c r="AF17">
        <f t="shared" ref="AF17:AF31" si="23">DW17*AT17*(DR17-DQ17*(1000-AT17*DT17)/(1000-AT17*DS17))/(100*DK17)</f>
        <v>41.245870367571428</v>
      </c>
      <c r="AG17">
        <f t="shared" ref="AG17:AG31" si="24">1000*DW17*AT17*(DS17-DT17)/(100*DK17*(1000-AT17*DS17))</f>
        <v>4.2288085859759308</v>
      </c>
      <c r="AH17">
        <f t="shared" ref="AH17:AH31" si="25">(AI17 - AJ17 - DX17*1000/(8.314*(DZ17+273.15)) * AL17/DW17 * AK17) * DW17/(100*DK17) * (1000 - DT17)/1000</f>
        <v>41.890392052580225</v>
      </c>
      <c r="AI17">
        <v>486.18826176572958</v>
      </c>
      <c r="AJ17">
        <v>434.40177575757548</v>
      </c>
      <c r="AK17">
        <v>-2.2870390611318368E-2</v>
      </c>
      <c r="AL17">
        <v>67.031623425108634</v>
      </c>
      <c r="AM17">
        <f t="shared" ref="AM17:AM31" si="26">(AO17 - AN17 + DX17*1000/(8.314*(DZ17+273.15)) * AQ17/DW17 * AP17) * DW17/(100*DK17) * 1000/(1000 - AO17)</f>
        <v>4.4424267295236168</v>
      </c>
      <c r="AN17">
        <v>31.472581172318758</v>
      </c>
      <c r="AO17">
        <v>36.568521818181829</v>
      </c>
      <c r="AP17">
        <v>6.7267479528734216E-3</v>
      </c>
      <c r="AQ17">
        <v>78.057980294086789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50425.862108637193</v>
      </c>
      <c r="AW17" t="s">
        <v>663</v>
      </c>
      <c r="AX17">
        <v>5099.1499999999996</v>
      </c>
      <c r="AY17">
        <v>561.92941176470595</v>
      </c>
      <c r="AZ17">
        <v>2562.2800000000002</v>
      </c>
      <c r="BA17">
        <f t="shared" ref="BA17:BA31" si="30">1-AY17/AZ17</f>
        <v>0.78069164503305422</v>
      </c>
      <c r="BB17">
        <v>-5.1695636961489324</v>
      </c>
      <c r="BC17" t="s">
        <v>664</v>
      </c>
      <c r="BD17">
        <v>5099.17</v>
      </c>
      <c r="BE17">
        <v>743.03158823529418</v>
      </c>
      <c r="BF17">
        <v>853.71</v>
      </c>
      <c r="BG17">
        <f t="shared" ref="BG17:BG31" si="31">1-BE17/BF17</f>
        <v>0.1296440380980729</v>
      </c>
      <c r="BH17">
        <v>0.5</v>
      </c>
      <c r="BI17">
        <f t="shared" ref="BI17:BI31" si="32">DH17</f>
        <v>1680.3103198398219</v>
      </c>
      <c r="BJ17">
        <f t="shared" ref="BJ17:BJ31" si="33">K17</f>
        <v>41.245870367571428</v>
      </c>
      <c r="BK17">
        <f t="shared" ref="BK17:BK31" si="34">BG17*BH17*BI17</f>
        <v>108.92110756094947</v>
      </c>
      <c r="BL17">
        <f t="shared" ref="BL17:BL31" si="35">(BJ17-BB17)/BI17</f>
        <v>2.7623132177242701E-2</v>
      </c>
      <c r="BM17">
        <f t="shared" ref="BM17:BM31" si="36">(AZ17-BF17)/BF17</f>
        <v>2.0013470616485693</v>
      </c>
      <c r="BN17">
        <f t="shared" ref="BN17:BN31" si="37">AY17/(BA17+AY17/BF17)</f>
        <v>390.52378483918147</v>
      </c>
      <c r="BO17" t="s">
        <v>407</v>
      </c>
      <c r="BP17">
        <v>0</v>
      </c>
      <c r="BQ17">
        <f t="shared" ref="BQ17:BQ31" si="38">IF(BP17&lt;&gt;0, BP17, BN17)</f>
        <v>390.52378483918147</v>
      </c>
      <c r="BR17">
        <f t="shared" ref="BR17:BR31" si="39">1-BQ17/BF17</f>
        <v>0.54255685790352526</v>
      </c>
      <c r="BS17">
        <f t="shared" ref="BS17:BS31" si="40">(BF17-BE17)/(BF17-BQ17)</f>
        <v>0.23895014174003049</v>
      </c>
      <c r="BT17">
        <f t="shared" ref="BT17:BT31" si="41">(AZ17-BF17)/(AZ17-BQ17)</f>
        <v>0.78672273990636676</v>
      </c>
      <c r="BU17">
        <f t="shared" ref="BU17:BU31" si="42">(BF17-BE17)/(BF17-AY17)</f>
        <v>0.37932068214028669</v>
      </c>
      <c r="BV17">
        <f t="shared" ref="BV17:BV31" si="43">(AZ17-BF17)/(AZ17-AY17)</f>
        <v>0.85413527511059828</v>
      </c>
      <c r="BW17">
        <f t="shared" ref="BW17:BW31" si="44">(BS17*BQ17/BE17)</f>
        <v>0.12558781513152237</v>
      </c>
      <c r="BX17">
        <f t="shared" ref="BX17:BX31" si="45">(1-BW17)</f>
        <v>0.8744121848684776</v>
      </c>
      <c r="DG17">
        <f t="shared" ref="DG17:DG31" si="46">$B$11*EF17+$C$11*EG17+$F$11*ER17*(1-EU17)</f>
        <v>2000.0129999999999</v>
      </c>
      <c r="DH17">
        <f t="shared" ref="DH17:DH31" si="47">DG17*DI17</f>
        <v>1680.3103198398219</v>
      </c>
      <c r="DI17">
        <f t="shared" ref="DI17:DI31" si="48">($B$11*$D$9+$C$11*$D$9+$F$11*((FE17+EW17)/MAX(FE17+EW17+FF17, 0.1)*$I$9+FF17/MAX(FE17+EW17+FF17, 0.1)*$J$9))/($B$11+$C$11+$F$11)</f>
        <v>0.84014969894686786</v>
      </c>
      <c r="DJ17">
        <f t="shared" ref="DJ17:DJ31" si="49">($B$11*$K$9+$C$11*$K$9+$F$11*((FE17+EW17)/MAX(FE17+EW17+FF17, 0.1)*$P$9+FF17/MAX(FE17+EW17+FF17, 0.1)*$Q$9))/($B$11+$C$11+$F$11)</f>
        <v>0.15988891896745505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1782922768.849999</v>
      </c>
      <c r="DQ17">
        <v>418.61136666666658</v>
      </c>
      <c r="DR17">
        <v>470.23183333333333</v>
      </c>
      <c r="DS17">
        <v>36.373363333333337</v>
      </c>
      <c r="DT17">
        <v>31.48326333333334</v>
      </c>
      <c r="DU17">
        <v>423.49320000000012</v>
      </c>
      <c r="DV17">
        <v>36.037363333333339</v>
      </c>
      <c r="DW17">
        <v>499.98886666666669</v>
      </c>
      <c r="DX17">
        <v>97.764880000000005</v>
      </c>
      <c r="DY17">
        <v>4.893507666666666E-2</v>
      </c>
      <c r="DZ17">
        <v>34.483490000000003</v>
      </c>
      <c r="EA17">
        <v>34.18629</v>
      </c>
      <c r="EB17">
        <v>999.9000000000002</v>
      </c>
      <c r="EC17">
        <v>0</v>
      </c>
      <c r="ED17">
        <v>0</v>
      </c>
      <c r="EE17">
        <v>9997.6666666666661</v>
      </c>
      <c r="EF17">
        <v>0</v>
      </c>
      <c r="EG17">
        <v>1614.3986666666669</v>
      </c>
      <c r="EH17">
        <v>-51.62042666666666</v>
      </c>
      <c r="EI17">
        <v>434.48073333333332</v>
      </c>
      <c r="EJ17">
        <v>485.51746666666668</v>
      </c>
      <c r="EK17">
        <v>5.0416876666666663</v>
      </c>
      <c r="EL17">
        <v>470.23183333333333</v>
      </c>
      <c r="EM17">
        <v>31.48326333333334</v>
      </c>
      <c r="EN17">
        <v>3.5708566666666659</v>
      </c>
      <c r="EO17">
        <v>3.077955999999999</v>
      </c>
      <c r="EP17">
        <v>26.960450000000002</v>
      </c>
      <c r="EQ17">
        <v>24.455756666666669</v>
      </c>
      <c r="ER17">
        <v>2000.0129999999999</v>
      </c>
      <c r="ES17">
        <v>0.99499789999999988</v>
      </c>
      <c r="ET17">
        <v>5.002386000000001E-3</v>
      </c>
      <c r="EU17">
        <v>0</v>
      </c>
      <c r="EV17">
        <v>743.11319999999989</v>
      </c>
      <c r="EW17">
        <v>5.0010700000000003</v>
      </c>
      <c r="EX17">
        <v>20968.93</v>
      </c>
      <c r="EY17">
        <v>18241.736666666671</v>
      </c>
      <c r="EZ17">
        <v>40.987266666666649</v>
      </c>
      <c r="FA17">
        <v>42.545533333333317</v>
      </c>
      <c r="FB17">
        <v>41.433066666666669</v>
      </c>
      <c r="FC17">
        <v>42.18306666666664</v>
      </c>
      <c r="FD17">
        <v>42.804066666666671</v>
      </c>
      <c r="FE17">
        <v>1985.0329999999999</v>
      </c>
      <c r="FF17">
        <v>9.9800000000000022</v>
      </c>
      <c r="FG17">
        <v>0</v>
      </c>
      <c r="FH17">
        <v>1010.7999999523161</v>
      </c>
      <c r="FI17">
        <v>0</v>
      </c>
      <c r="FJ17">
        <v>743.03158823529418</v>
      </c>
      <c r="FK17">
        <v>-4.8855391865113784</v>
      </c>
      <c r="FL17">
        <v>1475.906865635573</v>
      </c>
      <c r="FM17">
        <v>21064.24117647059</v>
      </c>
      <c r="FN17">
        <v>10</v>
      </c>
      <c r="FO17">
        <v>1782922805.5</v>
      </c>
      <c r="FP17" t="s">
        <v>665</v>
      </c>
      <c r="FQ17">
        <v>1782921719.0999999</v>
      </c>
      <c r="FR17">
        <v>1782922805.5</v>
      </c>
      <c r="FS17">
        <v>17</v>
      </c>
      <c r="FT17">
        <v>1.6E-2</v>
      </c>
      <c r="FU17">
        <v>7.0000000000000001E-3</v>
      </c>
      <c r="FV17">
        <v>-4.5449999999999999</v>
      </c>
      <c r="FW17">
        <v>0.33600000000000002</v>
      </c>
      <c r="FX17">
        <v>414</v>
      </c>
      <c r="FY17">
        <v>31</v>
      </c>
      <c r="FZ17">
        <v>1.44</v>
      </c>
      <c r="GA17">
        <v>0.06</v>
      </c>
      <c r="GB17">
        <v>-51.340184999999998</v>
      </c>
      <c r="GC17">
        <v>-6.907278799249486</v>
      </c>
      <c r="GD17">
        <v>0.67953285076955638</v>
      </c>
      <c r="GE17">
        <v>0</v>
      </c>
      <c r="GF17">
        <v>743.32361764705888</v>
      </c>
      <c r="GG17">
        <v>-3.521848741595647</v>
      </c>
      <c r="GH17">
        <v>0.4407962724504611</v>
      </c>
      <c r="GI17">
        <v>1</v>
      </c>
      <c r="GJ17">
        <v>5.0229820000000007</v>
      </c>
      <c r="GK17">
        <v>0.44601703564727851</v>
      </c>
      <c r="GL17">
        <v>4.3112803504295583E-2</v>
      </c>
      <c r="GM17">
        <v>1</v>
      </c>
      <c r="GN17">
        <v>2</v>
      </c>
      <c r="GO17">
        <v>3</v>
      </c>
      <c r="GP17" t="s">
        <v>598</v>
      </c>
      <c r="GQ17">
        <v>3.13348</v>
      </c>
      <c r="GR17">
        <v>2.72539</v>
      </c>
      <c r="GS17">
        <v>9.10686E-2</v>
      </c>
      <c r="GT17">
        <v>9.9385000000000001E-2</v>
      </c>
      <c r="GU17">
        <v>0.14834800000000001</v>
      </c>
      <c r="GV17">
        <v>0.13522799999999999</v>
      </c>
      <c r="GW17">
        <v>22764.2</v>
      </c>
      <c r="GX17">
        <v>30369.599999999999</v>
      </c>
      <c r="GY17">
        <v>27169.5</v>
      </c>
      <c r="GZ17">
        <v>34678.6</v>
      </c>
      <c r="HA17">
        <v>33889.199999999997</v>
      </c>
      <c r="HB17">
        <v>38310.199999999997</v>
      </c>
      <c r="HC17">
        <v>40119.1</v>
      </c>
      <c r="HD17">
        <v>44381.1</v>
      </c>
      <c r="HE17">
        <v>1.9632000000000001</v>
      </c>
      <c r="HF17">
        <v>1.7527999999999999</v>
      </c>
      <c r="HG17">
        <v>6.2584899999999999E-2</v>
      </c>
      <c r="HH17">
        <v>0</v>
      </c>
      <c r="HI17">
        <v>33.162500000000001</v>
      </c>
      <c r="HJ17">
        <v>999.9</v>
      </c>
      <c r="HK17">
        <v>57.4</v>
      </c>
      <c r="HL17">
        <v>40</v>
      </c>
      <c r="HM17">
        <v>43.526299999999999</v>
      </c>
      <c r="HN17">
        <v>59.907299999999999</v>
      </c>
      <c r="HO17">
        <v>7.9406999999999996</v>
      </c>
      <c r="HP17">
        <v>1</v>
      </c>
      <c r="HQ17">
        <v>0.57947199999999999</v>
      </c>
      <c r="HR17">
        <v>0</v>
      </c>
      <c r="HS17">
        <v>20.2776</v>
      </c>
      <c r="HT17">
        <v>5.2100999999999997</v>
      </c>
      <c r="HU17">
        <v>11.908099999999999</v>
      </c>
      <c r="HV17">
        <v>4.9836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1.8674599999999999</v>
      </c>
      <c r="IC17">
        <v>1.8631</v>
      </c>
      <c r="ID17">
        <v>1.86249</v>
      </c>
      <c r="IE17">
        <v>1.8620300000000001</v>
      </c>
      <c r="IF17">
        <v>1.86206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-4.8810000000000002</v>
      </c>
      <c r="IX17">
        <v>0.33600000000000002</v>
      </c>
      <c r="IY17">
        <v>-2.951482982682561</v>
      </c>
      <c r="IZ17">
        <v>-5.1825110452525594E-3</v>
      </c>
      <c r="JA17">
        <v>1.5265819664382561E-6</v>
      </c>
      <c r="JB17">
        <v>-1.241475652429701E-10</v>
      </c>
      <c r="JC17">
        <v>-0.26268455757044801</v>
      </c>
      <c r="JD17">
        <v>2.7492919904454862E-4</v>
      </c>
      <c r="JE17">
        <v>8.6739513355948885E-4</v>
      </c>
      <c r="JF17">
        <v>-8.2500691715147318E-6</v>
      </c>
      <c r="JG17">
        <v>21</v>
      </c>
      <c r="JH17">
        <v>1720</v>
      </c>
      <c r="JI17">
        <v>2</v>
      </c>
      <c r="JJ17">
        <v>37</v>
      </c>
      <c r="JK17">
        <v>17.600000000000001</v>
      </c>
      <c r="JL17">
        <v>17.7</v>
      </c>
      <c r="JM17">
        <v>1.2048300000000001</v>
      </c>
      <c r="JN17">
        <v>2.5500500000000001</v>
      </c>
      <c r="JO17">
        <v>1.50024</v>
      </c>
      <c r="JP17">
        <v>2.2705099999999998</v>
      </c>
      <c r="JQ17">
        <v>1.4477500000000001</v>
      </c>
      <c r="JR17">
        <v>2.3571800000000001</v>
      </c>
      <c r="JS17">
        <v>43.426400000000001</v>
      </c>
      <c r="JT17">
        <v>15.138999999999999</v>
      </c>
      <c r="JU17">
        <v>18</v>
      </c>
      <c r="JV17">
        <v>545.85599999999999</v>
      </c>
      <c r="JW17">
        <v>422.76100000000002</v>
      </c>
      <c r="JX17">
        <v>33.698799999999999</v>
      </c>
      <c r="JY17">
        <v>34.421500000000002</v>
      </c>
      <c r="JZ17">
        <v>30.000900000000001</v>
      </c>
      <c r="KA17">
        <v>34.3337</v>
      </c>
      <c r="KB17">
        <v>34.299300000000002</v>
      </c>
      <c r="KC17">
        <v>24.102900000000002</v>
      </c>
      <c r="KD17">
        <v>37.953200000000002</v>
      </c>
      <c r="KE17">
        <v>0</v>
      </c>
      <c r="KF17">
        <v>-999.9</v>
      </c>
      <c r="KG17">
        <v>471.71600000000001</v>
      </c>
      <c r="KH17">
        <v>31.318100000000001</v>
      </c>
      <c r="KI17">
        <v>100.27</v>
      </c>
      <c r="KJ17">
        <v>99.474000000000004</v>
      </c>
    </row>
    <row r="18" spans="1:296" x14ac:dyDescent="0.3">
      <c r="A18">
        <v>2</v>
      </c>
      <c r="B18">
        <v>1782922986.5</v>
      </c>
      <c r="C18">
        <v>209.9000000953674</v>
      </c>
      <c r="D18" t="s">
        <v>666</v>
      </c>
      <c r="E18" t="s">
        <v>667</v>
      </c>
      <c r="F18">
        <v>15</v>
      </c>
      <c r="H18">
        <v>1782922978.5</v>
      </c>
      <c r="I18">
        <f t="shared" si="0"/>
        <v>5.9244206768249881E-3</v>
      </c>
      <c r="J18">
        <f t="shared" si="1"/>
        <v>5.9244206768249885</v>
      </c>
      <c r="K18">
        <f t="shared" si="2"/>
        <v>56.142311390431097</v>
      </c>
      <c r="L18">
        <f t="shared" si="3"/>
        <v>419.07880645161282</v>
      </c>
      <c r="M18">
        <f t="shared" si="4"/>
        <v>116.68247193892793</v>
      </c>
      <c r="N18">
        <f t="shared" si="5"/>
        <v>11.41458427672741</v>
      </c>
      <c r="O18">
        <f t="shared" si="6"/>
        <v>40.996820476481069</v>
      </c>
      <c r="P18">
        <f t="shared" si="7"/>
        <v>0.32156690678240585</v>
      </c>
      <c r="Q18">
        <f t="shared" si="8"/>
        <v>2.8872753933585042</v>
      </c>
      <c r="R18">
        <f t="shared" si="9"/>
        <v>0.30291277525867782</v>
      </c>
      <c r="S18">
        <f t="shared" si="10"/>
        <v>0.19090624587507699</v>
      </c>
      <c r="T18">
        <f t="shared" si="11"/>
        <v>271.9083544780022</v>
      </c>
      <c r="U18">
        <f t="shared" si="12"/>
        <v>34.997883038071492</v>
      </c>
      <c r="V18">
        <f t="shared" si="13"/>
        <v>34.387432258064507</v>
      </c>
      <c r="W18">
        <f t="shared" si="14"/>
        <v>5.4595688209425735</v>
      </c>
      <c r="X18">
        <f t="shared" si="15"/>
        <v>64.59197511414699</v>
      </c>
      <c r="Y18">
        <f t="shared" si="16"/>
        <v>3.6352087387892249</v>
      </c>
      <c r="Z18">
        <f t="shared" si="17"/>
        <v>5.6279572382870793</v>
      </c>
      <c r="AA18">
        <f t="shared" si="18"/>
        <v>1.8243600821533486</v>
      </c>
      <c r="AB18">
        <f t="shared" si="19"/>
        <v>-261.266951847982</v>
      </c>
      <c r="AC18">
        <f t="shared" si="20"/>
        <v>85.176490438890724</v>
      </c>
      <c r="AD18">
        <f t="shared" si="21"/>
        <v>6.8668974527187663</v>
      </c>
      <c r="AE18">
        <f t="shared" si="22"/>
        <v>102.68479052162969</v>
      </c>
      <c r="AF18">
        <f t="shared" si="23"/>
        <v>56.142311390431097</v>
      </c>
      <c r="AG18">
        <f t="shared" si="24"/>
        <v>5.9244206768249885</v>
      </c>
      <c r="AH18">
        <f t="shared" si="25"/>
        <v>56.288128109779848</v>
      </c>
      <c r="AI18">
        <v>504.93979949898198</v>
      </c>
      <c r="AJ18">
        <v>435.36141818181818</v>
      </c>
      <c r="AK18">
        <v>-1.501203443663642E-2</v>
      </c>
      <c r="AL18">
        <v>67.094073102819209</v>
      </c>
      <c r="AM18">
        <f t="shared" si="26"/>
        <v>6.2003766265417406</v>
      </c>
      <c r="AN18">
        <v>30.30943362347378</v>
      </c>
      <c r="AO18">
        <v>37.413028484848468</v>
      </c>
      <c r="AP18">
        <v>9.7528585829823669E-3</v>
      </c>
      <c r="AQ18">
        <v>78.255942526500064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50286.767777991838</v>
      </c>
      <c r="AW18" t="s">
        <v>663</v>
      </c>
      <c r="AX18">
        <v>5099.1499999999996</v>
      </c>
      <c r="AY18">
        <v>561.92941176470595</v>
      </c>
      <c r="AZ18">
        <v>2562.2800000000002</v>
      </c>
      <c r="BA18">
        <f t="shared" si="30"/>
        <v>0.78069164503305422</v>
      </c>
      <c r="BB18">
        <v>-5.1695636961489324</v>
      </c>
      <c r="BC18" t="s">
        <v>668</v>
      </c>
      <c r="BD18">
        <v>5098.04</v>
      </c>
      <c r="BE18">
        <v>757.00558823529423</v>
      </c>
      <c r="BF18">
        <v>981.47</v>
      </c>
      <c r="BG18">
        <f t="shared" si="31"/>
        <v>0.22870226473015554</v>
      </c>
      <c r="BH18">
        <v>0.5</v>
      </c>
      <c r="BI18">
        <f t="shared" si="32"/>
        <v>1428.3080226778884</v>
      </c>
      <c r="BJ18">
        <f t="shared" si="33"/>
        <v>56.142311390431097</v>
      </c>
      <c r="BK18">
        <f t="shared" si="34"/>
        <v>163.32863975934171</v>
      </c>
      <c r="BL18">
        <f t="shared" si="35"/>
        <v>4.292622747551917E-2</v>
      </c>
      <c r="BM18">
        <f t="shared" si="36"/>
        <v>1.6106554454033237</v>
      </c>
      <c r="BN18">
        <f t="shared" si="37"/>
        <v>415.25042329341915</v>
      </c>
      <c r="BO18" t="s">
        <v>407</v>
      </c>
      <c r="BP18">
        <v>0</v>
      </c>
      <c r="BQ18">
        <f t="shared" si="38"/>
        <v>415.25042329341915</v>
      </c>
      <c r="BR18">
        <f t="shared" si="39"/>
        <v>0.57690971370146915</v>
      </c>
      <c r="BS18">
        <f t="shared" si="40"/>
        <v>0.39642644125853826</v>
      </c>
      <c r="BT18">
        <f t="shared" si="41"/>
        <v>0.73627770066627174</v>
      </c>
      <c r="BU18">
        <f t="shared" si="42"/>
        <v>0.5350243052975312</v>
      </c>
      <c r="BV18">
        <f t="shared" si="43"/>
        <v>0.79026647093627123</v>
      </c>
      <c r="BW18">
        <f t="shared" si="44"/>
        <v>0.21745711008694082</v>
      </c>
      <c r="BX18">
        <f t="shared" si="45"/>
        <v>0.7825428899130592</v>
      </c>
      <c r="DG18">
        <f t="shared" si="46"/>
        <v>1700.0041935483871</v>
      </c>
      <c r="DH18">
        <f t="shared" si="47"/>
        <v>1428.3080226778884</v>
      </c>
      <c r="DI18">
        <f t="shared" si="48"/>
        <v>0.84017911726241545</v>
      </c>
      <c r="DJ18">
        <f t="shared" si="49"/>
        <v>0.15994569631646199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1782922978.5</v>
      </c>
      <c r="DQ18">
        <v>419.07880645161282</v>
      </c>
      <c r="DR18">
        <v>489.4267741935484</v>
      </c>
      <c r="DS18">
        <v>37.15992903225807</v>
      </c>
      <c r="DT18">
        <v>30.315016129032259</v>
      </c>
      <c r="DU18">
        <v>423.96241935483869</v>
      </c>
      <c r="DV18">
        <v>36.85492903225807</v>
      </c>
      <c r="DW18">
        <v>500.01538709677408</v>
      </c>
      <c r="DX18">
        <v>97.776774193548405</v>
      </c>
      <c r="DY18">
        <v>4.9266745161290308E-2</v>
      </c>
      <c r="DZ18">
        <v>34.934632258064511</v>
      </c>
      <c r="EA18">
        <v>34.387432258064507</v>
      </c>
      <c r="EB18">
        <v>999.90000000000032</v>
      </c>
      <c r="EC18">
        <v>0</v>
      </c>
      <c r="ED18">
        <v>0</v>
      </c>
      <c r="EE18">
        <v>9982.9032258064508</v>
      </c>
      <c r="EF18">
        <v>0</v>
      </c>
      <c r="EG18">
        <v>1749.3112903225799</v>
      </c>
      <c r="EH18">
        <v>-70.348061290322576</v>
      </c>
      <c r="EI18">
        <v>435.34951612903228</v>
      </c>
      <c r="EJ18">
        <v>504.72754838709682</v>
      </c>
      <c r="EK18">
        <v>7.0592200000000007</v>
      </c>
      <c r="EL18">
        <v>489.4267741935484</v>
      </c>
      <c r="EM18">
        <v>30.315016129032259</v>
      </c>
      <c r="EN18">
        <v>3.6543338709677422</v>
      </c>
      <c r="EO18">
        <v>2.9641064516129041</v>
      </c>
      <c r="EP18">
        <v>27.354361290322579</v>
      </c>
      <c r="EQ18">
        <v>23.827638709677419</v>
      </c>
      <c r="ER18">
        <v>1700.0041935483871</v>
      </c>
      <c r="ES18">
        <v>0.99400958064516109</v>
      </c>
      <c r="ET18">
        <v>5.9902938709677396E-3</v>
      </c>
      <c r="EU18">
        <v>0</v>
      </c>
      <c r="EV18">
        <v>756.7234193548386</v>
      </c>
      <c r="EW18">
        <v>5.0010700000000003</v>
      </c>
      <c r="EX18">
        <v>19233.88387096774</v>
      </c>
      <c r="EY18">
        <v>15492.60967741935</v>
      </c>
      <c r="EZ18">
        <v>42.180999999999983</v>
      </c>
      <c r="FA18">
        <v>43.876967741935466</v>
      </c>
      <c r="FB18">
        <v>42.856709677419353</v>
      </c>
      <c r="FC18">
        <v>43.461387096774189</v>
      </c>
      <c r="FD18">
        <v>44.043999999999969</v>
      </c>
      <c r="FE18">
        <v>1684.852580645161</v>
      </c>
      <c r="FF18">
        <v>10.15</v>
      </c>
      <c r="FG18">
        <v>0</v>
      </c>
      <c r="FH18">
        <v>209.20000004768369</v>
      </c>
      <c r="FI18">
        <v>0</v>
      </c>
      <c r="FJ18">
        <v>757.00558823529423</v>
      </c>
      <c r="FK18">
        <v>8.1578431349045761</v>
      </c>
      <c r="FL18">
        <v>610.58824124303862</v>
      </c>
      <c r="FM18">
        <v>19245.405882352941</v>
      </c>
      <c r="FN18">
        <v>10</v>
      </c>
      <c r="FO18">
        <v>1782923020.5</v>
      </c>
      <c r="FP18" t="s">
        <v>669</v>
      </c>
      <c r="FQ18">
        <v>1782921719.0999999</v>
      </c>
      <c r="FR18">
        <v>1782923020.5</v>
      </c>
      <c r="FS18">
        <v>18</v>
      </c>
      <c r="FT18">
        <v>1.6E-2</v>
      </c>
      <c r="FU18">
        <v>-6.0000000000000001E-3</v>
      </c>
      <c r="FV18">
        <v>-4.5449999999999999</v>
      </c>
      <c r="FW18">
        <v>0.30499999999999999</v>
      </c>
      <c r="FX18">
        <v>414</v>
      </c>
      <c r="FY18">
        <v>30</v>
      </c>
      <c r="FZ18">
        <v>1.44</v>
      </c>
      <c r="GA18">
        <v>0.05</v>
      </c>
      <c r="GB18">
        <v>-70.142546341463415</v>
      </c>
      <c r="GC18">
        <v>-3.9896278745642939</v>
      </c>
      <c r="GD18">
        <v>0.43147691292704737</v>
      </c>
      <c r="GE18">
        <v>0</v>
      </c>
      <c r="GF18">
        <v>756.50202941176462</v>
      </c>
      <c r="GG18">
        <v>5.4684644750343194</v>
      </c>
      <c r="GH18">
        <v>0.61047230920937723</v>
      </c>
      <c r="GI18">
        <v>1</v>
      </c>
      <c r="GJ18">
        <v>7.0402048780487796</v>
      </c>
      <c r="GK18">
        <v>0.41067407665506139</v>
      </c>
      <c r="GL18">
        <v>4.1445796169298957E-2</v>
      </c>
      <c r="GM18">
        <v>1</v>
      </c>
      <c r="GN18">
        <v>2</v>
      </c>
      <c r="GO18">
        <v>3</v>
      </c>
      <c r="GP18" t="s">
        <v>598</v>
      </c>
      <c r="GQ18">
        <v>3.13259</v>
      </c>
      <c r="GR18">
        <v>2.7239399999999998</v>
      </c>
      <c r="GS18">
        <v>9.11E-2</v>
      </c>
      <c r="GT18">
        <v>0.102253</v>
      </c>
      <c r="GU18">
        <v>0.150507</v>
      </c>
      <c r="GV18">
        <v>0.13175000000000001</v>
      </c>
      <c r="GW18">
        <v>22748.7</v>
      </c>
      <c r="GX18">
        <v>30251.5</v>
      </c>
      <c r="GY18">
        <v>27153.7</v>
      </c>
      <c r="GZ18">
        <v>34657</v>
      </c>
      <c r="HA18">
        <v>33787.800000000003</v>
      </c>
      <c r="HB18">
        <v>38445.599999999999</v>
      </c>
      <c r="HC18">
        <v>40096.9</v>
      </c>
      <c r="HD18">
        <v>44357.9</v>
      </c>
      <c r="HE18">
        <v>1.9594</v>
      </c>
      <c r="HF18">
        <v>1.7464</v>
      </c>
      <c r="HG18">
        <v>4.8130800000000001E-2</v>
      </c>
      <c r="HH18">
        <v>0</v>
      </c>
      <c r="HI18">
        <v>33.6267</v>
      </c>
      <c r="HJ18">
        <v>999.9</v>
      </c>
      <c r="HK18">
        <v>56.7</v>
      </c>
      <c r="HL18">
        <v>40.200000000000003</v>
      </c>
      <c r="HM18">
        <v>43.449599999999997</v>
      </c>
      <c r="HN18">
        <v>60.147300000000001</v>
      </c>
      <c r="HO18">
        <v>7.69231</v>
      </c>
      <c r="HP18">
        <v>1</v>
      </c>
      <c r="HQ18">
        <v>0.61408499999999999</v>
      </c>
      <c r="HR18">
        <v>0</v>
      </c>
      <c r="HS18">
        <v>20.279399999999999</v>
      </c>
      <c r="HT18">
        <v>5.2077099999999996</v>
      </c>
      <c r="HU18">
        <v>11.908099999999999</v>
      </c>
      <c r="HV18">
        <v>4.9836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1.8674900000000001</v>
      </c>
      <c r="IC18">
        <v>1.8631</v>
      </c>
      <c r="ID18">
        <v>1.8626100000000001</v>
      </c>
      <c r="IE18">
        <v>1.86212</v>
      </c>
      <c r="IF18">
        <v>1.86212</v>
      </c>
      <c r="IG18">
        <v>1.8626400000000001</v>
      </c>
      <c r="IH18">
        <v>1.8635600000000001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-4.8840000000000003</v>
      </c>
      <c r="IX18">
        <v>0.30499999999999999</v>
      </c>
      <c r="IY18">
        <v>-2.951482982682561</v>
      </c>
      <c r="IZ18">
        <v>-5.1825110452525594E-3</v>
      </c>
      <c r="JA18">
        <v>1.5265819664382561E-6</v>
      </c>
      <c r="JB18">
        <v>-1.241475652429701E-10</v>
      </c>
      <c r="JC18">
        <v>-0.25599985701736261</v>
      </c>
      <c r="JD18">
        <v>2.7492919904454862E-4</v>
      </c>
      <c r="JE18">
        <v>8.6739513355948885E-4</v>
      </c>
      <c r="JF18">
        <v>-8.2500691715147318E-6</v>
      </c>
      <c r="JG18">
        <v>21</v>
      </c>
      <c r="JH18">
        <v>1720</v>
      </c>
      <c r="JI18">
        <v>2</v>
      </c>
      <c r="JJ18">
        <v>37</v>
      </c>
      <c r="JK18">
        <v>21.1</v>
      </c>
      <c r="JL18">
        <v>3</v>
      </c>
      <c r="JM18">
        <v>1.24146</v>
      </c>
      <c r="JN18">
        <v>2.5476100000000002</v>
      </c>
      <c r="JO18">
        <v>1.50024</v>
      </c>
      <c r="JP18">
        <v>2.2705099999999998</v>
      </c>
      <c r="JQ18">
        <v>1.4477500000000001</v>
      </c>
      <c r="JR18">
        <v>2.34253</v>
      </c>
      <c r="JS18">
        <v>44.112400000000001</v>
      </c>
      <c r="JT18">
        <v>15.103899999999999</v>
      </c>
      <c r="JU18">
        <v>18</v>
      </c>
      <c r="JV18">
        <v>546.11199999999997</v>
      </c>
      <c r="JW18">
        <v>421.029</v>
      </c>
      <c r="JX18">
        <v>34.198900000000002</v>
      </c>
      <c r="JY18">
        <v>34.802199999999999</v>
      </c>
      <c r="JZ18">
        <v>30.000900000000001</v>
      </c>
      <c r="KA18">
        <v>34.676699999999997</v>
      </c>
      <c r="KB18">
        <v>34.634399999999999</v>
      </c>
      <c r="KC18">
        <v>24.849299999999999</v>
      </c>
      <c r="KD18">
        <v>39.330800000000004</v>
      </c>
      <c r="KE18">
        <v>0</v>
      </c>
      <c r="KF18">
        <v>-999.9</v>
      </c>
      <c r="KG18">
        <v>490.35399999999998</v>
      </c>
      <c r="KH18">
        <v>30.260400000000001</v>
      </c>
      <c r="KI18">
        <v>100.214</v>
      </c>
      <c r="KJ18">
        <v>99.417500000000004</v>
      </c>
    </row>
    <row r="19" spans="1:296" x14ac:dyDescent="0.3">
      <c r="A19">
        <v>3</v>
      </c>
      <c r="B19">
        <v>1782923180</v>
      </c>
      <c r="C19">
        <v>403.40000009536737</v>
      </c>
      <c r="D19" t="s">
        <v>670</v>
      </c>
      <c r="E19" t="s">
        <v>671</v>
      </c>
      <c r="F19">
        <v>15</v>
      </c>
      <c r="H19">
        <v>1782923172</v>
      </c>
      <c r="I19">
        <f t="shared" si="0"/>
        <v>6.4761598720350583E-3</v>
      </c>
      <c r="J19">
        <f t="shared" si="1"/>
        <v>6.4761598720350584</v>
      </c>
      <c r="K19">
        <f t="shared" si="2"/>
        <v>59.119242486258884</v>
      </c>
      <c r="L19">
        <f t="shared" si="3"/>
        <v>419.56454838709669</v>
      </c>
      <c r="M19">
        <f t="shared" si="4"/>
        <v>134.75513026219312</v>
      </c>
      <c r="N19">
        <f t="shared" si="5"/>
        <v>13.182703601064427</v>
      </c>
      <c r="O19">
        <f t="shared" si="6"/>
        <v>41.044783023398736</v>
      </c>
      <c r="P19">
        <f t="shared" si="7"/>
        <v>0.36253649089995094</v>
      </c>
      <c r="Q19">
        <f t="shared" si="8"/>
        <v>2.8891563512508198</v>
      </c>
      <c r="R19">
        <f t="shared" si="9"/>
        <v>0.33902704792936056</v>
      </c>
      <c r="S19">
        <f t="shared" si="10"/>
        <v>0.21387696487311675</v>
      </c>
      <c r="T19">
        <f t="shared" si="11"/>
        <v>255.91798927383476</v>
      </c>
      <c r="U19">
        <f t="shared" si="12"/>
        <v>34.977691579731264</v>
      </c>
      <c r="V19">
        <f t="shared" si="13"/>
        <v>34.472590322580643</v>
      </c>
      <c r="W19">
        <f t="shared" si="14"/>
        <v>5.4854828864765164</v>
      </c>
      <c r="X19">
        <f t="shared" si="15"/>
        <v>65.029546925115113</v>
      </c>
      <c r="Y19">
        <f t="shared" si="16"/>
        <v>3.7045456546257745</v>
      </c>
      <c r="Z19">
        <f t="shared" si="17"/>
        <v>5.6967114639315426</v>
      </c>
      <c r="AA19">
        <f t="shared" si="18"/>
        <v>1.7809372318507419</v>
      </c>
      <c r="AB19">
        <f t="shared" si="19"/>
        <v>-285.59865035674608</v>
      </c>
      <c r="AC19">
        <f t="shared" si="20"/>
        <v>106.13248611671926</v>
      </c>
      <c r="AD19">
        <f t="shared" si="21"/>
        <v>8.5634960152776731</v>
      </c>
      <c r="AE19">
        <f t="shared" si="22"/>
        <v>85.0153210490856</v>
      </c>
      <c r="AF19">
        <f t="shared" si="23"/>
        <v>59.119242486258884</v>
      </c>
      <c r="AG19">
        <f t="shared" si="24"/>
        <v>6.4761598720350584</v>
      </c>
      <c r="AH19">
        <f t="shared" si="25"/>
        <v>59.225702341590548</v>
      </c>
      <c r="AI19">
        <v>509.20224825718748</v>
      </c>
      <c r="AJ19">
        <v>436.05458181818182</v>
      </c>
      <c r="AK19">
        <v>-3.0026147969265029E-2</v>
      </c>
      <c r="AL19">
        <v>67.035050659271846</v>
      </c>
      <c r="AM19">
        <f t="shared" si="26"/>
        <v>6.4995489968783362</v>
      </c>
      <c r="AN19">
        <v>30.392686276409041</v>
      </c>
      <c r="AO19">
        <v>37.886653939393938</v>
      </c>
      <c r="AP19">
        <v>1.7261310274936401E-3</v>
      </c>
      <c r="AQ19">
        <v>78.066402692052066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50303.199669746704</v>
      </c>
      <c r="AW19" t="s">
        <v>663</v>
      </c>
      <c r="AX19">
        <v>5099.1499999999996</v>
      </c>
      <c r="AY19">
        <v>561.92941176470595</v>
      </c>
      <c r="AZ19">
        <v>2562.2800000000002</v>
      </c>
      <c r="BA19">
        <f t="shared" si="30"/>
        <v>0.78069164503305422</v>
      </c>
      <c r="BB19">
        <v>-5.1695636961489324</v>
      </c>
      <c r="BC19" t="s">
        <v>672</v>
      </c>
      <c r="BD19">
        <v>5096.0200000000004</v>
      </c>
      <c r="BE19">
        <v>765.28929411764705</v>
      </c>
      <c r="BF19">
        <v>1043.5899999999999</v>
      </c>
      <c r="BG19">
        <f t="shared" si="31"/>
        <v>0.26667628655156994</v>
      </c>
      <c r="BH19">
        <v>0.5</v>
      </c>
      <c r="BI19">
        <f t="shared" si="32"/>
        <v>1344.3020610979256</v>
      </c>
      <c r="BJ19">
        <f t="shared" si="33"/>
        <v>59.119242486258884</v>
      </c>
      <c r="BK19">
        <f t="shared" si="34"/>
        <v>179.24674082860824</v>
      </c>
      <c r="BL19">
        <f t="shared" si="35"/>
        <v>4.7823185013866239E-2</v>
      </c>
      <c r="BM19">
        <f t="shared" si="36"/>
        <v>1.4552554163991609</v>
      </c>
      <c r="BN19">
        <f t="shared" si="37"/>
        <v>425.97851019947825</v>
      </c>
      <c r="BO19" t="s">
        <v>407</v>
      </c>
      <c r="BP19">
        <v>0</v>
      </c>
      <c r="BQ19">
        <f t="shared" si="38"/>
        <v>425.97851019947825</v>
      </c>
      <c r="BR19">
        <f t="shared" si="39"/>
        <v>0.59181430427708359</v>
      </c>
      <c r="BS19">
        <f t="shared" si="40"/>
        <v>0.45060804482805106</v>
      </c>
      <c r="BT19">
        <f t="shared" si="41"/>
        <v>0.71089685011725967</v>
      </c>
      <c r="BU19">
        <f t="shared" si="42"/>
        <v>0.57779422414856452</v>
      </c>
      <c r="BV19">
        <f t="shared" si="43"/>
        <v>0.75921191461732007</v>
      </c>
      <c r="BW19">
        <f t="shared" si="44"/>
        <v>0.25081932426751646</v>
      </c>
      <c r="BX19">
        <f t="shared" si="45"/>
        <v>0.74918067573248348</v>
      </c>
      <c r="DG19">
        <f t="shared" si="46"/>
        <v>1600.017096774194</v>
      </c>
      <c r="DH19">
        <f t="shared" si="47"/>
        <v>1344.3020610979256</v>
      </c>
      <c r="DI19">
        <f t="shared" si="48"/>
        <v>0.84017981045838996</v>
      </c>
      <c r="DJ19">
        <f t="shared" si="49"/>
        <v>0.15994703418469269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1782923172</v>
      </c>
      <c r="DQ19">
        <v>419.56454838709669</v>
      </c>
      <c r="DR19">
        <v>493.77106451612912</v>
      </c>
      <c r="DS19">
        <v>37.868296774193553</v>
      </c>
      <c r="DT19">
        <v>30.390909677419351</v>
      </c>
      <c r="DU19">
        <v>424.2351290322581</v>
      </c>
      <c r="DV19">
        <v>37.349045161290327</v>
      </c>
      <c r="DW19">
        <v>499.98096774193539</v>
      </c>
      <c r="DX19">
        <v>97.781390322580634</v>
      </c>
      <c r="DY19">
        <v>4.5709658064516129E-2</v>
      </c>
      <c r="DZ19">
        <v>35.153974193548393</v>
      </c>
      <c r="EA19">
        <v>34.472590322580643</v>
      </c>
      <c r="EB19">
        <v>999.90000000000032</v>
      </c>
      <c r="EC19">
        <v>0</v>
      </c>
      <c r="ED19">
        <v>0</v>
      </c>
      <c r="EE19">
        <v>9993.2258064516136</v>
      </c>
      <c r="EF19">
        <v>0</v>
      </c>
      <c r="EG19">
        <v>1353.5951612903229</v>
      </c>
      <c r="EH19">
        <v>-74.206538709677403</v>
      </c>
      <c r="EI19">
        <v>436.07796774193548</v>
      </c>
      <c r="EJ19">
        <v>509.24745161290309</v>
      </c>
      <c r="EK19">
        <v>7.4773948387096771</v>
      </c>
      <c r="EL19">
        <v>493.77106451612912</v>
      </c>
      <c r="EM19">
        <v>30.390909677419351</v>
      </c>
      <c r="EN19">
        <v>3.7028151612903231</v>
      </c>
      <c r="EO19">
        <v>2.971665483870968</v>
      </c>
      <c r="EP19">
        <v>27.579554838709669</v>
      </c>
      <c r="EQ19">
        <v>23.869996774193549</v>
      </c>
      <c r="ER19">
        <v>1600.017096774194</v>
      </c>
      <c r="ES19">
        <v>0.99399012903225814</v>
      </c>
      <c r="ET19">
        <v>6.0095541935483894E-3</v>
      </c>
      <c r="EU19">
        <v>0</v>
      </c>
      <c r="EV19">
        <v>765.20706451612898</v>
      </c>
      <c r="EW19">
        <v>5.0010700000000003</v>
      </c>
      <c r="EX19">
        <v>17865.758064516129</v>
      </c>
      <c r="EY19">
        <v>14578.590322580651</v>
      </c>
      <c r="EZ19">
        <v>42.640999999999998</v>
      </c>
      <c r="FA19">
        <v>44.386999999999993</v>
      </c>
      <c r="FB19">
        <v>43.436999999999969</v>
      </c>
      <c r="FC19">
        <v>44.049999999999983</v>
      </c>
      <c r="FD19">
        <v>44.582322580645148</v>
      </c>
      <c r="FE19">
        <v>1585.4270967741929</v>
      </c>
      <c r="FF19">
        <v>9.5899999999999963</v>
      </c>
      <c r="FG19">
        <v>0</v>
      </c>
      <c r="FH19">
        <v>192.79999995231631</v>
      </c>
      <c r="FI19">
        <v>0</v>
      </c>
      <c r="FJ19">
        <v>765.28929411764705</v>
      </c>
      <c r="FK19">
        <v>1.263235299013219</v>
      </c>
      <c r="FL19">
        <v>2761.495104279802</v>
      </c>
      <c r="FM19">
        <v>17979.31176470589</v>
      </c>
      <c r="FN19">
        <v>10</v>
      </c>
      <c r="FO19">
        <v>1782923104.5</v>
      </c>
      <c r="FP19" t="s">
        <v>673</v>
      </c>
      <c r="FQ19">
        <v>1782923102.5</v>
      </c>
      <c r="FR19">
        <v>1782923104.5</v>
      </c>
      <c r="FS19">
        <v>19</v>
      </c>
      <c r="FT19">
        <v>0.214</v>
      </c>
      <c r="FU19">
        <v>-0.01</v>
      </c>
      <c r="FV19">
        <v>-4.9539999999999997</v>
      </c>
      <c r="FW19">
        <v>0.29899999999999999</v>
      </c>
      <c r="FX19">
        <v>493</v>
      </c>
      <c r="FY19">
        <v>30</v>
      </c>
      <c r="FZ19">
        <v>0.1</v>
      </c>
      <c r="GA19">
        <v>0.06</v>
      </c>
      <c r="GB19">
        <v>-74.136341463414624</v>
      </c>
      <c r="GC19">
        <v>-0.86098745644582719</v>
      </c>
      <c r="GD19">
        <v>0.18762089172715349</v>
      </c>
      <c r="GE19">
        <v>1</v>
      </c>
      <c r="GF19">
        <v>765.13961764705869</v>
      </c>
      <c r="GG19">
        <v>1.4955996992327809</v>
      </c>
      <c r="GH19">
        <v>0.2746005671029948</v>
      </c>
      <c r="GI19">
        <v>1</v>
      </c>
      <c r="GJ19">
        <v>7.4687960975609764</v>
      </c>
      <c r="GK19">
        <v>0.15846397212542271</v>
      </c>
      <c r="GL19">
        <v>1.631478842511716E-2</v>
      </c>
      <c r="GM19">
        <v>1</v>
      </c>
      <c r="GN19">
        <v>3</v>
      </c>
      <c r="GO19">
        <v>3</v>
      </c>
      <c r="GP19" t="s">
        <v>599</v>
      </c>
      <c r="GQ19">
        <v>3.1341999999999999</v>
      </c>
      <c r="GR19">
        <v>2.7191900000000002</v>
      </c>
      <c r="GS19">
        <v>9.1086399999999998E-2</v>
      </c>
      <c r="GT19">
        <v>0.102824</v>
      </c>
      <c r="GU19">
        <v>0.15173500000000001</v>
      </c>
      <c r="GV19">
        <v>0.131941</v>
      </c>
      <c r="GW19">
        <v>22739.4</v>
      </c>
      <c r="GX19">
        <v>30219.3</v>
      </c>
      <c r="GY19">
        <v>27143.4</v>
      </c>
      <c r="GZ19">
        <v>34644</v>
      </c>
      <c r="HA19">
        <v>33729.4</v>
      </c>
      <c r="HB19">
        <v>38427</v>
      </c>
      <c r="HC19">
        <v>40082.699999999997</v>
      </c>
      <c r="HD19">
        <v>44345</v>
      </c>
      <c r="HE19">
        <v>1.9598</v>
      </c>
      <c r="HF19">
        <v>1.7402</v>
      </c>
      <c r="HG19">
        <v>5.0783200000000001E-2</v>
      </c>
      <c r="HH19">
        <v>0</v>
      </c>
      <c r="HI19">
        <v>33.6539</v>
      </c>
      <c r="HJ19">
        <v>999.9</v>
      </c>
      <c r="HK19">
        <v>56</v>
      </c>
      <c r="HL19">
        <v>40.4</v>
      </c>
      <c r="HM19">
        <v>43.373899999999999</v>
      </c>
      <c r="HN19">
        <v>60.037300000000002</v>
      </c>
      <c r="HO19">
        <v>7.3918299999999997</v>
      </c>
      <c r="HP19">
        <v>1</v>
      </c>
      <c r="HQ19">
        <v>0.63530500000000001</v>
      </c>
      <c r="HR19">
        <v>0</v>
      </c>
      <c r="HS19">
        <v>20.279599999999999</v>
      </c>
      <c r="HT19">
        <v>5.2100999999999997</v>
      </c>
      <c r="HU19">
        <v>11.908099999999999</v>
      </c>
      <c r="HV19">
        <v>4.9812000000000003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1.8674900000000001</v>
      </c>
      <c r="IC19">
        <v>1.8631</v>
      </c>
      <c r="ID19">
        <v>1.8626400000000001</v>
      </c>
      <c r="IE19">
        <v>1.86209</v>
      </c>
      <c r="IF19">
        <v>1.86215</v>
      </c>
      <c r="IG19">
        <v>1.86273</v>
      </c>
      <c r="IH19">
        <v>1.8635600000000001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-4.67</v>
      </c>
      <c r="IX19">
        <v>0.51980000000000004</v>
      </c>
      <c r="IY19">
        <v>-2.737326079514419</v>
      </c>
      <c r="IZ19">
        <v>-5.1825110452525594E-3</v>
      </c>
      <c r="JA19">
        <v>1.5265819664382561E-6</v>
      </c>
      <c r="JB19">
        <v>-1.241475652429701E-10</v>
      </c>
      <c r="JC19">
        <v>-0.27115177545701619</v>
      </c>
      <c r="JD19">
        <v>2.7492919904454862E-4</v>
      </c>
      <c r="JE19">
        <v>8.6739513355948885E-4</v>
      </c>
      <c r="JF19">
        <v>-8.2500691715147318E-6</v>
      </c>
      <c r="JG19">
        <v>21</v>
      </c>
      <c r="JH19">
        <v>1720</v>
      </c>
      <c r="JI19">
        <v>2</v>
      </c>
      <c r="JJ19">
        <v>37</v>
      </c>
      <c r="JK19">
        <v>1.3</v>
      </c>
      <c r="JL19">
        <v>1.3</v>
      </c>
      <c r="JM19">
        <v>1.25</v>
      </c>
      <c r="JN19">
        <v>2.5463900000000002</v>
      </c>
      <c r="JO19">
        <v>1.50024</v>
      </c>
      <c r="JP19">
        <v>2.2705099999999998</v>
      </c>
      <c r="JQ19">
        <v>1.4477500000000001</v>
      </c>
      <c r="JR19">
        <v>2.47681</v>
      </c>
      <c r="JS19">
        <v>44.557299999999998</v>
      </c>
      <c r="JT19">
        <v>15.086399999999999</v>
      </c>
      <c r="JU19">
        <v>18</v>
      </c>
      <c r="JV19">
        <v>548.55600000000004</v>
      </c>
      <c r="JW19">
        <v>418.88400000000001</v>
      </c>
      <c r="JX19">
        <v>34.503100000000003</v>
      </c>
      <c r="JY19">
        <v>35.0747</v>
      </c>
      <c r="JZ19">
        <v>30.000299999999999</v>
      </c>
      <c r="KA19">
        <v>34.942</v>
      </c>
      <c r="KB19">
        <v>34.889000000000003</v>
      </c>
      <c r="KC19">
        <v>25.008900000000001</v>
      </c>
      <c r="KD19">
        <v>39.135800000000003</v>
      </c>
      <c r="KE19">
        <v>0</v>
      </c>
      <c r="KF19">
        <v>-999.9</v>
      </c>
      <c r="KG19">
        <v>494.267</v>
      </c>
      <c r="KH19">
        <v>30.3566</v>
      </c>
      <c r="KI19">
        <v>100.17700000000001</v>
      </c>
      <c r="KJ19">
        <v>99.385099999999994</v>
      </c>
    </row>
    <row r="20" spans="1:296" x14ac:dyDescent="0.3">
      <c r="A20">
        <v>4</v>
      </c>
      <c r="B20">
        <v>1782923302.5</v>
      </c>
      <c r="C20">
        <v>525.90000009536743</v>
      </c>
      <c r="D20" t="s">
        <v>674</v>
      </c>
      <c r="E20" t="s">
        <v>675</v>
      </c>
      <c r="F20">
        <v>15</v>
      </c>
      <c r="H20">
        <v>1782923294.5</v>
      </c>
      <c r="I20">
        <f t="shared" si="0"/>
        <v>6.558262339592124E-3</v>
      </c>
      <c r="J20">
        <f t="shared" si="1"/>
        <v>6.5582623395921242</v>
      </c>
      <c r="K20">
        <f t="shared" si="2"/>
        <v>59.864536331931134</v>
      </c>
      <c r="L20">
        <f t="shared" si="3"/>
        <v>419.65216129032262</v>
      </c>
      <c r="M20">
        <f t="shared" si="4"/>
        <v>149.28014920011765</v>
      </c>
      <c r="N20">
        <f t="shared" si="5"/>
        <v>14.602659648166146</v>
      </c>
      <c r="O20">
        <f t="shared" si="6"/>
        <v>41.050586529927415</v>
      </c>
      <c r="P20">
        <f t="shared" si="7"/>
        <v>0.38854878116591735</v>
      </c>
      <c r="Q20">
        <f t="shared" si="8"/>
        <v>2.8906942749753419</v>
      </c>
      <c r="R20">
        <f t="shared" si="9"/>
        <v>0.36169195947027388</v>
      </c>
      <c r="S20">
        <f t="shared" si="10"/>
        <v>0.22831556982373319</v>
      </c>
      <c r="T20">
        <f t="shared" si="11"/>
        <v>224.00326282571677</v>
      </c>
      <c r="U20">
        <f t="shared" si="12"/>
        <v>34.433977601701635</v>
      </c>
      <c r="V20">
        <f t="shared" si="13"/>
        <v>34.053541935483871</v>
      </c>
      <c r="W20">
        <f t="shared" si="14"/>
        <v>5.358988123839084</v>
      </c>
      <c r="X20">
        <f t="shared" si="15"/>
        <v>65.569884708511367</v>
      </c>
      <c r="Y20">
        <f t="shared" si="16"/>
        <v>3.6671209833505758</v>
      </c>
      <c r="Z20">
        <f t="shared" si="17"/>
        <v>5.5926909123794157</v>
      </c>
      <c r="AA20">
        <f t="shared" si="18"/>
        <v>1.6918671404885082</v>
      </c>
      <c r="AB20">
        <f t="shared" si="19"/>
        <v>-289.21936917601266</v>
      </c>
      <c r="AC20">
        <f t="shared" si="20"/>
        <v>119.63723631900861</v>
      </c>
      <c r="AD20">
        <f t="shared" si="21"/>
        <v>9.6127159286327135</v>
      </c>
      <c r="AE20">
        <f t="shared" si="22"/>
        <v>64.033845897345444</v>
      </c>
      <c r="AF20">
        <f t="shared" si="23"/>
        <v>59.864536331931134</v>
      </c>
      <c r="AG20">
        <f t="shared" si="24"/>
        <v>6.5582623395921242</v>
      </c>
      <c r="AH20">
        <f t="shared" si="25"/>
        <v>59.514498522902521</v>
      </c>
      <c r="AI20">
        <v>509.98626187871491</v>
      </c>
      <c r="AJ20">
        <v>436.12557575757558</v>
      </c>
      <c r="AK20">
        <v>4.6503213143157071E-2</v>
      </c>
      <c r="AL20">
        <v>67.087942817586821</v>
      </c>
      <c r="AM20">
        <f t="shared" si="26"/>
        <v>6.4959639539240275</v>
      </c>
      <c r="AN20">
        <v>29.88743811681282</v>
      </c>
      <c r="AO20">
        <v>37.422913939393922</v>
      </c>
      <c r="AP20">
        <v>-5.3131195268398589E-3</v>
      </c>
      <c r="AQ20">
        <v>78.238298262474018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50400.253220394625</v>
      </c>
      <c r="AW20" t="s">
        <v>663</v>
      </c>
      <c r="AX20">
        <v>5099.1499999999996</v>
      </c>
      <c r="AY20">
        <v>561.92941176470595</v>
      </c>
      <c r="AZ20">
        <v>2562.2800000000002</v>
      </c>
      <c r="BA20">
        <f t="shared" si="30"/>
        <v>0.78069164503305422</v>
      </c>
      <c r="BB20">
        <v>-5.1695636961489324</v>
      </c>
      <c r="BC20" t="s">
        <v>676</v>
      </c>
      <c r="BD20">
        <v>5098.55</v>
      </c>
      <c r="BE20">
        <v>781.9264117647059</v>
      </c>
      <c r="BF20">
        <v>1151.4000000000001</v>
      </c>
      <c r="BG20">
        <f t="shared" si="31"/>
        <v>0.32089073148800951</v>
      </c>
      <c r="BH20">
        <v>0.5</v>
      </c>
      <c r="BI20">
        <f t="shared" si="32"/>
        <v>1176.2803642921149</v>
      </c>
      <c r="BJ20">
        <f t="shared" si="33"/>
        <v>59.864536331931134</v>
      </c>
      <c r="BK20">
        <f t="shared" si="34"/>
        <v>188.72873326633953</v>
      </c>
      <c r="BL20">
        <f t="shared" si="35"/>
        <v>5.5287924547833087E-2</v>
      </c>
      <c r="BM20">
        <f t="shared" si="36"/>
        <v>1.2253604307799202</v>
      </c>
      <c r="BN20">
        <f t="shared" si="37"/>
        <v>442.90638926438612</v>
      </c>
      <c r="BO20" t="s">
        <v>407</v>
      </c>
      <c r="BP20">
        <v>0</v>
      </c>
      <c r="BQ20">
        <f t="shared" si="38"/>
        <v>442.90638926438612</v>
      </c>
      <c r="BR20">
        <f t="shared" si="39"/>
        <v>0.61533230044781484</v>
      </c>
      <c r="BS20">
        <f t="shared" si="40"/>
        <v>0.52149177160776028</v>
      </c>
      <c r="BT20">
        <f t="shared" si="41"/>
        <v>0.66570612791120742</v>
      </c>
      <c r="BU20">
        <f t="shared" si="42"/>
        <v>0.62678884342879959</v>
      </c>
      <c r="BV20">
        <f t="shared" si="43"/>
        <v>0.70531636219062777</v>
      </c>
      <c r="BW20">
        <f t="shared" si="44"/>
        <v>0.29538845870752373</v>
      </c>
      <c r="BX20">
        <f t="shared" si="45"/>
        <v>0.70461154129247627</v>
      </c>
      <c r="DG20">
        <f t="shared" si="46"/>
        <v>1399.9848387096779</v>
      </c>
      <c r="DH20">
        <f t="shared" si="47"/>
        <v>1176.2803642921149</v>
      </c>
      <c r="DI20">
        <f t="shared" si="48"/>
        <v>0.84020935925010132</v>
      </c>
      <c r="DJ20">
        <f t="shared" si="49"/>
        <v>0.16000406335269571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1782923294.5</v>
      </c>
      <c r="DQ20">
        <v>419.65216129032262</v>
      </c>
      <c r="DR20">
        <v>494.7950967741935</v>
      </c>
      <c r="DS20">
        <v>37.488264516129028</v>
      </c>
      <c r="DT20">
        <v>29.913090322580651</v>
      </c>
      <c r="DU20">
        <v>424.38087096774188</v>
      </c>
      <c r="DV20">
        <v>36.982183870967738</v>
      </c>
      <c r="DW20">
        <v>499.98093548387101</v>
      </c>
      <c r="DX20">
        <v>97.780999999999977</v>
      </c>
      <c r="DY20">
        <v>3.9505448387096763E-2</v>
      </c>
      <c r="DZ20">
        <v>34.821219354838703</v>
      </c>
      <c r="EA20">
        <v>34.053541935483871</v>
      </c>
      <c r="EB20">
        <v>999.90000000000032</v>
      </c>
      <c r="EC20">
        <v>0</v>
      </c>
      <c r="ED20">
        <v>0</v>
      </c>
      <c r="EE20">
        <v>10002.096774193549</v>
      </c>
      <c r="EF20">
        <v>0</v>
      </c>
      <c r="EG20">
        <v>1076.5874193548379</v>
      </c>
      <c r="EH20">
        <v>-75.142922580645163</v>
      </c>
      <c r="EI20">
        <v>435.99683870967738</v>
      </c>
      <c r="EJ20">
        <v>510.0522580645162</v>
      </c>
      <c r="EK20">
        <v>7.575167741935485</v>
      </c>
      <c r="EL20">
        <v>494.7950967741935</v>
      </c>
      <c r="EM20">
        <v>29.913090322580651</v>
      </c>
      <c r="EN20">
        <v>3.6656390322580652</v>
      </c>
      <c r="EO20">
        <v>2.9249319354838699</v>
      </c>
      <c r="EP20">
        <v>27.407112903225809</v>
      </c>
      <c r="EQ20">
        <v>23.606590322580651</v>
      </c>
      <c r="ER20">
        <v>1399.9848387096779</v>
      </c>
      <c r="ES20">
        <v>0.99299758064516108</v>
      </c>
      <c r="ET20">
        <v>7.0022706451612904E-3</v>
      </c>
      <c r="EU20">
        <v>0</v>
      </c>
      <c r="EV20">
        <v>781.79899999999975</v>
      </c>
      <c r="EW20">
        <v>5.0010700000000003</v>
      </c>
      <c r="EX20">
        <v>15844.32903225806</v>
      </c>
      <c r="EY20">
        <v>12745.358064516129</v>
      </c>
      <c r="EZ20">
        <v>42.145000000000003</v>
      </c>
      <c r="FA20">
        <v>44.266000000000012</v>
      </c>
      <c r="FB20">
        <v>43.328258064516113</v>
      </c>
      <c r="FC20">
        <v>43.600612903225802</v>
      </c>
      <c r="FD20">
        <v>44.255838709677413</v>
      </c>
      <c r="FE20">
        <v>1385.214838709677</v>
      </c>
      <c r="FF20">
        <v>9.7699999999999978</v>
      </c>
      <c r="FG20">
        <v>0</v>
      </c>
      <c r="FH20">
        <v>122</v>
      </c>
      <c r="FI20">
        <v>0</v>
      </c>
      <c r="FJ20">
        <v>781.9264117647059</v>
      </c>
      <c r="FK20">
        <v>3.7813725577037869</v>
      </c>
      <c r="FL20">
        <v>-1452.794117733948</v>
      </c>
      <c r="FM20">
        <v>15804.552941176469</v>
      </c>
      <c r="FN20">
        <v>10</v>
      </c>
      <c r="FO20">
        <v>1782923244</v>
      </c>
      <c r="FP20" t="s">
        <v>677</v>
      </c>
      <c r="FQ20">
        <v>1782923244</v>
      </c>
      <c r="FR20">
        <v>1782923241.5</v>
      </c>
      <c r="FS20">
        <v>20</v>
      </c>
      <c r="FT20">
        <v>-5.7000000000000002E-2</v>
      </c>
      <c r="FU20">
        <v>-2E-3</v>
      </c>
      <c r="FV20">
        <v>-5.016</v>
      </c>
      <c r="FW20">
        <v>0.29099999999999998</v>
      </c>
      <c r="FX20">
        <v>494</v>
      </c>
      <c r="FY20">
        <v>30</v>
      </c>
      <c r="FZ20">
        <v>0.14000000000000001</v>
      </c>
      <c r="GA20">
        <v>0.05</v>
      </c>
      <c r="GB20">
        <v>-75.173452499999996</v>
      </c>
      <c r="GC20">
        <v>0.69487317073175747</v>
      </c>
      <c r="GD20">
        <v>0.1569124102604699</v>
      </c>
      <c r="GE20">
        <v>1</v>
      </c>
      <c r="GF20">
        <v>781.55467647058811</v>
      </c>
      <c r="GG20">
        <v>3.874606571976984</v>
      </c>
      <c r="GH20">
        <v>0.4709633881479377</v>
      </c>
      <c r="GI20">
        <v>1</v>
      </c>
      <c r="GJ20">
        <v>7.5770989999999996</v>
      </c>
      <c r="GK20">
        <v>-5.944840525337807E-3</v>
      </c>
      <c r="GL20">
        <v>2.6973841105782489E-2</v>
      </c>
      <c r="GM20">
        <v>1</v>
      </c>
      <c r="GN20">
        <v>3</v>
      </c>
      <c r="GO20">
        <v>3</v>
      </c>
      <c r="GP20" t="s">
        <v>599</v>
      </c>
      <c r="GQ20">
        <v>3.1322899999999998</v>
      </c>
      <c r="GR20">
        <v>2.7234500000000001</v>
      </c>
      <c r="GS20">
        <v>9.11304E-2</v>
      </c>
      <c r="GT20">
        <v>0.102968</v>
      </c>
      <c r="GU20">
        <v>0.150453</v>
      </c>
      <c r="GV20">
        <v>0.129831</v>
      </c>
      <c r="GW20">
        <v>22740.9</v>
      </c>
      <c r="GX20">
        <v>30218.5</v>
      </c>
      <c r="GY20">
        <v>27146.400000000001</v>
      </c>
      <c r="GZ20">
        <v>34648.5</v>
      </c>
      <c r="HA20">
        <v>33783</v>
      </c>
      <c r="HB20">
        <v>38524.199999999997</v>
      </c>
      <c r="HC20">
        <v>40086.300000000003</v>
      </c>
      <c r="HD20">
        <v>44349.7</v>
      </c>
      <c r="HE20">
        <v>1.9583999999999999</v>
      </c>
      <c r="HF20">
        <v>1.7402</v>
      </c>
      <c r="HG20">
        <v>3.8892000000000003E-2</v>
      </c>
      <c r="HH20">
        <v>0</v>
      </c>
      <c r="HI20">
        <v>33.389000000000003</v>
      </c>
      <c r="HJ20">
        <v>999.9</v>
      </c>
      <c r="HK20">
        <v>55.8</v>
      </c>
      <c r="HL20">
        <v>40.6</v>
      </c>
      <c r="HM20">
        <v>43.688899999999997</v>
      </c>
      <c r="HN20">
        <v>59.957299999999996</v>
      </c>
      <c r="HO20">
        <v>7.5440699999999996</v>
      </c>
      <c r="HP20">
        <v>1</v>
      </c>
      <c r="HQ20">
        <v>0.63109800000000005</v>
      </c>
      <c r="HR20">
        <v>0</v>
      </c>
      <c r="HS20">
        <v>20.2821</v>
      </c>
      <c r="HT20">
        <v>5.2100999999999997</v>
      </c>
      <c r="HU20">
        <v>11.908099999999999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1.8674900000000001</v>
      </c>
      <c r="IC20">
        <v>1.8631899999999999</v>
      </c>
      <c r="ID20">
        <v>1.8626400000000001</v>
      </c>
      <c r="IE20">
        <v>1.8621799999999999</v>
      </c>
      <c r="IF20">
        <v>1.86215</v>
      </c>
      <c r="IG20">
        <v>1.86276</v>
      </c>
      <c r="IH20">
        <v>1.8636200000000001</v>
      </c>
      <c r="II20">
        <v>1.8615999999999999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-4.7290000000000001</v>
      </c>
      <c r="IX20">
        <v>0.50390000000000001</v>
      </c>
      <c r="IY20">
        <v>-2.794842534137981</v>
      </c>
      <c r="IZ20">
        <v>-5.1825110452525594E-3</v>
      </c>
      <c r="JA20">
        <v>1.5265819664382561E-6</v>
      </c>
      <c r="JB20">
        <v>-1.241475652429701E-10</v>
      </c>
      <c r="JC20">
        <v>-0.2731375362192211</v>
      </c>
      <c r="JD20">
        <v>2.7492919904454862E-4</v>
      </c>
      <c r="JE20">
        <v>8.6739513355948885E-4</v>
      </c>
      <c r="JF20">
        <v>-8.2500691715147318E-6</v>
      </c>
      <c r="JG20">
        <v>21</v>
      </c>
      <c r="JH20">
        <v>1720</v>
      </c>
      <c r="JI20">
        <v>2</v>
      </c>
      <c r="JJ20">
        <v>37</v>
      </c>
      <c r="JK20">
        <v>1</v>
      </c>
      <c r="JL20">
        <v>1</v>
      </c>
      <c r="JM20">
        <v>1.25</v>
      </c>
      <c r="JN20">
        <v>2.5500500000000001</v>
      </c>
      <c r="JO20">
        <v>1.50024</v>
      </c>
      <c r="JP20">
        <v>2.2705099999999998</v>
      </c>
      <c r="JQ20">
        <v>1.4477500000000001</v>
      </c>
      <c r="JR20">
        <v>2.34131</v>
      </c>
      <c r="JS20">
        <v>44.529299999999999</v>
      </c>
      <c r="JT20">
        <v>15.068899999999999</v>
      </c>
      <c r="JU20">
        <v>18</v>
      </c>
      <c r="JV20">
        <v>547.63599999999997</v>
      </c>
      <c r="JW20">
        <v>418.88499999999999</v>
      </c>
      <c r="JX20">
        <v>34.402700000000003</v>
      </c>
      <c r="JY20">
        <v>35.038200000000003</v>
      </c>
      <c r="JZ20">
        <v>29.9999</v>
      </c>
      <c r="KA20">
        <v>34.9452</v>
      </c>
      <c r="KB20">
        <v>34.889000000000003</v>
      </c>
      <c r="KC20">
        <v>25.015000000000001</v>
      </c>
      <c r="KD20">
        <v>40.370800000000003</v>
      </c>
      <c r="KE20">
        <v>0</v>
      </c>
      <c r="KF20">
        <v>-999.9</v>
      </c>
      <c r="KG20">
        <v>494.83800000000002</v>
      </c>
      <c r="KH20">
        <v>29.7348</v>
      </c>
      <c r="KI20">
        <v>100.187</v>
      </c>
      <c r="KJ20">
        <v>99.396500000000003</v>
      </c>
    </row>
    <row r="21" spans="1:296" x14ac:dyDescent="0.3">
      <c r="A21">
        <v>5</v>
      </c>
      <c r="B21">
        <v>1782923482</v>
      </c>
      <c r="C21">
        <v>705.40000009536743</v>
      </c>
      <c r="D21" t="s">
        <v>678</v>
      </c>
      <c r="E21" t="s">
        <v>679</v>
      </c>
      <c r="F21">
        <v>15</v>
      </c>
      <c r="H21">
        <v>1782923474.25</v>
      </c>
      <c r="I21">
        <f t="shared" si="0"/>
        <v>6.0450521492241126E-3</v>
      </c>
      <c r="J21">
        <f t="shared" si="1"/>
        <v>6.0450521492241123</v>
      </c>
      <c r="K21">
        <f t="shared" si="2"/>
        <v>54.04640971305686</v>
      </c>
      <c r="L21">
        <f t="shared" si="3"/>
        <v>419.78350000000012</v>
      </c>
      <c r="M21">
        <f t="shared" si="4"/>
        <v>162.43365880974724</v>
      </c>
      <c r="N21">
        <f t="shared" si="5"/>
        <v>15.887618044375177</v>
      </c>
      <c r="O21">
        <f t="shared" si="6"/>
        <v>41.058977296956364</v>
      </c>
      <c r="P21">
        <f t="shared" si="7"/>
        <v>0.36786403516644839</v>
      </c>
      <c r="Q21">
        <f t="shared" si="8"/>
        <v>2.8909153448533385</v>
      </c>
      <c r="R21">
        <f t="shared" si="9"/>
        <v>0.34369695310051579</v>
      </c>
      <c r="S21">
        <f t="shared" si="10"/>
        <v>0.21684946840666453</v>
      </c>
      <c r="T21">
        <f t="shared" si="11"/>
        <v>176.12871844523454</v>
      </c>
      <c r="U21">
        <f t="shared" si="12"/>
        <v>33.762193654640775</v>
      </c>
      <c r="V21">
        <f t="shared" si="13"/>
        <v>33.516113333333337</v>
      </c>
      <c r="W21">
        <f t="shared" si="14"/>
        <v>5.2004767340869131</v>
      </c>
      <c r="X21">
        <f t="shared" si="15"/>
        <v>65.474608648728378</v>
      </c>
      <c r="Y21">
        <f t="shared" si="16"/>
        <v>3.5571813213440824</v>
      </c>
      <c r="Z21">
        <f t="shared" si="17"/>
        <v>5.4329172709200586</v>
      </c>
      <c r="AA21">
        <f t="shared" si="18"/>
        <v>1.6432954127428308</v>
      </c>
      <c r="AB21">
        <f t="shared" si="19"/>
        <v>-266.58679978078339</v>
      </c>
      <c r="AC21">
        <f t="shared" si="20"/>
        <v>122.09215334055219</v>
      </c>
      <c r="AD21">
        <f t="shared" si="21"/>
        <v>9.7586123269015062</v>
      </c>
      <c r="AE21">
        <f t="shared" si="22"/>
        <v>41.392684331904832</v>
      </c>
      <c r="AF21">
        <f t="shared" si="23"/>
        <v>54.04640971305686</v>
      </c>
      <c r="AG21">
        <f t="shared" si="24"/>
        <v>6.0450521492241123</v>
      </c>
      <c r="AH21">
        <f t="shared" si="25"/>
        <v>54.109844102616044</v>
      </c>
      <c r="AI21">
        <v>502.32924458016498</v>
      </c>
      <c r="AJ21">
        <v>435.6773878787879</v>
      </c>
      <c r="AK21">
        <v>-4.724969998464322E-2</v>
      </c>
      <c r="AL21">
        <v>67.087501636085889</v>
      </c>
      <c r="AM21">
        <f t="shared" si="26"/>
        <v>5.9334702035599083</v>
      </c>
      <c r="AN21">
        <v>29.362117758590859</v>
      </c>
      <c r="AO21">
        <v>36.285853939393931</v>
      </c>
      <c r="AP21">
        <v>-1.039731300818328E-2</v>
      </c>
      <c r="AQ21">
        <v>78.237198033867955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50491.632662110525</v>
      </c>
      <c r="AW21" t="s">
        <v>663</v>
      </c>
      <c r="AX21">
        <v>5099.1499999999996</v>
      </c>
      <c r="AY21">
        <v>561.92941176470595</v>
      </c>
      <c r="AZ21">
        <v>2562.2800000000002</v>
      </c>
      <c r="BA21">
        <f t="shared" si="30"/>
        <v>0.78069164503305422</v>
      </c>
      <c r="BB21">
        <v>-5.1695636961489324</v>
      </c>
      <c r="BC21" t="s">
        <v>680</v>
      </c>
      <c r="BD21">
        <v>5102.46</v>
      </c>
      <c r="BE21">
        <v>795.5872352941177</v>
      </c>
      <c r="BF21">
        <v>1329.3</v>
      </c>
      <c r="BG21">
        <f t="shared" si="31"/>
        <v>0.40149910833211633</v>
      </c>
      <c r="BH21">
        <v>0.5</v>
      </c>
      <c r="BI21">
        <f t="shared" si="32"/>
        <v>924.28709971255682</v>
      </c>
      <c r="BJ21">
        <f t="shared" si="33"/>
        <v>54.04640971305686</v>
      </c>
      <c r="BK21">
        <f t="shared" si="34"/>
        <v>185.55022318873472</v>
      </c>
      <c r="BL21">
        <f t="shared" si="35"/>
        <v>6.4066644906784168E-2</v>
      </c>
      <c r="BM21">
        <f t="shared" si="36"/>
        <v>0.92754081095313345</v>
      </c>
      <c r="BN21">
        <f t="shared" si="37"/>
        <v>466.94470986601027</v>
      </c>
      <c r="BO21" t="s">
        <v>407</v>
      </c>
      <c r="BP21">
        <v>0</v>
      </c>
      <c r="BQ21">
        <f t="shared" si="38"/>
        <v>466.94470986601027</v>
      </c>
      <c r="BR21">
        <f t="shared" si="39"/>
        <v>0.64872887243962207</v>
      </c>
      <c r="BS21">
        <f t="shared" si="40"/>
        <v>0.61890124733038498</v>
      </c>
      <c r="BT21">
        <f t="shared" si="41"/>
        <v>0.58844043041968486</v>
      </c>
      <c r="BU21">
        <f t="shared" si="42"/>
        <v>0.69550849731320852</v>
      </c>
      <c r="BV21">
        <f t="shared" si="43"/>
        <v>0.61638195186961353</v>
      </c>
      <c r="BW21">
        <f t="shared" si="44"/>
        <v>0.3632444696822742</v>
      </c>
      <c r="BX21">
        <f t="shared" si="45"/>
        <v>0.6367555303177258</v>
      </c>
      <c r="DG21">
        <f t="shared" si="46"/>
        <v>1099.99</v>
      </c>
      <c r="DH21">
        <f t="shared" si="47"/>
        <v>924.28709971255682</v>
      </c>
      <c r="DI21">
        <f t="shared" si="48"/>
        <v>0.84026863854449296</v>
      </c>
      <c r="DJ21">
        <f t="shared" si="49"/>
        <v>0.16011847239087132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1782923474.25</v>
      </c>
      <c r="DQ21">
        <v>419.78350000000012</v>
      </c>
      <c r="DR21">
        <v>487.68146666666672</v>
      </c>
      <c r="DS21">
        <v>36.368319999999997</v>
      </c>
      <c r="DT21">
        <v>29.37837</v>
      </c>
      <c r="DU21">
        <v>424.36639999999989</v>
      </c>
      <c r="DV21">
        <v>35.88409</v>
      </c>
      <c r="DW21">
        <v>500.02106666666668</v>
      </c>
      <c r="DX21">
        <v>97.765036666666674</v>
      </c>
      <c r="DY21">
        <v>4.4851756666666659E-2</v>
      </c>
      <c r="DZ21">
        <v>34.299483333333328</v>
      </c>
      <c r="EA21">
        <v>33.516113333333337</v>
      </c>
      <c r="EB21">
        <v>999.9000000000002</v>
      </c>
      <c r="EC21">
        <v>0</v>
      </c>
      <c r="ED21">
        <v>0</v>
      </c>
      <c r="EE21">
        <v>10005</v>
      </c>
      <c r="EF21">
        <v>0</v>
      </c>
      <c r="EG21">
        <v>838.78600000000006</v>
      </c>
      <c r="EH21">
        <v>-67.898046666666673</v>
      </c>
      <c r="EI21">
        <v>435.62653333333333</v>
      </c>
      <c r="EJ21">
        <v>502.4425333333333</v>
      </c>
      <c r="EK21">
        <v>6.9899543333333316</v>
      </c>
      <c r="EL21">
        <v>487.68146666666672</v>
      </c>
      <c r="EM21">
        <v>29.37837</v>
      </c>
      <c r="EN21">
        <v>3.555549333333333</v>
      </c>
      <c r="EO21">
        <v>2.8721766666666668</v>
      </c>
      <c r="EP21">
        <v>26.88733666666667</v>
      </c>
      <c r="EQ21">
        <v>23.304876666666662</v>
      </c>
      <c r="ER21">
        <v>1099.99</v>
      </c>
      <c r="ES21">
        <v>0.99100820000000023</v>
      </c>
      <c r="ET21">
        <v>8.9917140000000031E-3</v>
      </c>
      <c r="EU21">
        <v>0</v>
      </c>
      <c r="EV21">
        <v>795.52700000000004</v>
      </c>
      <c r="EW21">
        <v>5.0010700000000003</v>
      </c>
      <c r="EX21">
        <v>12968.34666666667</v>
      </c>
      <c r="EY21">
        <v>9996.6946666666681</v>
      </c>
      <c r="EZ21">
        <v>41.207999999999977</v>
      </c>
      <c r="FA21">
        <v>43.570399999999971</v>
      </c>
      <c r="FB21">
        <v>42.641533333333342</v>
      </c>
      <c r="FC21">
        <v>42.874733333333332</v>
      </c>
      <c r="FD21">
        <v>43.412199999999999</v>
      </c>
      <c r="FE21">
        <v>1085.1400000000001</v>
      </c>
      <c r="FF21">
        <v>9.8500000000000014</v>
      </c>
      <c r="FG21">
        <v>0</v>
      </c>
      <c r="FH21">
        <v>178.5999999046326</v>
      </c>
      <c r="FI21">
        <v>0</v>
      </c>
      <c r="FJ21">
        <v>795.5872352941177</v>
      </c>
      <c r="FK21">
        <v>0.7794117894839232</v>
      </c>
      <c r="FL21">
        <v>-15.34313596628671</v>
      </c>
      <c r="FM21">
        <v>12957.682352941179</v>
      </c>
      <c r="FN21">
        <v>10</v>
      </c>
      <c r="FO21">
        <v>1782923430</v>
      </c>
      <c r="FP21" t="s">
        <v>681</v>
      </c>
      <c r="FQ21">
        <v>1782923423.5</v>
      </c>
      <c r="FR21">
        <v>1782923430</v>
      </c>
      <c r="FS21">
        <v>21</v>
      </c>
      <c r="FT21">
        <v>0.14599999999999999</v>
      </c>
      <c r="FU21">
        <v>1.2E-2</v>
      </c>
      <c r="FV21">
        <v>-4.8490000000000002</v>
      </c>
      <c r="FW21">
        <v>0.28199999999999997</v>
      </c>
      <c r="FX21">
        <v>488</v>
      </c>
      <c r="FY21">
        <v>30</v>
      </c>
      <c r="FZ21">
        <v>0.12</v>
      </c>
      <c r="GA21">
        <v>0.05</v>
      </c>
      <c r="GB21">
        <v>-67.789765853658537</v>
      </c>
      <c r="GC21">
        <v>-0.99444459930341322</v>
      </c>
      <c r="GD21">
        <v>0.23935244103444919</v>
      </c>
      <c r="GE21">
        <v>1</v>
      </c>
      <c r="GF21">
        <v>795.54229411764709</v>
      </c>
      <c r="GG21">
        <v>0.73427043819503734</v>
      </c>
      <c r="GH21">
        <v>0.27699655226266767</v>
      </c>
      <c r="GI21">
        <v>1</v>
      </c>
      <c r="GJ21">
        <v>6.9450097560975612</v>
      </c>
      <c r="GK21">
        <v>0.38981540069688392</v>
      </c>
      <c r="GL21">
        <v>8.8439271116118268E-2</v>
      </c>
      <c r="GM21">
        <v>1</v>
      </c>
      <c r="GN21">
        <v>3</v>
      </c>
      <c r="GO21">
        <v>3</v>
      </c>
      <c r="GP21" t="s">
        <v>599</v>
      </c>
      <c r="GQ21">
        <v>3.13198</v>
      </c>
      <c r="GR21">
        <v>2.7246700000000001</v>
      </c>
      <c r="GS21">
        <v>9.1144799999999998E-2</v>
      </c>
      <c r="GT21">
        <v>0.101845</v>
      </c>
      <c r="GU21">
        <v>0.147423</v>
      </c>
      <c r="GV21">
        <v>0.128862</v>
      </c>
      <c r="GW21">
        <v>22749.7</v>
      </c>
      <c r="GX21">
        <v>30271.200000000001</v>
      </c>
      <c r="GY21">
        <v>27156.3</v>
      </c>
      <c r="GZ21">
        <v>34663.9</v>
      </c>
      <c r="HA21">
        <v>33913.599999999999</v>
      </c>
      <c r="HB21">
        <v>38580.699999999997</v>
      </c>
      <c r="HC21">
        <v>40100.699999999997</v>
      </c>
      <c r="HD21">
        <v>44366.2</v>
      </c>
      <c r="HE21">
        <v>1.9605999999999999</v>
      </c>
      <c r="HF21">
        <v>1.7427999999999999</v>
      </c>
      <c r="HG21">
        <v>3.7968200000000001E-2</v>
      </c>
      <c r="HH21">
        <v>0</v>
      </c>
      <c r="HI21">
        <v>32.8765</v>
      </c>
      <c r="HJ21">
        <v>999.9</v>
      </c>
      <c r="HK21">
        <v>55.6</v>
      </c>
      <c r="HL21">
        <v>40.6</v>
      </c>
      <c r="HM21">
        <v>43.531999999999996</v>
      </c>
      <c r="HN21">
        <v>59.507300000000001</v>
      </c>
      <c r="HO21">
        <v>7.6041600000000003</v>
      </c>
      <c r="HP21">
        <v>1</v>
      </c>
      <c r="HQ21">
        <v>0.60934999999999995</v>
      </c>
      <c r="HR21">
        <v>0</v>
      </c>
      <c r="HS21">
        <v>20.285799999999998</v>
      </c>
      <c r="HT21">
        <v>5.2100999999999997</v>
      </c>
      <c r="HU21">
        <v>11.908099999999999</v>
      </c>
      <c r="HV21">
        <v>4.984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1.8631</v>
      </c>
      <c r="ID21">
        <v>1.8625799999999999</v>
      </c>
      <c r="IE21">
        <v>1.86215</v>
      </c>
      <c r="IF21">
        <v>1.86209</v>
      </c>
      <c r="IG21">
        <v>1.86276</v>
      </c>
      <c r="IH21">
        <v>1.8636200000000001</v>
      </c>
      <c r="II21">
        <v>1.8615999999999999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-4.5839999999999996</v>
      </c>
      <c r="IX21">
        <v>0.48170000000000002</v>
      </c>
      <c r="IY21">
        <v>-2.6489313670192209</v>
      </c>
      <c r="IZ21">
        <v>-5.1825110452525594E-3</v>
      </c>
      <c r="JA21">
        <v>1.5265819664382561E-6</v>
      </c>
      <c r="JB21">
        <v>-1.241475652429701E-10</v>
      </c>
      <c r="JC21">
        <v>-0.26133298386401821</v>
      </c>
      <c r="JD21">
        <v>2.7492919904454862E-4</v>
      </c>
      <c r="JE21">
        <v>8.6739513355948885E-4</v>
      </c>
      <c r="JF21">
        <v>-8.2500691715147318E-6</v>
      </c>
      <c r="JG21">
        <v>21</v>
      </c>
      <c r="JH21">
        <v>1720</v>
      </c>
      <c r="JI21">
        <v>2</v>
      </c>
      <c r="JJ21">
        <v>37</v>
      </c>
      <c r="JK21">
        <v>1</v>
      </c>
      <c r="JL21">
        <v>0.9</v>
      </c>
      <c r="JM21">
        <v>1.2353499999999999</v>
      </c>
      <c r="JN21">
        <v>2.5512700000000001</v>
      </c>
      <c r="JO21">
        <v>1.50024</v>
      </c>
      <c r="JP21">
        <v>2.2705099999999998</v>
      </c>
      <c r="JQ21">
        <v>1.4477500000000001</v>
      </c>
      <c r="JR21">
        <v>2.33643</v>
      </c>
      <c r="JS21">
        <v>44.112400000000001</v>
      </c>
      <c r="JT21">
        <v>15.0426</v>
      </c>
      <c r="JU21">
        <v>18</v>
      </c>
      <c r="JV21">
        <v>547.774</v>
      </c>
      <c r="JW21">
        <v>419.47899999999998</v>
      </c>
      <c r="JX21">
        <v>34.017899999999997</v>
      </c>
      <c r="JY21">
        <v>34.795900000000003</v>
      </c>
      <c r="JZ21">
        <v>29.999400000000001</v>
      </c>
      <c r="KA21">
        <v>34.7806</v>
      </c>
      <c r="KB21">
        <v>34.734699999999997</v>
      </c>
      <c r="KC21">
        <v>24.709700000000002</v>
      </c>
      <c r="KD21">
        <v>40.827399999999997</v>
      </c>
      <c r="KE21">
        <v>0</v>
      </c>
      <c r="KF21">
        <v>-999.9</v>
      </c>
      <c r="KG21">
        <v>487.63600000000002</v>
      </c>
      <c r="KH21">
        <v>29.348400000000002</v>
      </c>
      <c r="KI21">
        <v>100.223</v>
      </c>
      <c r="KJ21">
        <v>99.436700000000002</v>
      </c>
    </row>
    <row r="22" spans="1:296" x14ac:dyDescent="0.3">
      <c r="A22">
        <v>6</v>
      </c>
      <c r="B22">
        <v>1782923626</v>
      </c>
      <c r="C22">
        <v>849.40000009536743</v>
      </c>
      <c r="D22" t="s">
        <v>682</v>
      </c>
      <c r="E22" t="s">
        <v>683</v>
      </c>
      <c r="F22">
        <v>15</v>
      </c>
      <c r="H22">
        <v>1782923618</v>
      </c>
      <c r="I22">
        <f t="shared" si="0"/>
        <v>5.7382013376718688E-3</v>
      </c>
      <c r="J22">
        <f t="shared" si="1"/>
        <v>5.7382013376718692</v>
      </c>
      <c r="K22">
        <f t="shared" si="2"/>
        <v>50.76930036928389</v>
      </c>
      <c r="L22">
        <f t="shared" si="3"/>
        <v>419.81038709677421</v>
      </c>
      <c r="M22">
        <f t="shared" si="4"/>
        <v>162.69088823837541</v>
      </c>
      <c r="N22">
        <f t="shared" si="5"/>
        <v>15.912165368197471</v>
      </c>
      <c r="O22">
        <f t="shared" si="6"/>
        <v>41.060027240020744</v>
      </c>
      <c r="P22">
        <f t="shared" si="7"/>
        <v>0.34477417775142205</v>
      </c>
      <c r="Q22">
        <f t="shared" si="8"/>
        <v>2.8885550017378328</v>
      </c>
      <c r="R22">
        <f t="shared" si="9"/>
        <v>0.3234351111166564</v>
      </c>
      <c r="S22">
        <f t="shared" si="10"/>
        <v>0.20395401904865212</v>
      </c>
      <c r="T22">
        <f t="shared" si="11"/>
        <v>160.17498355907898</v>
      </c>
      <c r="U22">
        <f t="shared" si="12"/>
        <v>33.624553858525346</v>
      </c>
      <c r="V22">
        <f t="shared" si="13"/>
        <v>33.439593548387101</v>
      </c>
      <c r="W22">
        <f t="shared" si="14"/>
        <v>5.1782427217406255</v>
      </c>
      <c r="X22">
        <f t="shared" si="15"/>
        <v>65.238151898787905</v>
      </c>
      <c r="Y22">
        <f t="shared" si="16"/>
        <v>3.5201834725874224</v>
      </c>
      <c r="Z22">
        <f t="shared" si="17"/>
        <v>5.3958969868562834</v>
      </c>
      <c r="AA22">
        <f t="shared" si="18"/>
        <v>1.6580592491532031</v>
      </c>
      <c r="AB22">
        <f t="shared" si="19"/>
        <v>-253.05467899132941</v>
      </c>
      <c r="AC22">
        <f t="shared" si="20"/>
        <v>114.78694461369354</v>
      </c>
      <c r="AD22">
        <f t="shared" si="21"/>
        <v>9.1732734024751341</v>
      </c>
      <c r="AE22">
        <f t="shared" si="22"/>
        <v>31.080522583918238</v>
      </c>
      <c r="AF22">
        <f t="shared" si="23"/>
        <v>50.76930036928389</v>
      </c>
      <c r="AG22">
        <f t="shared" si="24"/>
        <v>5.7382013376718692</v>
      </c>
      <c r="AH22">
        <f t="shared" si="25"/>
        <v>51.133664063936436</v>
      </c>
      <c r="AI22">
        <v>498.53093872397181</v>
      </c>
      <c r="AJ22">
        <v>435.30876969696959</v>
      </c>
      <c r="AK22">
        <v>1.5123365662935949E-3</v>
      </c>
      <c r="AL22">
        <v>67.034810218779526</v>
      </c>
      <c r="AM22">
        <f t="shared" si="26"/>
        <v>5.7286388204530496</v>
      </c>
      <c r="AN22">
        <v>29.284948283563669</v>
      </c>
      <c r="AO22">
        <v>35.951262424242408</v>
      </c>
      <c r="AP22">
        <v>-6.5720690595881658E-3</v>
      </c>
      <c r="AQ22">
        <v>78.065521010073468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50446.040876072489</v>
      </c>
      <c r="AW22" t="s">
        <v>663</v>
      </c>
      <c r="AX22">
        <v>5099.1499999999996</v>
      </c>
      <c r="AY22">
        <v>561.92941176470595</v>
      </c>
      <c r="AZ22">
        <v>2562.2800000000002</v>
      </c>
      <c r="BA22">
        <f t="shared" si="30"/>
        <v>0.78069164503305422</v>
      </c>
      <c r="BB22">
        <v>-5.1695636961489324</v>
      </c>
      <c r="BC22" t="s">
        <v>684</v>
      </c>
      <c r="BD22">
        <v>5102.93</v>
      </c>
      <c r="BE22">
        <v>796.84876470588233</v>
      </c>
      <c r="BF22">
        <v>1396.88</v>
      </c>
      <c r="BG22">
        <f t="shared" si="31"/>
        <v>0.4295510246364167</v>
      </c>
      <c r="BH22">
        <v>0.5</v>
      </c>
      <c r="BI22">
        <f t="shared" si="32"/>
        <v>840.29259337341534</v>
      </c>
      <c r="BJ22">
        <f t="shared" si="33"/>
        <v>50.76930036928389</v>
      </c>
      <c r="BK22">
        <f t="shared" si="34"/>
        <v>180.4742722389712</v>
      </c>
      <c r="BL22">
        <f t="shared" si="35"/>
        <v>6.6570697524373279E-2</v>
      </c>
      <c r="BM22">
        <f t="shared" si="36"/>
        <v>0.83428784147528778</v>
      </c>
      <c r="BN22">
        <f t="shared" si="37"/>
        <v>475.01726344651161</v>
      </c>
      <c r="BO22" t="s">
        <v>407</v>
      </c>
      <c r="BP22">
        <v>0</v>
      </c>
      <c r="BQ22">
        <f t="shared" si="38"/>
        <v>475.01726344651161</v>
      </c>
      <c r="BR22">
        <f t="shared" si="39"/>
        <v>0.65994411585353674</v>
      </c>
      <c r="BS22">
        <f t="shared" si="40"/>
        <v>0.65088999858852914</v>
      </c>
      <c r="BT22">
        <f t="shared" si="41"/>
        <v>0.55833890941986608</v>
      </c>
      <c r="BU22">
        <f t="shared" si="42"/>
        <v>0.71864280802809055</v>
      </c>
      <c r="BV22">
        <f t="shared" si="43"/>
        <v>0.58259787401973062</v>
      </c>
      <c r="BW22">
        <f t="shared" si="44"/>
        <v>0.38800836448350029</v>
      </c>
      <c r="BX22">
        <f t="shared" si="45"/>
        <v>0.61199163551649971</v>
      </c>
      <c r="DG22">
        <f t="shared" si="46"/>
        <v>999.99296774193544</v>
      </c>
      <c r="DH22">
        <f t="shared" si="47"/>
        <v>840.29259337341534</v>
      </c>
      <c r="DI22">
        <f t="shared" si="48"/>
        <v>0.84029850256933669</v>
      </c>
      <c r="DJ22">
        <f t="shared" si="49"/>
        <v>0.16017610995881998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1782923618</v>
      </c>
      <c r="DQ22">
        <v>419.81038709677421</v>
      </c>
      <c r="DR22">
        <v>483.62267741935477</v>
      </c>
      <c r="DS22">
        <v>35.99144193548387</v>
      </c>
      <c r="DT22">
        <v>29.3536</v>
      </c>
      <c r="DU22">
        <v>424.36038709677422</v>
      </c>
      <c r="DV22">
        <v>35.511312903225807</v>
      </c>
      <c r="DW22">
        <v>500.01267741935482</v>
      </c>
      <c r="DX22">
        <v>97.758661290322564</v>
      </c>
      <c r="DY22">
        <v>4.7463812903225822E-2</v>
      </c>
      <c r="DZ22">
        <v>34.176693548387092</v>
      </c>
      <c r="EA22">
        <v>33.439593548387101</v>
      </c>
      <c r="EB22">
        <v>999.90000000000032</v>
      </c>
      <c r="EC22">
        <v>0</v>
      </c>
      <c r="ED22">
        <v>0</v>
      </c>
      <c r="EE22">
        <v>9992.0967741935492</v>
      </c>
      <c r="EF22">
        <v>0</v>
      </c>
      <c r="EG22">
        <v>740.60709677419356</v>
      </c>
      <c r="EH22">
        <v>-63.812306451612898</v>
      </c>
      <c r="EI22">
        <v>435.48403225806447</v>
      </c>
      <c r="EJ22">
        <v>498.2479677419355</v>
      </c>
      <c r="EK22">
        <v>6.637843548387095</v>
      </c>
      <c r="EL22">
        <v>483.62267741935477</v>
      </c>
      <c r="EM22">
        <v>29.3536</v>
      </c>
      <c r="EN22">
        <v>3.5184761290322579</v>
      </c>
      <c r="EO22">
        <v>2.8695687096774201</v>
      </c>
      <c r="EP22">
        <v>26.70916129032258</v>
      </c>
      <c r="EQ22">
        <v>23.28982580645161</v>
      </c>
      <c r="ER22">
        <v>999.99296774193544</v>
      </c>
      <c r="ES22">
        <v>0.98999706451612912</v>
      </c>
      <c r="ET22">
        <v>1.0002535483870969E-2</v>
      </c>
      <c r="EU22">
        <v>0</v>
      </c>
      <c r="EV22">
        <v>797.00345161290329</v>
      </c>
      <c r="EW22">
        <v>5.0010700000000003</v>
      </c>
      <c r="EX22">
        <v>11975.77419354839</v>
      </c>
      <c r="EY22">
        <v>9080.2029032258051</v>
      </c>
      <c r="EZ22">
        <v>40.80599999999999</v>
      </c>
      <c r="FA22">
        <v>43.057999999999979</v>
      </c>
      <c r="FB22">
        <v>42.125</v>
      </c>
      <c r="FC22">
        <v>42.686999999999969</v>
      </c>
      <c r="FD22">
        <v>42.951225806451603</v>
      </c>
      <c r="FE22">
        <v>985.04032258064512</v>
      </c>
      <c r="FF22">
        <v>9.9499999999999975</v>
      </c>
      <c r="FG22">
        <v>0</v>
      </c>
      <c r="FH22">
        <v>143.4000000953674</v>
      </c>
      <c r="FI22">
        <v>0</v>
      </c>
      <c r="FJ22">
        <v>796.84876470588233</v>
      </c>
      <c r="FK22">
        <v>-0.56887253279862238</v>
      </c>
      <c r="FL22">
        <v>344.09313744732168</v>
      </c>
      <c r="FM22">
        <v>11983.482352941181</v>
      </c>
      <c r="FN22">
        <v>10</v>
      </c>
      <c r="FO22">
        <v>1782923583.5</v>
      </c>
      <c r="FP22" t="s">
        <v>685</v>
      </c>
      <c r="FQ22">
        <v>1782923581</v>
      </c>
      <c r="FR22">
        <v>1782923583.5</v>
      </c>
      <c r="FS22">
        <v>22</v>
      </c>
      <c r="FT22">
        <v>3.3000000000000002E-2</v>
      </c>
      <c r="FU22">
        <v>7.0000000000000001E-3</v>
      </c>
      <c r="FV22">
        <v>-4.8010000000000002</v>
      </c>
      <c r="FW22">
        <v>0.28199999999999997</v>
      </c>
      <c r="FX22">
        <v>485</v>
      </c>
      <c r="FY22">
        <v>29</v>
      </c>
      <c r="FZ22">
        <v>0.13</v>
      </c>
      <c r="GA22">
        <v>0.06</v>
      </c>
      <c r="GB22">
        <v>-63.930446341463409</v>
      </c>
      <c r="GC22">
        <v>0.40428292682912698</v>
      </c>
      <c r="GD22">
        <v>0.50257501519797987</v>
      </c>
      <c r="GE22">
        <v>1</v>
      </c>
      <c r="GF22">
        <v>797.01411764705881</v>
      </c>
      <c r="GG22">
        <v>-1.332223065366827</v>
      </c>
      <c r="GH22">
        <v>0.29935418376170991</v>
      </c>
      <c r="GI22">
        <v>1</v>
      </c>
      <c r="GJ22">
        <v>6.6346002439024394</v>
      </c>
      <c r="GK22">
        <v>0.16474515679444129</v>
      </c>
      <c r="GL22">
        <v>3.042522593361046E-2</v>
      </c>
      <c r="GM22">
        <v>1</v>
      </c>
      <c r="GN22">
        <v>3</v>
      </c>
      <c r="GO22">
        <v>3</v>
      </c>
      <c r="GP22" t="s">
        <v>599</v>
      </c>
      <c r="GQ22">
        <v>3.1328100000000001</v>
      </c>
      <c r="GR22">
        <v>2.7208600000000001</v>
      </c>
      <c r="GS22">
        <v>9.1137800000000005E-2</v>
      </c>
      <c r="GT22">
        <v>0.101327</v>
      </c>
      <c r="GU22">
        <v>0.14655199999999999</v>
      </c>
      <c r="GV22">
        <v>0.128636</v>
      </c>
      <c r="GW22">
        <v>22757.200000000001</v>
      </c>
      <c r="GX22">
        <v>30299</v>
      </c>
      <c r="GY22">
        <v>27164.1</v>
      </c>
      <c r="GZ22">
        <v>34674.300000000003</v>
      </c>
      <c r="HA22">
        <v>33955.800000000003</v>
      </c>
      <c r="HB22">
        <v>38600.199999999997</v>
      </c>
      <c r="HC22">
        <v>40111.599999999999</v>
      </c>
      <c r="HD22">
        <v>44377.9</v>
      </c>
      <c r="HE22">
        <v>1.9608000000000001</v>
      </c>
      <c r="HF22">
        <v>1.7462</v>
      </c>
      <c r="HG22">
        <v>4.3839200000000002E-2</v>
      </c>
      <c r="HH22">
        <v>0</v>
      </c>
      <c r="HI22">
        <v>32.742100000000001</v>
      </c>
      <c r="HJ22">
        <v>999.9</v>
      </c>
      <c r="HK22">
        <v>55.5</v>
      </c>
      <c r="HL22">
        <v>40.6</v>
      </c>
      <c r="HM22">
        <v>43.461300000000001</v>
      </c>
      <c r="HN22">
        <v>59.897300000000001</v>
      </c>
      <c r="HO22">
        <v>7.3718000000000004</v>
      </c>
      <c r="HP22">
        <v>1</v>
      </c>
      <c r="HQ22">
        <v>0.59146299999999996</v>
      </c>
      <c r="HR22">
        <v>0</v>
      </c>
      <c r="HS22">
        <v>20.2866</v>
      </c>
      <c r="HT22">
        <v>5.2100999999999997</v>
      </c>
      <c r="HU22">
        <v>11.908099999999999</v>
      </c>
      <c r="HV22">
        <v>4.984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1.8631</v>
      </c>
      <c r="ID22">
        <v>1.86252</v>
      </c>
      <c r="IE22">
        <v>1.86206</v>
      </c>
      <c r="IF22">
        <v>1.8620300000000001</v>
      </c>
      <c r="IG22">
        <v>1.8626400000000001</v>
      </c>
      <c r="IH22">
        <v>1.8635600000000001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-4.55</v>
      </c>
      <c r="IX22">
        <v>0.47910000000000003</v>
      </c>
      <c r="IY22">
        <v>-2.6163146477586521</v>
      </c>
      <c r="IZ22">
        <v>-5.1825110452525594E-3</v>
      </c>
      <c r="JA22">
        <v>1.5265819664382561E-6</v>
      </c>
      <c r="JB22">
        <v>-1.241475652429701E-10</v>
      </c>
      <c r="JC22">
        <v>-0.25400111900772282</v>
      </c>
      <c r="JD22">
        <v>2.7492919904454862E-4</v>
      </c>
      <c r="JE22">
        <v>8.6739513355948885E-4</v>
      </c>
      <c r="JF22">
        <v>-8.2500691715147318E-6</v>
      </c>
      <c r="JG22">
        <v>21</v>
      </c>
      <c r="JH22">
        <v>1720</v>
      </c>
      <c r="JI22">
        <v>2</v>
      </c>
      <c r="JJ22">
        <v>37</v>
      </c>
      <c r="JK22">
        <v>0.8</v>
      </c>
      <c r="JL22">
        <v>0.7</v>
      </c>
      <c r="JM22">
        <v>1.22803</v>
      </c>
      <c r="JN22">
        <v>2.5488300000000002</v>
      </c>
      <c r="JO22">
        <v>1.50024</v>
      </c>
      <c r="JP22">
        <v>2.2705099999999998</v>
      </c>
      <c r="JQ22">
        <v>1.4477500000000001</v>
      </c>
      <c r="JR22">
        <v>2.4584999999999999</v>
      </c>
      <c r="JS22">
        <v>43.726900000000001</v>
      </c>
      <c r="JT22">
        <v>15.0251</v>
      </c>
      <c r="JU22">
        <v>18</v>
      </c>
      <c r="JV22">
        <v>546.51800000000003</v>
      </c>
      <c r="JW22">
        <v>420.50200000000001</v>
      </c>
      <c r="JX22">
        <v>33.817900000000002</v>
      </c>
      <c r="JY22">
        <v>34.595700000000001</v>
      </c>
      <c r="JZ22">
        <v>29.9999</v>
      </c>
      <c r="KA22">
        <v>34.610799999999998</v>
      </c>
      <c r="KB22">
        <v>34.572000000000003</v>
      </c>
      <c r="KC22">
        <v>24.573</v>
      </c>
      <c r="KD22">
        <v>40.800400000000003</v>
      </c>
      <c r="KE22">
        <v>0</v>
      </c>
      <c r="KF22">
        <v>-999.9</v>
      </c>
      <c r="KG22">
        <v>484.00299999999999</v>
      </c>
      <c r="KH22">
        <v>29.226099999999999</v>
      </c>
      <c r="KI22">
        <v>100.251</v>
      </c>
      <c r="KJ22">
        <v>99.464500000000001</v>
      </c>
    </row>
    <row r="23" spans="1:296" x14ac:dyDescent="0.3">
      <c r="A23">
        <v>7</v>
      </c>
      <c r="B23">
        <v>1782923782</v>
      </c>
      <c r="C23">
        <v>1005.400000095367</v>
      </c>
      <c r="D23" t="s">
        <v>686</v>
      </c>
      <c r="E23" t="s">
        <v>687</v>
      </c>
      <c r="F23">
        <v>15</v>
      </c>
      <c r="H23">
        <v>1782923774.25</v>
      </c>
      <c r="I23">
        <f t="shared" si="0"/>
        <v>5.4057952900290864E-3</v>
      </c>
      <c r="J23">
        <f t="shared" si="1"/>
        <v>5.4057952900290864</v>
      </c>
      <c r="K23">
        <f t="shared" si="2"/>
        <v>43.089991489537134</v>
      </c>
      <c r="L23">
        <f t="shared" si="3"/>
        <v>419.96556666666658</v>
      </c>
      <c r="M23">
        <f t="shared" si="4"/>
        <v>186.7918923462579</v>
      </c>
      <c r="N23">
        <f t="shared" si="5"/>
        <v>18.268512766742251</v>
      </c>
      <c r="O23">
        <f t="shared" si="6"/>
        <v>41.07322978462156</v>
      </c>
      <c r="P23">
        <f t="shared" si="7"/>
        <v>0.32319386887235996</v>
      </c>
      <c r="Q23">
        <f t="shared" si="8"/>
        <v>2.8895448196600202</v>
      </c>
      <c r="R23">
        <f t="shared" si="9"/>
        <v>0.30437030337697757</v>
      </c>
      <c r="S23">
        <f t="shared" si="10"/>
        <v>0.19183123878355918</v>
      </c>
      <c r="T23">
        <f t="shared" si="11"/>
        <v>128.27709959912508</v>
      </c>
      <c r="U23">
        <f t="shared" si="12"/>
        <v>33.451358671932915</v>
      </c>
      <c r="V23">
        <f t="shared" si="13"/>
        <v>33.392110000000002</v>
      </c>
      <c r="W23">
        <f t="shared" si="14"/>
        <v>5.1644872549416263</v>
      </c>
      <c r="X23">
        <f t="shared" si="15"/>
        <v>65.203803966143255</v>
      </c>
      <c r="Y23">
        <f t="shared" si="16"/>
        <v>3.5044593624787841</v>
      </c>
      <c r="Z23">
        <f t="shared" si="17"/>
        <v>5.3746241006099238</v>
      </c>
      <c r="AA23">
        <f t="shared" si="18"/>
        <v>1.6600278924628422</v>
      </c>
      <c r="AB23">
        <f t="shared" si="19"/>
        <v>-238.3955722902827</v>
      </c>
      <c r="AC23">
        <f t="shared" si="20"/>
        <v>111.17996130367081</v>
      </c>
      <c r="AD23">
        <f t="shared" si="21"/>
        <v>8.8768352911622639</v>
      </c>
      <c r="AE23">
        <f t="shared" si="22"/>
        <v>9.9383239036754389</v>
      </c>
      <c r="AF23">
        <f t="shared" si="23"/>
        <v>43.089991489537134</v>
      </c>
      <c r="AG23">
        <f t="shared" si="24"/>
        <v>5.4057952900290864</v>
      </c>
      <c r="AH23">
        <f t="shared" si="25"/>
        <v>43.257085063732596</v>
      </c>
      <c r="AI23">
        <v>489.23581117388898</v>
      </c>
      <c r="AJ23">
        <v>435.51085454545421</v>
      </c>
      <c r="AK23">
        <v>4.561753221130832E-2</v>
      </c>
      <c r="AL23">
        <v>67.034875117625973</v>
      </c>
      <c r="AM23">
        <f t="shared" si="26"/>
        <v>5.4102166856567928</v>
      </c>
      <c r="AN23">
        <v>29.528369269192599</v>
      </c>
      <c r="AO23">
        <v>35.798324848484832</v>
      </c>
      <c r="AP23">
        <v>-1.6863297880980021E-3</v>
      </c>
      <c r="AQ23">
        <v>78.06594673627842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50485.134581658735</v>
      </c>
      <c r="AW23" t="s">
        <v>663</v>
      </c>
      <c r="AX23">
        <v>5099.1499999999996</v>
      </c>
      <c r="AY23">
        <v>561.92941176470595</v>
      </c>
      <c r="AZ23">
        <v>2562.2800000000002</v>
      </c>
      <c r="BA23">
        <f t="shared" si="30"/>
        <v>0.78069164503305422</v>
      </c>
      <c r="BB23">
        <v>-5.1695636961489324</v>
      </c>
      <c r="BC23" t="s">
        <v>688</v>
      </c>
      <c r="BD23">
        <v>5105.08</v>
      </c>
      <c r="BE23">
        <v>788.11452941176469</v>
      </c>
      <c r="BF23">
        <v>1517.34</v>
      </c>
      <c r="BG23">
        <f t="shared" si="31"/>
        <v>0.48059463969066607</v>
      </c>
      <c r="BH23">
        <v>0.5</v>
      </c>
      <c r="BI23">
        <f t="shared" si="32"/>
        <v>672.3100848492877</v>
      </c>
      <c r="BJ23">
        <f t="shared" si="33"/>
        <v>43.089991489537134</v>
      </c>
      <c r="BK23">
        <f t="shared" si="34"/>
        <v>161.55431149427227</v>
      </c>
      <c r="BL23">
        <f t="shared" si="35"/>
        <v>7.1781691623002283E-2</v>
      </c>
      <c r="BM23">
        <f t="shared" si="36"/>
        <v>0.68866569127552191</v>
      </c>
      <c r="BN23">
        <f t="shared" si="37"/>
        <v>488.19695705390961</v>
      </c>
      <c r="BO23" t="s">
        <v>407</v>
      </c>
      <c r="BP23">
        <v>0</v>
      </c>
      <c r="BQ23">
        <f t="shared" si="38"/>
        <v>488.19695705390961</v>
      </c>
      <c r="BR23">
        <f t="shared" si="39"/>
        <v>0.67825473720200513</v>
      </c>
      <c r="BS23">
        <f t="shared" si="40"/>
        <v>0.70857542650311089</v>
      </c>
      <c r="BT23">
        <f t="shared" si="41"/>
        <v>0.50380817853644644</v>
      </c>
      <c r="BU23">
        <f t="shared" si="42"/>
        <v>0.76325872830775565</v>
      </c>
      <c r="BV23">
        <f t="shared" si="43"/>
        <v>0.52237843013401186</v>
      </c>
      <c r="BW23">
        <f t="shared" si="44"/>
        <v>0.43892651911922875</v>
      </c>
      <c r="BX23">
        <f t="shared" si="45"/>
        <v>0.56107348088077125</v>
      </c>
      <c r="DG23">
        <f t="shared" si="46"/>
        <v>800.00093333333348</v>
      </c>
      <c r="DH23">
        <f t="shared" si="47"/>
        <v>672.3100848492877</v>
      </c>
      <c r="DI23">
        <f t="shared" si="48"/>
        <v>0.84038662561054633</v>
      </c>
      <c r="DJ23">
        <f t="shared" si="49"/>
        <v>0.16034618742835433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1782923774.25</v>
      </c>
      <c r="DQ23">
        <v>419.96556666666658</v>
      </c>
      <c r="DR23">
        <v>474.39813333333331</v>
      </c>
      <c r="DS23">
        <v>35.832396666666668</v>
      </c>
      <c r="DT23">
        <v>29.57785333333333</v>
      </c>
      <c r="DU23">
        <v>424.46763333333331</v>
      </c>
      <c r="DV23">
        <v>35.349336666666673</v>
      </c>
      <c r="DW23">
        <v>499.99743333333328</v>
      </c>
      <c r="DX23">
        <v>97.75488</v>
      </c>
      <c r="DY23">
        <v>4.6542413333333331E-2</v>
      </c>
      <c r="DZ23">
        <v>34.105803333333327</v>
      </c>
      <c r="EA23">
        <v>33.392110000000002</v>
      </c>
      <c r="EB23">
        <v>999.9000000000002</v>
      </c>
      <c r="EC23">
        <v>0</v>
      </c>
      <c r="ED23">
        <v>0</v>
      </c>
      <c r="EE23">
        <v>9998.1666666666661</v>
      </c>
      <c r="EF23">
        <v>0</v>
      </c>
      <c r="EG23">
        <v>669.74323333333325</v>
      </c>
      <c r="EH23">
        <v>-54.432596666666669</v>
      </c>
      <c r="EI23">
        <v>435.57313333333332</v>
      </c>
      <c r="EJ23">
        <v>488.8574666666666</v>
      </c>
      <c r="EK23">
        <v>6.2545419999999998</v>
      </c>
      <c r="EL23">
        <v>474.39813333333331</v>
      </c>
      <c r="EM23">
        <v>29.57785333333333</v>
      </c>
      <c r="EN23">
        <v>3.5027910000000002</v>
      </c>
      <c r="EO23">
        <v>2.8913786666666659</v>
      </c>
      <c r="EP23">
        <v>26.633273333333332</v>
      </c>
      <c r="EQ23">
        <v>23.415246666666679</v>
      </c>
      <c r="ER23">
        <v>800.00093333333348</v>
      </c>
      <c r="ES23">
        <v>0.98703016666666654</v>
      </c>
      <c r="ET23">
        <v>1.2969886666666659E-2</v>
      </c>
      <c r="EU23">
        <v>0</v>
      </c>
      <c r="EV23">
        <v>788.24</v>
      </c>
      <c r="EW23">
        <v>5.0010700000000003</v>
      </c>
      <c r="EX23">
        <v>10044.02333333334</v>
      </c>
      <c r="EY23">
        <v>7246.7143333333343</v>
      </c>
      <c r="EZ23">
        <v>40.370800000000003</v>
      </c>
      <c r="FA23">
        <v>42.811999999999983</v>
      </c>
      <c r="FB23">
        <v>41.764466666666657</v>
      </c>
      <c r="FC23">
        <v>42.555799999999991</v>
      </c>
      <c r="FD23">
        <v>42.682866666666641</v>
      </c>
      <c r="FE23">
        <v>784.6876666666667</v>
      </c>
      <c r="FF23">
        <v>10.31</v>
      </c>
      <c r="FG23">
        <v>0</v>
      </c>
      <c r="FH23">
        <v>155.20000004768369</v>
      </c>
      <c r="FI23">
        <v>0</v>
      </c>
      <c r="FJ23">
        <v>788.11452941176469</v>
      </c>
      <c r="FK23">
        <v>-2.4941176170665709</v>
      </c>
      <c r="FL23">
        <v>81.789214451636795</v>
      </c>
      <c r="FM23">
        <v>10044.53529411765</v>
      </c>
      <c r="FN23">
        <v>10</v>
      </c>
      <c r="FO23">
        <v>1782923740</v>
      </c>
      <c r="FP23" t="s">
        <v>689</v>
      </c>
      <c r="FQ23">
        <v>1782923728.5</v>
      </c>
      <c r="FR23">
        <v>1782923740</v>
      </c>
      <c r="FS23">
        <v>23</v>
      </c>
      <c r="FT23">
        <v>4.8000000000000001E-2</v>
      </c>
      <c r="FU23">
        <v>8.0000000000000002E-3</v>
      </c>
      <c r="FV23">
        <v>-4.7190000000000003</v>
      </c>
      <c r="FW23">
        <v>0.28999999999999998</v>
      </c>
      <c r="FX23">
        <v>476</v>
      </c>
      <c r="FY23">
        <v>29</v>
      </c>
      <c r="FZ23">
        <v>0.15</v>
      </c>
      <c r="GA23">
        <v>0.06</v>
      </c>
      <c r="GB23">
        <v>-54.582753658536582</v>
      </c>
      <c r="GC23">
        <v>0.78225993031350216</v>
      </c>
      <c r="GD23">
        <v>0.51547452781692171</v>
      </c>
      <c r="GE23">
        <v>1</v>
      </c>
      <c r="GF23">
        <v>788.31117647058818</v>
      </c>
      <c r="GG23">
        <v>-1.786065699386614</v>
      </c>
      <c r="GH23">
        <v>0.28144004382797938</v>
      </c>
      <c r="GI23">
        <v>1</v>
      </c>
      <c r="GJ23">
        <v>6.2400607317073167</v>
      </c>
      <c r="GK23">
        <v>0.31714055749128522</v>
      </c>
      <c r="GL23">
        <v>3.4495483153612908E-2</v>
      </c>
      <c r="GM23">
        <v>1</v>
      </c>
      <c r="GN23">
        <v>3</v>
      </c>
      <c r="GO23">
        <v>3</v>
      </c>
      <c r="GP23" t="s">
        <v>599</v>
      </c>
      <c r="GQ23">
        <v>3.1331199999999999</v>
      </c>
      <c r="GR23">
        <v>2.7248100000000002</v>
      </c>
      <c r="GS23">
        <v>9.1178899999999993E-2</v>
      </c>
      <c r="GT23">
        <v>9.9867600000000001E-2</v>
      </c>
      <c r="GU23">
        <v>0.14612900000000001</v>
      </c>
      <c r="GV23">
        <v>0.12942899999999999</v>
      </c>
      <c r="GW23">
        <v>22759.5</v>
      </c>
      <c r="GX23">
        <v>30353.599999999999</v>
      </c>
      <c r="GY23">
        <v>27167.599999999999</v>
      </c>
      <c r="GZ23">
        <v>34679.5</v>
      </c>
      <c r="HA23">
        <v>33976.6</v>
      </c>
      <c r="HB23">
        <v>38570.1</v>
      </c>
      <c r="HC23">
        <v>40117.300000000003</v>
      </c>
      <c r="HD23">
        <v>44384.3</v>
      </c>
      <c r="HE23">
        <v>1.9623999999999999</v>
      </c>
      <c r="HF23">
        <v>1.7478</v>
      </c>
      <c r="HG23">
        <v>3.9428499999999998E-2</v>
      </c>
      <c r="HH23">
        <v>0</v>
      </c>
      <c r="HI23">
        <v>32.753700000000002</v>
      </c>
      <c r="HJ23">
        <v>999.9</v>
      </c>
      <c r="HK23">
        <v>55.5</v>
      </c>
      <c r="HL23">
        <v>40.6</v>
      </c>
      <c r="HM23">
        <v>43.463900000000002</v>
      </c>
      <c r="HN23">
        <v>59.267299999999999</v>
      </c>
      <c r="HO23">
        <v>7.3757999999999999</v>
      </c>
      <c r="HP23">
        <v>1</v>
      </c>
      <c r="HQ23">
        <v>0.58030499999999996</v>
      </c>
      <c r="HR23">
        <v>0</v>
      </c>
      <c r="HS23">
        <v>20.2881</v>
      </c>
      <c r="HT23">
        <v>5.2100999999999997</v>
      </c>
      <c r="HU23">
        <v>11.908099999999999</v>
      </c>
      <c r="HV23">
        <v>4.984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1.8674299999999999</v>
      </c>
      <c r="IC23">
        <v>1.8631</v>
      </c>
      <c r="ID23">
        <v>1.86249</v>
      </c>
      <c r="IE23">
        <v>1.8620300000000001</v>
      </c>
      <c r="IF23">
        <v>1.86206</v>
      </c>
      <c r="IG23">
        <v>1.86267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-4.5019999999999998</v>
      </c>
      <c r="IX23">
        <v>0.48199999999999998</v>
      </c>
      <c r="IY23">
        <v>-2.5677731361822529</v>
      </c>
      <c r="IZ23">
        <v>-5.1825110452525594E-3</v>
      </c>
      <c r="JA23">
        <v>1.5265819664382561E-6</v>
      </c>
      <c r="JB23">
        <v>-1.241475652429701E-10</v>
      </c>
      <c r="JC23">
        <v>-0.24612445195942059</v>
      </c>
      <c r="JD23">
        <v>2.7492919904454862E-4</v>
      </c>
      <c r="JE23">
        <v>8.6739513355948885E-4</v>
      </c>
      <c r="JF23">
        <v>-8.2500691715147318E-6</v>
      </c>
      <c r="JG23">
        <v>21</v>
      </c>
      <c r="JH23">
        <v>1720</v>
      </c>
      <c r="JI23">
        <v>2</v>
      </c>
      <c r="JJ23">
        <v>37</v>
      </c>
      <c r="JK23">
        <v>0.9</v>
      </c>
      <c r="JL23">
        <v>0.7</v>
      </c>
      <c r="JM23">
        <v>1.2097199999999999</v>
      </c>
      <c r="JN23">
        <v>2.5451700000000002</v>
      </c>
      <c r="JO23">
        <v>1.50024</v>
      </c>
      <c r="JP23">
        <v>2.2692899999999998</v>
      </c>
      <c r="JQ23">
        <v>1.4477500000000001</v>
      </c>
      <c r="JR23">
        <v>2.4182100000000002</v>
      </c>
      <c r="JS23">
        <v>43.535400000000003</v>
      </c>
      <c r="JT23">
        <v>14.998900000000001</v>
      </c>
      <c r="JU23">
        <v>18</v>
      </c>
      <c r="JV23">
        <v>546.51700000000005</v>
      </c>
      <c r="JW23">
        <v>420.65100000000001</v>
      </c>
      <c r="JX23">
        <v>33.780500000000004</v>
      </c>
      <c r="JY23">
        <v>34.474600000000002</v>
      </c>
      <c r="JZ23">
        <v>29.9998</v>
      </c>
      <c r="KA23">
        <v>34.479599999999998</v>
      </c>
      <c r="KB23">
        <v>34.444600000000001</v>
      </c>
      <c r="KC23">
        <v>24.202100000000002</v>
      </c>
      <c r="KD23">
        <v>40.309800000000003</v>
      </c>
      <c r="KE23">
        <v>0</v>
      </c>
      <c r="KF23">
        <v>-999.9</v>
      </c>
      <c r="KG23">
        <v>474.61700000000002</v>
      </c>
      <c r="KH23">
        <v>29.467700000000001</v>
      </c>
      <c r="KI23">
        <v>100.265</v>
      </c>
      <c r="KJ23">
        <v>99.479200000000006</v>
      </c>
    </row>
    <row r="24" spans="1:296" x14ac:dyDescent="0.3">
      <c r="A24">
        <v>8</v>
      </c>
      <c r="B24">
        <v>1782923964.5</v>
      </c>
      <c r="C24">
        <v>1187.900000095367</v>
      </c>
      <c r="D24" t="s">
        <v>690</v>
      </c>
      <c r="E24" t="s">
        <v>691</v>
      </c>
      <c r="F24">
        <v>15</v>
      </c>
      <c r="H24">
        <v>1782923956.75</v>
      </c>
      <c r="I24">
        <f t="shared" si="0"/>
        <v>4.9416914534594356E-3</v>
      </c>
      <c r="J24">
        <f t="shared" si="1"/>
        <v>4.9416914534594358</v>
      </c>
      <c r="K24">
        <f t="shared" si="2"/>
        <v>32.78910760116235</v>
      </c>
      <c r="L24">
        <f t="shared" si="3"/>
        <v>420.00790000000001</v>
      </c>
      <c r="M24">
        <f t="shared" si="4"/>
        <v>225.1696938245758</v>
      </c>
      <c r="N24">
        <f t="shared" si="5"/>
        <v>22.023482274797754</v>
      </c>
      <c r="O24">
        <f t="shared" si="6"/>
        <v>41.080290974377327</v>
      </c>
      <c r="P24">
        <f t="shared" si="7"/>
        <v>0.29606136639261738</v>
      </c>
      <c r="Q24">
        <f t="shared" si="8"/>
        <v>2.889946566564721</v>
      </c>
      <c r="R24">
        <f t="shared" si="9"/>
        <v>0.28018438502618515</v>
      </c>
      <c r="S24">
        <f t="shared" si="10"/>
        <v>0.17647073731980645</v>
      </c>
      <c r="T24">
        <f t="shared" si="11"/>
        <v>96.344254528602377</v>
      </c>
      <c r="U24">
        <f t="shared" si="12"/>
        <v>33.174339657581342</v>
      </c>
      <c r="V24">
        <f t="shared" si="13"/>
        <v>33.215243333333333</v>
      </c>
      <c r="W24">
        <f t="shared" si="14"/>
        <v>5.1135302101148525</v>
      </c>
      <c r="X24">
        <f t="shared" si="15"/>
        <v>65.208139856090213</v>
      </c>
      <c r="Y24">
        <f t="shared" si="16"/>
        <v>3.464099171544202</v>
      </c>
      <c r="Z24">
        <f t="shared" si="17"/>
        <v>5.312372319144858</v>
      </c>
      <c r="AA24">
        <f t="shared" si="18"/>
        <v>1.6494310385706505</v>
      </c>
      <c r="AB24">
        <f t="shared" si="19"/>
        <v>-217.92859309756111</v>
      </c>
      <c r="AC24">
        <f t="shared" si="20"/>
        <v>106.21076828051751</v>
      </c>
      <c r="AD24">
        <f t="shared" si="21"/>
        <v>8.4629220514196621</v>
      </c>
      <c r="AE24">
        <f t="shared" si="22"/>
        <v>-6.9106482370215474</v>
      </c>
      <c r="AF24">
        <f t="shared" si="23"/>
        <v>32.78910760116235</v>
      </c>
      <c r="AG24">
        <f t="shared" si="24"/>
        <v>4.9416914534594358</v>
      </c>
      <c r="AH24">
        <f t="shared" si="25"/>
        <v>33.032390537370233</v>
      </c>
      <c r="AI24">
        <v>476.03805564532149</v>
      </c>
      <c r="AJ24">
        <v>435.21419393939402</v>
      </c>
      <c r="AK24">
        <v>-4.587389401758543E-3</v>
      </c>
      <c r="AL24">
        <v>67.035429463389463</v>
      </c>
      <c r="AM24">
        <f t="shared" si="26"/>
        <v>4.9401060229207259</v>
      </c>
      <c r="AN24">
        <v>29.608553031870681</v>
      </c>
      <c r="AO24">
        <v>35.388401212121202</v>
      </c>
      <c r="AP24">
        <v>-1.0397417238980741E-2</v>
      </c>
      <c r="AQ24">
        <v>78.067525793932219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50530.807271610371</v>
      </c>
      <c r="AW24" t="s">
        <v>663</v>
      </c>
      <c r="AX24">
        <v>5099.1499999999996</v>
      </c>
      <c r="AY24">
        <v>561.92941176470595</v>
      </c>
      <c r="AZ24">
        <v>2562.2800000000002</v>
      </c>
      <c r="BA24">
        <f t="shared" si="30"/>
        <v>0.78069164503305422</v>
      </c>
      <c r="BB24">
        <v>-5.1695636961489324</v>
      </c>
      <c r="BC24" t="s">
        <v>692</v>
      </c>
      <c r="BD24">
        <v>5107.05</v>
      </c>
      <c r="BE24">
        <v>769.79411764705878</v>
      </c>
      <c r="BF24">
        <v>1612.76</v>
      </c>
      <c r="BG24">
        <f t="shared" si="31"/>
        <v>0.52268526151004568</v>
      </c>
      <c r="BH24">
        <v>0.5</v>
      </c>
      <c r="BI24">
        <f t="shared" si="32"/>
        <v>504.30017295782505</v>
      </c>
      <c r="BJ24">
        <f t="shared" si="33"/>
        <v>32.78910760116235</v>
      </c>
      <c r="BK24">
        <f t="shared" si="34"/>
        <v>131.79513389101103</v>
      </c>
      <c r="BL24">
        <f t="shared" si="35"/>
        <v>7.5269994603959403E-2</v>
      </c>
      <c r="BM24">
        <f t="shared" si="36"/>
        <v>0.58875468141570986</v>
      </c>
      <c r="BN24">
        <f t="shared" si="37"/>
        <v>497.67075128201321</v>
      </c>
      <c r="BO24" t="s">
        <v>407</v>
      </c>
      <c r="BP24">
        <v>0</v>
      </c>
      <c r="BQ24">
        <f t="shared" si="38"/>
        <v>497.67075128201321</v>
      </c>
      <c r="BR24">
        <f t="shared" si="39"/>
        <v>0.69141673201095433</v>
      </c>
      <c r="BS24">
        <f t="shared" si="40"/>
        <v>0.75596270282589073</v>
      </c>
      <c r="BT24">
        <f t="shared" si="41"/>
        <v>0.45990300614491664</v>
      </c>
      <c r="BU24">
        <f t="shared" si="42"/>
        <v>0.80219008828870397</v>
      </c>
      <c r="BV24">
        <f t="shared" si="43"/>
        <v>0.47467679195058754</v>
      </c>
      <c r="BW24">
        <f t="shared" si="44"/>
        <v>0.48872876218707978</v>
      </c>
      <c r="BX24">
        <f t="shared" si="45"/>
        <v>0.51127123781292028</v>
      </c>
      <c r="DG24">
        <f t="shared" si="46"/>
        <v>599.99663333333342</v>
      </c>
      <c r="DH24">
        <f t="shared" si="47"/>
        <v>504.30017295782505</v>
      </c>
      <c r="DI24">
        <f t="shared" si="48"/>
        <v>0.84050500443001097</v>
      </c>
      <c r="DJ24">
        <f t="shared" si="49"/>
        <v>0.16057465854992137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1782923956.75</v>
      </c>
      <c r="DQ24">
        <v>420.00790000000001</v>
      </c>
      <c r="DR24">
        <v>461.84070000000003</v>
      </c>
      <c r="DS24">
        <v>35.417203333333333</v>
      </c>
      <c r="DT24">
        <v>29.697853333333331</v>
      </c>
      <c r="DU24">
        <v>424.51456666666672</v>
      </c>
      <c r="DV24">
        <v>34.945316666666677</v>
      </c>
      <c r="DW24">
        <v>500.05723333333327</v>
      </c>
      <c r="DX24">
        <v>97.761143333333337</v>
      </c>
      <c r="DY24">
        <v>4.7233543333333343E-2</v>
      </c>
      <c r="DZ24">
        <v>33.896943333333333</v>
      </c>
      <c r="EA24">
        <v>33.215243333333333</v>
      </c>
      <c r="EB24">
        <v>999.9000000000002</v>
      </c>
      <c r="EC24">
        <v>0</v>
      </c>
      <c r="ED24">
        <v>0</v>
      </c>
      <c r="EE24">
        <v>9999.8333333333339</v>
      </c>
      <c r="EF24">
        <v>0</v>
      </c>
      <c r="EG24">
        <v>631.46866666666631</v>
      </c>
      <c r="EH24">
        <v>-41.832903333333327</v>
      </c>
      <c r="EI24">
        <v>435.42939999999999</v>
      </c>
      <c r="EJ24">
        <v>475.97609999999992</v>
      </c>
      <c r="EK24">
        <v>5.719349666666667</v>
      </c>
      <c r="EL24">
        <v>461.84070000000003</v>
      </c>
      <c r="EM24">
        <v>29.697853333333331</v>
      </c>
      <c r="EN24">
        <v>3.462426333333334</v>
      </c>
      <c r="EO24">
        <v>2.903295</v>
      </c>
      <c r="EP24">
        <v>26.43661333333333</v>
      </c>
      <c r="EQ24">
        <v>23.48339666666666</v>
      </c>
      <c r="ER24">
        <v>599.99663333333342</v>
      </c>
      <c r="ES24">
        <v>0.98301986666666674</v>
      </c>
      <c r="ET24">
        <v>1.6980323333333339E-2</v>
      </c>
      <c r="EU24">
        <v>0</v>
      </c>
      <c r="EV24">
        <v>769.87643333333347</v>
      </c>
      <c r="EW24">
        <v>5.0010700000000003</v>
      </c>
      <c r="EX24">
        <v>8228.4749999999985</v>
      </c>
      <c r="EY24">
        <v>5415.1213333333326</v>
      </c>
      <c r="EZ24">
        <v>39.811999999999983</v>
      </c>
      <c r="FA24">
        <v>42.466399999999979</v>
      </c>
      <c r="FB24">
        <v>41.375</v>
      </c>
      <c r="FC24">
        <v>42.266533333333342</v>
      </c>
      <c r="FD24">
        <v>42.203799999999987</v>
      </c>
      <c r="FE24">
        <v>584.89366666666672</v>
      </c>
      <c r="FF24">
        <v>10.1</v>
      </c>
      <c r="FG24">
        <v>0</v>
      </c>
      <c r="FH24">
        <v>182</v>
      </c>
      <c r="FI24">
        <v>0</v>
      </c>
      <c r="FJ24">
        <v>769.79411764705878</v>
      </c>
      <c r="FK24">
        <v>-2.6066176439496851</v>
      </c>
      <c r="FL24">
        <v>1.379902177441281</v>
      </c>
      <c r="FM24">
        <v>8227.8705882352951</v>
      </c>
      <c r="FN24">
        <v>10</v>
      </c>
      <c r="FO24">
        <v>1782923924.5</v>
      </c>
      <c r="FP24" t="s">
        <v>693</v>
      </c>
      <c r="FQ24">
        <v>1782923916</v>
      </c>
      <c r="FR24">
        <v>1782923924.5</v>
      </c>
      <c r="FS24">
        <v>24</v>
      </c>
      <c r="FT24">
        <v>-5.0000000000000001E-3</v>
      </c>
      <c r="FU24">
        <v>1E-3</v>
      </c>
      <c r="FV24">
        <v>-4.673</v>
      </c>
      <c r="FW24">
        <v>0.29399999999999998</v>
      </c>
      <c r="FX24">
        <v>463</v>
      </c>
      <c r="FY24">
        <v>29</v>
      </c>
      <c r="FZ24">
        <v>0.2</v>
      </c>
      <c r="GA24">
        <v>0.06</v>
      </c>
      <c r="GB24">
        <v>-42.1501175</v>
      </c>
      <c r="GC24">
        <v>3.7386810506567532</v>
      </c>
      <c r="GD24">
        <v>0.69251077027274432</v>
      </c>
      <c r="GE24">
        <v>0</v>
      </c>
      <c r="GF24">
        <v>769.92964705882355</v>
      </c>
      <c r="GG24">
        <v>-0.98863254456662419</v>
      </c>
      <c r="GH24">
        <v>0.25248143581762039</v>
      </c>
      <c r="GI24">
        <v>1</v>
      </c>
      <c r="GJ24">
        <v>5.7379410000000002</v>
      </c>
      <c r="GK24">
        <v>0.12129028142589091</v>
      </c>
      <c r="GL24">
        <v>8.3310454470012341E-2</v>
      </c>
      <c r="GM24">
        <v>1</v>
      </c>
      <c r="GN24">
        <v>2</v>
      </c>
      <c r="GO24">
        <v>3</v>
      </c>
      <c r="GP24" t="s">
        <v>598</v>
      </c>
      <c r="GQ24">
        <v>3.1322899999999998</v>
      </c>
      <c r="GR24">
        <v>2.72363</v>
      </c>
      <c r="GS24">
        <v>9.1206300000000004E-2</v>
      </c>
      <c r="GT24">
        <v>9.79656E-2</v>
      </c>
      <c r="GU24">
        <v>0.14505000000000001</v>
      </c>
      <c r="GV24">
        <v>0.12970699999999999</v>
      </c>
      <c r="GW24">
        <v>22763</v>
      </c>
      <c r="GX24">
        <v>30425</v>
      </c>
      <c r="GY24">
        <v>27172.1</v>
      </c>
      <c r="GZ24">
        <v>34687</v>
      </c>
      <c r="HA24">
        <v>34023.599999999999</v>
      </c>
      <c r="HB24">
        <v>38563</v>
      </c>
      <c r="HC24">
        <v>40123.199999999997</v>
      </c>
      <c r="HD24">
        <v>44390.9</v>
      </c>
      <c r="HE24">
        <v>1.9628000000000001</v>
      </c>
      <c r="HF24">
        <v>1.7498</v>
      </c>
      <c r="HG24">
        <v>3.9786099999999998E-2</v>
      </c>
      <c r="HH24">
        <v>0</v>
      </c>
      <c r="HI24">
        <v>32.579500000000003</v>
      </c>
      <c r="HJ24">
        <v>999.9</v>
      </c>
      <c r="HK24">
        <v>55.2</v>
      </c>
      <c r="HL24">
        <v>40.5</v>
      </c>
      <c r="HM24">
        <v>42.992100000000001</v>
      </c>
      <c r="HN24">
        <v>59.877299999999998</v>
      </c>
      <c r="HO24">
        <v>7.5</v>
      </c>
      <c r="HP24">
        <v>1</v>
      </c>
      <c r="HQ24">
        <v>0.57012200000000002</v>
      </c>
      <c r="HR24">
        <v>0</v>
      </c>
      <c r="HS24">
        <v>20.2897</v>
      </c>
      <c r="HT24">
        <v>5.2112999999999996</v>
      </c>
      <c r="HU24">
        <v>11.908099999999999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1.8674599999999999</v>
      </c>
      <c r="IC24">
        <v>1.8631</v>
      </c>
      <c r="ID24">
        <v>1.86249</v>
      </c>
      <c r="IE24">
        <v>1.86206</v>
      </c>
      <c r="IF24">
        <v>1.86206</v>
      </c>
      <c r="IG24">
        <v>1.86267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-4.5060000000000002</v>
      </c>
      <c r="IX24">
        <v>0.4708</v>
      </c>
      <c r="IY24">
        <v>-2.5723275713964031</v>
      </c>
      <c r="IZ24">
        <v>-5.1825110452525594E-3</v>
      </c>
      <c r="JA24">
        <v>1.5265819664382561E-6</v>
      </c>
      <c r="JB24">
        <v>-1.241475652429701E-10</v>
      </c>
      <c r="JC24">
        <v>-0.24490025646120689</v>
      </c>
      <c r="JD24">
        <v>2.7492919904454862E-4</v>
      </c>
      <c r="JE24">
        <v>8.6739513355948885E-4</v>
      </c>
      <c r="JF24">
        <v>-8.2500691715147318E-6</v>
      </c>
      <c r="JG24">
        <v>21</v>
      </c>
      <c r="JH24">
        <v>1720</v>
      </c>
      <c r="JI24">
        <v>2</v>
      </c>
      <c r="JJ24">
        <v>37</v>
      </c>
      <c r="JK24">
        <v>0.8</v>
      </c>
      <c r="JL24">
        <v>0.7</v>
      </c>
      <c r="JM24">
        <v>1.18408</v>
      </c>
      <c r="JN24">
        <v>2.5451700000000002</v>
      </c>
      <c r="JO24">
        <v>1.50024</v>
      </c>
      <c r="JP24">
        <v>2.2692899999999998</v>
      </c>
      <c r="JQ24">
        <v>1.4477500000000001</v>
      </c>
      <c r="JR24">
        <v>2.33643</v>
      </c>
      <c r="JS24">
        <v>43.399099999999997</v>
      </c>
      <c r="JT24">
        <v>14.963800000000001</v>
      </c>
      <c r="JU24">
        <v>18</v>
      </c>
      <c r="JV24">
        <v>545.79200000000003</v>
      </c>
      <c r="JW24">
        <v>421.06599999999997</v>
      </c>
      <c r="JX24">
        <v>33.645800000000001</v>
      </c>
      <c r="JY24">
        <v>34.359099999999998</v>
      </c>
      <c r="JZ24">
        <v>29.9999</v>
      </c>
      <c r="KA24">
        <v>34.358499999999999</v>
      </c>
      <c r="KB24">
        <v>34.320900000000002</v>
      </c>
      <c r="KC24">
        <v>23.692699999999999</v>
      </c>
      <c r="KD24">
        <v>39.610599999999998</v>
      </c>
      <c r="KE24">
        <v>0</v>
      </c>
      <c r="KF24">
        <v>-999.9</v>
      </c>
      <c r="KG24">
        <v>462.06200000000001</v>
      </c>
      <c r="KH24">
        <v>29.573799999999999</v>
      </c>
      <c r="KI24">
        <v>100.28</v>
      </c>
      <c r="KJ24">
        <v>99.496799999999993</v>
      </c>
    </row>
    <row r="25" spans="1:296" x14ac:dyDescent="0.3">
      <c r="A25">
        <v>9</v>
      </c>
      <c r="B25">
        <v>1782924132.5</v>
      </c>
      <c r="C25">
        <v>1355.900000095367</v>
      </c>
      <c r="D25" t="s">
        <v>694</v>
      </c>
      <c r="E25" t="s">
        <v>695</v>
      </c>
      <c r="F25">
        <v>15</v>
      </c>
      <c r="H25">
        <v>1782924124.75</v>
      </c>
      <c r="I25">
        <f t="shared" si="0"/>
        <v>4.5730876202786756E-3</v>
      </c>
      <c r="J25">
        <f t="shared" si="1"/>
        <v>4.5730876202786757</v>
      </c>
      <c r="K25">
        <f t="shared" si="2"/>
        <v>21.48989201245292</v>
      </c>
      <c r="L25">
        <f t="shared" si="3"/>
        <v>420.01306666666659</v>
      </c>
      <c r="M25">
        <f t="shared" si="4"/>
        <v>279.67420548233446</v>
      </c>
      <c r="N25">
        <f t="shared" si="5"/>
        <v>27.356115116380597</v>
      </c>
      <c r="O25">
        <f t="shared" si="6"/>
        <v>41.083251786847846</v>
      </c>
      <c r="P25">
        <f t="shared" si="7"/>
        <v>0.27512928474408505</v>
      </c>
      <c r="Q25">
        <f t="shared" si="8"/>
        <v>2.8890830815488302</v>
      </c>
      <c r="R25">
        <f t="shared" si="9"/>
        <v>0.26135804420512704</v>
      </c>
      <c r="S25">
        <f t="shared" si="10"/>
        <v>0.16452860895949983</v>
      </c>
      <c r="T25">
        <f t="shared" si="11"/>
        <v>64.408844376503453</v>
      </c>
      <c r="U25">
        <f t="shared" si="12"/>
        <v>32.891212219190514</v>
      </c>
      <c r="V25">
        <f t="shared" si="13"/>
        <v>33.079039999999992</v>
      </c>
      <c r="W25">
        <f t="shared" si="14"/>
        <v>5.0745873479213239</v>
      </c>
      <c r="X25">
        <f t="shared" si="15"/>
        <v>65.397595873138386</v>
      </c>
      <c r="Y25">
        <f t="shared" si="16"/>
        <v>3.4375625138823596</v>
      </c>
      <c r="Z25">
        <f t="shared" si="17"/>
        <v>5.2564050222132321</v>
      </c>
      <c r="AA25">
        <f t="shared" si="18"/>
        <v>1.6370248340389644</v>
      </c>
      <c r="AB25">
        <f t="shared" si="19"/>
        <v>-201.6731640542896</v>
      </c>
      <c r="AC25">
        <f t="shared" si="20"/>
        <v>97.862169235683524</v>
      </c>
      <c r="AD25">
        <f t="shared" si="21"/>
        <v>7.7876029951660142</v>
      </c>
      <c r="AE25">
        <f t="shared" si="22"/>
        <v>-31.614547446936598</v>
      </c>
      <c r="AF25">
        <f t="shared" si="23"/>
        <v>21.48989201245292</v>
      </c>
      <c r="AG25">
        <f t="shared" si="24"/>
        <v>4.5730876202786757</v>
      </c>
      <c r="AH25">
        <f t="shared" si="25"/>
        <v>21.661322203983843</v>
      </c>
      <c r="AI25">
        <v>462.02101217441589</v>
      </c>
      <c r="AJ25">
        <v>435.1876909090908</v>
      </c>
      <c r="AK25">
        <v>7.3899482077295544E-3</v>
      </c>
      <c r="AL25">
        <v>67.087073994937072</v>
      </c>
      <c r="AM25">
        <f t="shared" si="26"/>
        <v>4.5487497694813257</v>
      </c>
      <c r="AN25">
        <v>29.84842143309017</v>
      </c>
      <c r="AO25">
        <v>35.116978181818197</v>
      </c>
      <c r="AP25">
        <v>-2.253747924266643E-4</v>
      </c>
      <c r="AQ25">
        <v>78.235132808476521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50538.141279208896</v>
      </c>
      <c r="AW25" t="s">
        <v>663</v>
      </c>
      <c r="AX25">
        <v>5099.1499999999996</v>
      </c>
      <c r="AY25">
        <v>561.92941176470595</v>
      </c>
      <c r="AZ25">
        <v>2562.2800000000002</v>
      </c>
      <c r="BA25">
        <f t="shared" si="30"/>
        <v>0.78069164503305422</v>
      </c>
      <c r="BB25">
        <v>-5.1695636961489324</v>
      </c>
      <c r="BC25" t="s">
        <v>696</v>
      </c>
      <c r="BD25">
        <v>5109.25</v>
      </c>
      <c r="BE25">
        <v>760.00447058823522</v>
      </c>
      <c r="BF25">
        <v>1731.92</v>
      </c>
      <c r="BG25">
        <f t="shared" si="31"/>
        <v>0.56117807370534711</v>
      </c>
      <c r="BH25">
        <v>0.5</v>
      </c>
      <c r="BI25">
        <f t="shared" si="32"/>
        <v>336.28499401891355</v>
      </c>
      <c r="BJ25">
        <f t="shared" si="33"/>
        <v>21.48989201245292</v>
      </c>
      <c r="BK25">
        <f t="shared" si="34"/>
        <v>94.357882579774042</v>
      </c>
      <c r="BL25">
        <f t="shared" si="35"/>
        <v>7.9276376236706109E-2</v>
      </c>
      <c r="BM25">
        <f t="shared" si="36"/>
        <v>0.47944477804979452</v>
      </c>
      <c r="BN25">
        <f t="shared" si="37"/>
        <v>508.4661093646211</v>
      </c>
      <c r="BO25" t="s">
        <v>407</v>
      </c>
      <c r="BP25">
        <v>0</v>
      </c>
      <c r="BQ25">
        <f t="shared" si="38"/>
        <v>508.4661093646211</v>
      </c>
      <c r="BR25">
        <f t="shared" si="39"/>
        <v>0.70641478280485182</v>
      </c>
      <c r="BS25">
        <f t="shared" si="40"/>
        <v>0.7944030721967118</v>
      </c>
      <c r="BT25">
        <f t="shared" si="41"/>
        <v>0.40430148212850742</v>
      </c>
      <c r="BU25">
        <f t="shared" si="42"/>
        <v>0.83070371606810323</v>
      </c>
      <c r="BV25">
        <f t="shared" si="43"/>
        <v>0.41510723414366191</v>
      </c>
      <c r="BW25">
        <f t="shared" si="44"/>
        <v>0.5314798202101747</v>
      </c>
      <c r="BX25">
        <f t="shared" si="45"/>
        <v>0.4685201797898253</v>
      </c>
      <c r="DG25">
        <f t="shared" si="46"/>
        <v>399.98713333333319</v>
      </c>
      <c r="DH25">
        <f t="shared" si="47"/>
        <v>336.28499401891355</v>
      </c>
      <c r="DI25">
        <f t="shared" si="48"/>
        <v>0.84073952883546177</v>
      </c>
      <c r="DJ25">
        <f t="shared" si="49"/>
        <v>0.16102729065244134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1782924124.75</v>
      </c>
      <c r="DQ25">
        <v>420.01306666666659</v>
      </c>
      <c r="DR25">
        <v>448.10793333333328</v>
      </c>
      <c r="DS25">
        <v>35.143790000000003</v>
      </c>
      <c r="DT25">
        <v>29.848549999999999</v>
      </c>
      <c r="DU25">
        <v>424.5789333333334</v>
      </c>
      <c r="DV25">
        <v>34.684999999999988</v>
      </c>
      <c r="DW25">
        <v>499.96283333333332</v>
      </c>
      <c r="DX25">
        <v>97.768069999999994</v>
      </c>
      <c r="DY25">
        <v>4.6153050000000008E-2</v>
      </c>
      <c r="DZ25">
        <v>33.707343333333327</v>
      </c>
      <c r="EA25">
        <v>33.079039999999992</v>
      </c>
      <c r="EB25">
        <v>999.9000000000002</v>
      </c>
      <c r="EC25">
        <v>0</v>
      </c>
      <c r="ED25">
        <v>0</v>
      </c>
      <c r="EE25">
        <v>9994.1666666666661</v>
      </c>
      <c r="EF25">
        <v>0</v>
      </c>
      <c r="EG25">
        <v>662.96166666666659</v>
      </c>
      <c r="EH25">
        <v>-28.094773333333329</v>
      </c>
      <c r="EI25">
        <v>435.31169999999997</v>
      </c>
      <c r="EJ25">
        <v>461.89479999999998</v>
      </c>
      <c r="EK25">
        <v>5.2952290000000009</v>
      </c>
      <c r="EL25">
        <v>448.10793333333328</v>
      </c>
      <c r="EM25">
        <v>29.848549999999999</v>
      </c>
      <c r="EN25">
        <v>3.4359403333333329</v>
      </c>
      <c r="EO25">
        <v>2.9182359999999998</v>
      </c>
      <c r="EP25">
        <v>26.306480000000011</v>
      </c>
      <c r="EQ25">
        <v>23.5686</v>
      </c>
      <c r="ER25">
        <v>399.98713333333319</v>
      </c>
      <c r="ES25">
        <v>0.97502896666666672</v>
      </c>
      <c r="ET25">
        <v>2.497095333333333E-2</v>
      </c>
      <c r="EU25">
        <v>0</v>
      </c>
      <c r="EV25">
        <v>760.06476666666686</v>
      </c>
      <c r="EW25">
        <v>5.0010700000000003</v>
      </c>
      <c r="EX25">
        <v>6637.4789999999985</v>
      </c>
      <c r="EY25">
        <v>3583.6</v>
      </c>
      <c r="EZ25">
        <v>39.186999999999991</v>
      </c>
      <c r="FA25">
        <v>42.233199999999989</v>
      </c>
      <c r="FB25">
        <v>40.995800000000003</v>
      </c>
      <c r="FC25">
        <v>41.970733333333342</v>
      </c>
      <c r="FD25">
        <v>41.779000000000003</v>
      </c>
      <c r="FE25">
        <v>385.12333333333328</v>
      </c>
      <c r="FF25">
        <v>9.860000000000003</v>
      </c>
      <c r="FG25">
        <v>0</v>
      </c>
      <c r="FH25">
        <v>167.20000004768369</v>
      </c>
      <c r="FI25">
        <v>0</v>
      </c>
      <c r="FJ25">
        <v>760.00447058823522</v>
      </c>
      <c r="FK25">
        <v>-1.0387254949727169</v>
      </c>
      <c r="FL25">
        <v>177.48529680481431</v>
      </c>
      <c r="FM25">
        <v>6642.0794117647056</v>
      </c>
      <c r="FN25">
        <v>10</v>
      </c>
      <c r="FO25">
        <v>1782924090.5</v>
      </c>
      <c r="FP25" t="s">
        <v>697</v>
      </c>
      <c r="FQ25">
        <v>1782924090.5</v>
      </c>
      <c r="FR25">
        <v>1782924087.5</v>
      </c>
      <c r="FS25">
        <v>25</v>
      </c>
      <c r="FT25">
        <v>-5.8999999999999997E-2</v>
      </c>
      <c r="FU25">
        <v>-5.0000000000000001E-3</v>
      </c>
      <c r="FV25">
        <v>-4.6790000000000003</v>
      </c>
      <c r="FW25">
        <v>0.30199999999999999</v>
      </c>
      <c r="FX25">
        <v>449</v>
      </c>
      <c r="FY25">
        <v>30</v>
      </c>
      <c r="FZ25">
        <v>0.31</v>
      </c>
      <c r="GA25">
        <v>0.06</v>
      </c>
      <c r="GB25">
        <v>-28.142767500000001</v>
      </c>
      <c r="GC25">
        <v>0.30411219512201459</v>
      </c>
      <c r="GD25">
        <v>0.23210840504762009</v>
      </c>
      <c r="GE25">
        <v>1</v>
      </c>
      <c r="GF25">
        <v>760.16252941176481</v>
      </c>
      <c r="GG25">
        <v>-1.6697631790921801</v>
      </c>
      <c r="GH25">
        <v>0.25350974401671011</v>
      </c>
      <c r="GI25">
        <v>1</v>
      </c>
      <c r="GJ25">
        <v>5.3049362499999999</v>
      </c>
      <c r="GK25">
        <v>-0.18374465290807629</v>
      </c>
      <c r="GL25">
        <v>1.8558155846891109E-2</v>
      </c>
      <c r="GM25">
        <v>1</v>
      </c>
      <c r="GN25">
        <v>3</v>
      </c>
      <c r="GO25">
        <v>3</v>
      </c>
      <c r="GP25" t="s">
        <v>599</v>
      </c>
      <c r="GQ25">
        <v>3.1329699999999998</v>
      </c>
      <c r="GR25">
        <v>2.7251500000000002</v>
      </c>
      <c r="GS25">
        <v>9.1242599999999993E-2</v>
      </c>
      <c r="GT25">
        <v>9.5771200000000001E-2</v>
      </c>
      <c r="GU25">
        <v>0.14437800000000001</v>
      </c>
      <c r="GV25">
        <v>0.13045899999999999</v>
      </c>
      <c r="GW25">
        <v>22764</v>
      </c>
      <c r="GX25">
        <v>30503.8</v>
      </c>
      <c r="GY25">
        <v>27174</v>
      </c>
      <c r="GZ25">
        <v>34691.9</v>
      </c>
      <c r="HA25">
        <v>34052.5</v>
      </c>
      <c r="HB25">
        <v>38535.5</v>
      </c>
      <c r="HC25">
        <v>40126.300000000003</v>
      </c>
      <c r="HD25">
        <v>44398</v>
      </c>
      <c r="HE25">
        <v>1.9643999999999999</v>
      </c>
      <c r="HF25">
        <v>1.752</v>
      </c>
      <c r="HG25">
        <v>3.1590500000000001E-2</v>
      </c>
      <c r="HH25">
        <v>0</v>
      </c>
      <c r="HI25">
        <v>32.562100000000001</v>
      </c>
      <c r="HJ25">
        <v>999.9</v>
      </c>
      <c r="HK25">
        <v>55.1</v>
      </c>
      <c r="HL25">
        <v>40.4</v>
      </c>
      <c r="HM25">
        <v>42.682299999999998</v>
      </c>
      <c r="HN25">
        <v>59.997300000000003</v>
      </c>
      <c r="HO25">
        <v>7.4479100000000003</v>
      </c>
      <c r="HP25">
        <v>1</v>
      </c>
      <c r="HQ25">
        <v>0.56438999999999995</v>
      </c>
      <c r="HR25">
        <v>0</v>
      </c>
      <c r="HS25">
        <v>20.291899999999998</v>
      </c>
      <c r="HT25">
        <v>5.2088999999999999</v>
      </c>
      <c r="HU25">
        <v>11.908099999999999</v>
      </c>
      <c r="HV25">
        <v>4.9851999999999999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1.8674900000000001</v>
      </c>
      <c r="IC25">
        <v>1.8631</v>
      </c>
      <c r="ID25">
        <v>1.8625799999999999</v>
      </c>
      <c r="IE25">
        <v>1.8620300000000001</v>
      </c>
      <c r="IF25">
        <v>1.86206</v>
      </c>
      <c r="IG25">
        <v>1.8627</v>
      </c>
      <c r="IH25">
        <v>1.8635900000000001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-4.5659999999999998</v>
      </c>
      <c r="IX25">
        <v>0.45810000000000001</v>
      </c>
      <c r="IY25">
        <v>-2.631104064052141</v>
      </c>
      <c r="IZ25">
        <v>-5.1825110452525594E-3</v>
      </c>
      <c r="JA25">
        <v>1.5265819664382561E-6</v>
      </c>
      <c r="JB25">
        <v>-1.241475652429701E-10</v>
      </c>
      <c r="JC25">
        <v>-0.25000870562978778</v>
      </c>
      <c r="JD25">
        <v>2.7492919904454862E-4</v>
      </c>
      <c r="JE25">
        <v>8.6739513355948885E-4</v>
      </c>
      <c r="JF25">
        <v>-8.2500691715147318E-6</v>
      </c>
      <c r="JG25">
        <v>21</v>
      </c>
      <c r="JH25">
        <v>1720</v>
      </c>
      <c r="JI25">
        <v>2</v>
      </c>
      <c r="JJ25">
        <v>37</v>
      </c>
      <c r="JK25">
        <v>0.7</v>
      </c>
      <c r="JL25">
        <v>0.8</v>
      </c>
      <c r="JM25">
        <v>1.15601</v>
      </c>
      <c r="JN25">
        <v>2.5415000000000001</v>
      </c>
      <c r="JO25">
        <v>1.50024</v>
      </c>
      <c r="JP25">
        <v>2.2692899999999998</v>
      </c>
      <c r="JQ25">
        <v>1.4477500000000001</v>
      </c>
      <c r="JR25">
        <v>2.36328</v>
      </c>
      <c r="JS25">
        <v>43.317599999999999</v>
      </c>
      <c r="JT25">
        <v>14.946300000000001</v>
      </c>
      <c r="JU25">
        <v>18</v>
      </c>
      <c r="JV25">
        <v>546.22900000000004</v>
      </c>
      <c r="JW25">
        <v>421.90699999999998</v>
      </c>
      <c r="JX25">
        <v>33.616999999999997</v>
      </c>
      <c r="JY25">
        <v>34.296900000000001</v>
      </c>
      <c r="JZ25">
        <v>29.999600000000001</v>
      </c>
      <c r="KA25">
        <v>34.281100000000002</v>
      </c>
      <c r="KB25">
        <v>34.243899999999996</v>
      </c>
      <c r="KC25">
        <v>23.138200000000001</v>
      </c>
      <c r="KD25">
        <v>39.015599999999999</v>
      </c>
      <c r="KE25">
        <v>0</v>
      </c>
      <c r="KF25">
        <v>-999.9</v>
      </c>
      <c r="KG25">
        <v>448.334</v>
      </c>
      <c r="KH25">
        <v>29.809100000000001</v>
      </c>
      <c r="KI25">
        <v>100.288</v>
      </c>
      <c r="KJ25">
        <v>99.511899999999997</v>
      </c>
    </row>
    <row r="26" spans="1:296" x14ac:dyDescent="0.3">
      <c r="A26">
        <v>10</v>
      </c>
      <c r="B26">
        <v>1782924285.5</v>
      </c>
      <c r="C26">
        <v>1508.900000095367</v>
      </c>
      <c r="D26" t="s">
        <v>698</v>
      </c>
      <c r="E26" t="s">
        <v>699</v>
      </c>
      <c r="F26">
        <v>15</v>
      </c>
      <c r="H26">
        <v>1782924277.5</v>
      </c>
      <c r="I26">
        <f t="shared" si="0"/>
        <v>4.3283772244612764E-3</v>
      </c>
      <c r="J26">
        <f t="shared" si="1"/>
        <v>4.3283772244612768</v>
      </c>
      <c r="K26">
        <f t="shared" si="2"/>
        <v>15.78116666980762</v>
      </c>
      <c r="L26">
        <f t="shared" si="3"/>
        <v>419.90748387096772</v>
      </c>
      <c r="M26">
        <f t="shared" si="4"/>
        <v>307.98216063674221</v>
      </c>
      <c r="N26">
        <f t="shared" si="5"/>
        <v>30.124877060187032</v>
      </c>
      <c r="O26">
        <f t="shared" si="6"/>
        <v>41.072707919551725</v>
      </c>
      <c r="P26">
        <f t="shared" si="7"/>
        <v>0.25863966590173665</v>
      </c>
      <c r="Q26">
        <f t="shared" si="8"/>
        <v>2.8908651745085097</v>
      </c>
      <c r="R26">
        <f t="shared" si="9"/>
        <v>0.24643748373448396</v>
      </c>
      <c r="S26">
        <f t="shared" si="10"/>
        <v>0.15507176256341954</v>
      </c>
      <c r="T26">
        <f t="shared" si="11"/>
        <v>48.440954685486489</v>
      </c>
      <c r="U26">
        <f t="shared" si="12"/>
        <v>32.707966954917566</v>
      </c>
      <c r="V26">
        <f t="shared" si="13"/>
        <v>32.971687096774197</v>
      </c>
      <c r="W26">
        <f t="shared" si="14"/>
        <v>5.0440754059725874</v>
      </c>
      <c r="X26">
        <f t="shared" si="15"/>
        <v>65.243217786625252</v>
      </c>
      <c r="Y26">
        <f t="shared" si="16"/>
        <v>3.4002528028374783</v>
      </c>
      <c r="Z26">
        <f t="shared" si="17"/>
        <v>5.2116571165417351</v>
      </c>
      <c r="AA26">
        <f t="shared" si="18"/>
        <v>1.6438226031351091</v>
      </c>
      <c r="AB26">
        <f t="shared" si="19"/>
        <v>-190.88143559874229</v>
      </c>
      <c r="AC26">
        <f t="shared" si="20"/>
        <v>90.830231262876069</v>
      </c>
      <c r="AD26">
        <f t="shared" si="21"/>
        <v>7.2143655524620725</v>
      </c>
      <c r="AE26">
        <f t="shared" si="22"/>
        <v>-44.395884097917659</v>
      </c>
      <c r="AF26">
        <f t="shared" si="23"/>
        <v>15.78116666980762</v>
      </c>
      <c r="AG26">
        <f t="shared" si="24"/>
        <v>4.3283772244612768</v>
      </c>
      <c r="AH26">
        <f t="shared" si="25"/>
        <v>16.148428493699921</v>
      </c>
      <c r="AI26">
        <v>454.84028498163991</v>
      </c>
      <c r="AJ26">
        <v>434.83834545454528</v>
      </c>
      <c r="AK26">
        <v>6.263074512701158E-3</v>
      </c>
      <c r="AL26">
        <v>67.035292148168537</v>
      </c>
      <c r="AM26">
        <f t="shared" si="26"/>
        <v>4.3118102242098386</v>
      </c>
      <c r="AN26">
        <v>29.746219844270449</v>
      </c>
      <c r="AO26">
        <v>34.740078181818177</v>
      </c>
      <c r="AP26">
        <v>-1.185272264504265E-5</v>
      </c>
      <c r="AQ26">
        <v>78.067304634103877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50612.981349677735</v>
      </c>
      <c r="AW26" t="s">
        <v>663</v>
      </c>
      <c r="AX26">
        <v>5099.1499999999996</v>
      </c>
      <c r="AY26">
        <v>561.92941176470595</v>
      </c>
      <c r="AZ26">
        <v>2562.2800000000002</v>
      </c>
      <c r="BA26">
        <f t="shared" si="30"/>
        <v>0.78069164503305422</v>
      </c>
      <c r="BB26">
        <v>-5.1695636961489324</v>
      </c>
      <c r="BC26" t="s">
        <v>700</v>
      </c>
      <c r="BD26">
        <v>5110.16</v>
      </c>
      <c r="BE26">
        <v>756.16782352941186</v>
      </c>
      <c r="BF26">
        <v>1822.26</v>
      </c>
      <c r="BG26">
        <f t="shared" si="31"/>
        <v>0.58503845580245861</v>
      </c>
      <c r="BH26">
        <v>0.5</v>
      </c>
      <c r="BI26">
        <f t="shared" si="32"/>
        <v>252.2807074051492</v>
      </c>
      <c r="BJ26">
        <f t="shared" si="33"/>
        <v>15.78116666980762</v>
      </c>
      <c r="BK26">
        <f t="shared" si="34"/>
        <v>73.796957744530189</v>
      </c>
      <c r="BL26">
        <f t="shared" si="35"/>
        <v>8.304531322052626E-2</v>
      </c>
      <c r="BM26">
        <f t="shared" si="36"/>
        <v>0.40610011743658986</v>
      </c>
      <c r="BN26">
        <f t="shared" si="37"/>
        <v>515.97599678577603</v>
      </c>
      <c r="BO26" t="s">
        <v>407</v>
      </c>
      <c r="BP26">
        <v>0</v>
      </c>
      <c r="BQ26">
        <f t="shared" si="38"/>
        <v>515.97599678577603</v>
      </c>
      <c r="BR26">
        <f t="shared" si="39"/>
        <v>0.71684831100623625</v>
      </c>
      <c r="BS26">
        <f t="shared" si="40"/>
        <v>0.81612587603260611</v>
      </c>
      <c r="BT26">
        <f t="shared" si="41"/>
        <v>0.36163737100529375</v>
      </c>
      <c r="BU26">
        <f t="shared" si="42"/>
        <v>0.8458829662805557</v>
      </c>
      <c r="BV26">
        <f t="shared" si="43"/>
        <v>0.36994515079121432</v>
      </c>
      <c r="BW26">
        <f t="shared" si="44"/>
        <v>0.55688876104658724</v>
      </c>
      <c r="BX26">
        <f t="shared" si="45"/>
        <v>0.44311123895341276</v>
      </c>
      <c r="DG26">
        <f t="shared" si="46"/>
        <v>299.98687096774188</v>
      </c>
      <c r="DH26">
        <f t="shared" si="47"/>
        <v>252.2807074051492</v>
      </c>
      <c r="DI26">
        <f t="shared" si="48"/>
        <v>0.84097249520055628</v>
      </c>
      <c r="DJ26">
        <f t="shared" si="49"/>
        <v>0.16147691573707382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1782924277.5</v>
      </c>
      <c r="DQ26">
        <v>419.90748387096772</v>
      </c>
      <c r="DR26">
        <v>441.02322580645148</v>
      </c>
      <c r="DS26">
        <v>34.762538709677422</v>
      </c>
      <c r="DT26">
        <v>29.749680645161291</v>
      </c>
      <c r="DU26">
        <v>424.3887096774194</v>
      </c>
      <c r="DV26">
        <v>34.314019354838699</v>
      </c>
      <c r="DW26">
        <v>500.06345161290318</v>
      </c>
      <c r="DX26">
        <v>97.766948387096761</v>
      </c>
      <c r="DY26">
        <v>4.6759387096774192E-2</v>
      </c>
      <c r="DZ26">
        <v>33.554483870967744</v>
      </c>
      <c r="EA26">
        <v>32.971687096774197</v>
      </c>
      <c r="EB26">
        <v>999.90000000000032</v>
      </c>
      <c r="EC26">
        <v>0</v>
      </c>
      <c r="ED26">
        <v>0</v>
      </c>
      <c r="EE26">
        <v>10004.516129032259</v>
      </c>
      <c r="EF26">
        <v>0</v>
      </c>
      <c r="EG26">
        <v>737.22651612903223</v>
      </c>
      <c r="EH26">
        <v>-21.11575483870968</v>
      </c>
      <c r="EI26">
        <v>435.03035483870963</v>
      </c>
      <c r="EJ26">
        <v>454.54570967741932</v>
      </c>
      <c r="EK26">
        <v>5.0128580645161289</v>
      </c>
      <c r="EL26">
        <v>441.02322580645148</v>
      </c>
      <c r="EM26">
        <v>29.749680645161291</v>
      </c>
      <c r="EN26">
        <v>3.3986264516129041</v>
      </c>
      <c r="EO26">
        <v>2.908535161290323</v>
      </c>
      <c r="EP26">
        <v>26.121654838709681</v>
      </c>
      <c r="EQ26">
        <v>23.51336451612903</v>
      </c>
      <c r="ER26">
        <v>299.98687096774188</v>
      </c>
      <c r="ES26">
        <v>0.96703216129032277</v>
      </c>
      <c r="ET26">
        <v>3.2967719354838713E-2</v>
      </c>
      <c r="EU26">
        <v>0</v>
      </c>
      <c r="EV26">
        <v>756.27051612903233</v>
      </c>
      <c r="EW26">
        <v>5.0010700000000003</v>
      </c>
      <c r="EX26">
        <v>6045.2196774193526</v>
      </c>
      <c r="EY26">
        <v>2667.9412903225798</v>
      </c>
      <c r="EZ26">
        <v>38.75</v>
      </c>
      <c r="FA26">
        <v>41.875</v>
      </c>
      <c r="FB26">
        <v>40.566064516129018</v>
      </c>
      <c r="FC26">
        <v>41.75</v>
      </c>
      <c r="FD26">
        <v>41.338419354838692</v>
      </c>
      <c r="FE26">
        <v>285.26096774193547</v>
      </c>
      <c r="FF26">
        <v>9.7245161290322635</v>
      </c>
      <c r="FG26">
        <v>0</v>
      </c>
      <c r="FH26">
        <v>152.5999999046326</v>
      </c>
      <c r="FI26">
        <v>0</v>
      </c>
      <c r="FJ26">
        <v>756.16782352941186</v>
      </c>
      <c r="FK26">
        <v>-0.28651961037449292</v>
      </c>
      <c r="FL26">
        <v>29.193625353685331</v>
      </c>
      <c r="FM26">
        <v>6049.192352941177</v>
      </c>
      <c r="FN26">
        <v>10</v>
      </c>
      <c r="FO26">
        <v>1782924242</v>
      </c>
      <c r="FP26" t="s">
        <v>701</v>
      </c>
      <c r="FQ26">
        <v>1782924235.5</v>
      </c>
      <c r="FR26">
        <v>1782924242</v>
      </c>
      <c r="FS26">
        <v>26</v>
      </c>
      <c r="FT26">
        <v>8.4000000000000005E-2</v>
      </c>
      <c r="FU26">
        <v>1E-3</v>
      </c>
      <c r="FV26">
        <v>-4.5659999999999998</v>
      </c>
      <c r="FW26">
        <v>0.29799999999999999</v>
      </c>
      <c r="FX26">
        <v>442</v>
      </c>
      <c r="FY26">
        <v>30</v>
      </c>
      <c r="FZ26">
        <v>0.31</v>
      </c>
      <c r="GA26">
        <v>7.0000000000000007E-2</v>
      </c>
      <c r="GB26">
        <v>-21.174175000000002</v>
      </c>
      <c r="GC26">
        <v>-0.49937110694179071</v>
      </c>
      <c r="GD26">
        <v>0.39928498766545167</v>
      </c>
      <c r="GE26">
        <v>1</v>
      </c>
      <c r="GF26">
        <v>756.33091176470589</v>
      </c>
      <c r="GG26">
        <v>-1.0065240681128369</v>
      </c>
      <c r="GH26">
        <v>0.2102030345735908</v>
      </c>
      <c r="GI26">
        <v>1</v>
      </c>
      <c r="GJ26">
        <v>5.024006</v>
      </c>
      <c r="GK26">
        <v>-0.21069838649156331</v>
      </c>
      <c r="GL26">
        <v>2.2265871058640439E-2</v>
      </c>
      <c r="GM26">
        <v>1</v>
      </c>
      <c r="GN26">
        <v>3</v>
      </c>
      <c r="GO26">
        <v>3</v>
      </c>
      <c r="GP26" t="s">
        <v>599</v>
      </c>
      <c r="GQ26">
        <v>3.1331600000000002</v>
      </c>
      <c r="GR26">
        <v>2.7206800000000002</v>
      </c>
      <c r="GS26">
        <v>9.1241900000000001E-2</v>
      </c>
      <c r="GT26">
        <v>9.4672000000000006E-2</v>
      </c>
      <c r="GU26">
        <v>0.14335500000000001</v>
      </c>
      <c r="GV26">
        <v>0.13019900000000001</v>
      </c>
      <c r="GW26">
        <v>22767.3</v>
      </c>
      <c r="GX26">
        <v>30544.5</v>
      </c>
      <c r="GY26">
        <v>27177.5</v>
      </c>
      <c r="GZ26">
        <v>34695.4</v>
      </c>
      <c r="HA26">
        <v>34097.300000000003</v>
      </c>
      <c r="HB26">
        <v>38550.1</v>
      </c>
      <c r="HC26">
        <v>40131.800000000003</v>
      </c>
      <c r="HD26">
        <v>44402.1</v>
      </c>
      <c r="HE26">
        <v>1.9638</v>
      </c>
      <c r="HF26">
        <v>1.7542</v>
      </c>
      <c r="HG26">
        <v>3.7223100000000002E-2</v>
      </c>
      <c r="HH26">
        <v>0</v>
      </c>
      <c r="HI26">
        <v>32.378300000000003</v>
      </c>
      <c r="HJ26">
        <v>999.9</v>
      </c>
      <c r="HK26">
        <v>55</v>
      </c>
      <c r="HL26">
        <v>40.299999999999997</v>
      </c>
      <c r="HM26">
        <v>42.380099999999999</v>
      </c>
      <c r="HN26">
        <v>59.667299999999997</v>
      </c>
      <c r="HO26">
        <v>7.3036899999999996</v>
      </c>
      <c r="HP26">
        <v>1</v>
      </c>
      <c r="HQ26">
        <v>0.55670699999999995</v>
      </c>
      <c r="HR26">
        <v>0</v>
      </c>
      <c r="HS26">
        <v>20.292899999999999</v>
      </c>
      <c r="HT26">
        <v>5.2100999999999997</v>
      </c>
      <c r="HU26">
        <v>11.908099999999999</v>
      </c>
      <c r="HV26">
        <v>4.9847999999999999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1.8674599999999999</v>
      </c>
      <c r="IC26">
        <v>1.8631</v>
      </c>
      <c r="ID26">
        <v>1.86252</v>
      </c>
      <c r="IE26">
        <v>1.8620300000000001</v>
      </c>
      <c r="IF26">
        <v>1.86206</v>
      </c>
      <c r="IG26">
        <v>1.8626400000000001</v>
      </c>
      <c r="IH26">
        <v>1.8635600000000001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-4.4820000000000002</v>
      </c>
      <c r="IX26">
        <v>0.44779999999999998</v>
      </c>
      <c r="IY26">
        <v>-2.5472750204049839</v>
      </c>
      <c r="IZ26">
        <v>-5.1825110452525594E-3</v>
      </c>
      <c r="JA26">
        <v>1.5265819664382561E-6</v>
      </c>
      <c r="JB26">
        <v>-1.241475652429701E-10</v>
      </c>
      <c r="JC26">
        <v>-0.2489103453063887</v>
      </c>
      <c r="JD26">
        <v>2.7492919904454862E-4</v>
      </c>
      <c r="JE26">
        <v>8.6739513355948885E-4</v>
      </c>
      <c r="JF26">
        <v>-8.2500691715147318E-6</v>
      </c>
      <c r="JG26">
        <v>21</v>
      </c>
      <c r="JH26">
        <v>1720</v>
      </c>
      <c r="JI26">
        <v>2</v>
      </c>
      <c r="JJ26">
        <v>37</v>
      </c>
      <c r="JK26">
        <v>0.8</v>
      </c>
      <c r="JL26">
        <v>0.7</v>
      </c>
      <c r="JM26">
        <v>1.1425799999999999</v>
      </c>
      <c r="JN26">
        <v>2.5378400000000001</v>
      </c>
      <c r="JO26">
        <v>1.50024</v>
      </c>
      <c r="JP26">
        <v>2.2692899999999998</v>
      </c>
      <c r="JQ26">
        <v>1.4477500000000001</v>
      </c>
      <c r="JR26">
        <v>2.4011200000000001</v>
      </c>
      <c r="JS26">
        <v>43.155000000000001</v>
      </c>
      <c r="JT26">
        <v>14.928800000000001</v>
      </c>
      <c r="JU26">
        <v>18</v>
      </c>
      <c r="JV26">
        <v>545.11300000000006</v>
      </c>
      <c r="JW26">
        <v>422.68900000000002</v>
      </c>
      <c r="JX26">
        <v>33.449399999999997</v>
      </c>
      <c r="JY26">
        <v>34.207000000000001</v>
      </c>
      <c r="JZ26">
        <v>29.9999</v>
      </c>
      <c r="KA26">
        <v>34.194800000000001</v>
      </c>
      <c r="KB26">
        <v>34.158000000000001</v>
      </c>
      <c r="KC26">
        <v>22.851700000000001</v>
      </c>
      <c r="KD26">
        <v>38.947800000000001</v>
      </c>
      <c r="KE26">
        <v>0</v>
      </c>
      <c r="KF26">
        <v>-999.9</v>
      </c>
      <c r="KG26">
        <v>441.31700000000001</v>
      </c>
      <c r="KH26">
        <v>29.6769</v>
      </c>
      <c r="KI26">
        <v>100.301</v>
      </c>
      <c r="KJ26">
        <v>99.521500000000003</v>
      </c>
    </row>
    <row r="27" spans="1:296" x14ac:dyDescent="0.3">
      <c r="A27">
        <v>11</v>
      </c>
      <c r="B27">
        <v>1782924435.5</v>
      </c>
      <c r="C27">
        <v>1658.900000095367</v>
      </c>
      <c r="D27" t="s">
        <v>702</v>
      </c>
      <c r="E27" t="s">
        <v>703</v>
      </c>
      <c r="F27">
        <v>15</v>
      </c>
      <c r="H27">
        <v>1782924427.5</v>
      </c>
      <c r="I27">
        <f t="shared" si="0"/>
        <v>3.8940849520491282E-3</v>
      </c>
      <c r="J27">
        <f t="shared" si="1"/>
        <v>3.8940849520491283</v>
      </c>
      <c r="K27">
        <f t="shared" si="2"/>
        <v>9.4408166338195532</v>
      </c>
      <c r="L27">
        <f t="shared" si="3"/>
        <v>419.91229032258059</v>
      </c>
      <c r="M27">
        <f t="shared" si="4"/>
        <v>341.59864969027325</v>
      </c>
      <c r="N27">
        <f t="shared" si="5"/>
        <v>33.414165583997246</v>
      </c>
      <c r="O27">
        <f t="shared" si="6"/>
        <v>41.074573369409173</v>
      </c>
      <c r="P27">
        <f t="shared" si="7"/>
        <v>0.2316583193963126</v>
      </c>
      <c r="Q27">
        <f t="shared" si="8"/>
        <v>2.8903360379178897</v>
      </c>
      <c r="R27">
        <f t="shared" si="9"/>
        <v>0.22181543422467656</v>
      </c>
      <c r="S27">
        <f t="shared" si="10"/>
        <v>0.13948413956732342</v>
      </c>
      <c r="T27">
        <f t="shared" si="11"/>
        <v>32.483075385069945</v>
      </c>
      <c r="U27">
        <f t="shared" si="12"/>
        <v>32.605961277545433</v>
      </c>
      <c r="V27">
        <f t="shared" si="13"/>
        <v>32.889145161290323</v>
      </c>
      <c r="W27">
        <f t="shared" si="14"/>
        <v>5.0207239331798066</v>
      </c>
      <c r="X27">
        <f t="shared" si="15"/>
        <v>65.240743494422262</v>
      </c>
      <c r="Y27">
        <f t="shared" si="16"/>
        <v>3.3772102899209107</v>
      </c>
      <c r="Z27">
        <f t="shared" si="17"/>
        <v>5.1765355650946017</v>
      </c>
      <c r="AA27">
        <f t="shared" si="18"/>
        <v>1.6435136432588959</v>
      </c>
      <c r="AB27">
        <f t="shared" si="19"/>
        <v>-171.72914638536656</v>
      </c>
      <c r="AC27">
        <f t="shared" si="20"/>
        <v>84.855607672057957</v>
      </c>
      <c r="AD27">
        <f t="shared" si="21"/>
        <v>6.7343421322666481</v>
      </c>
      <c r="AE27">
        <f t="shared" si="22"/>
        <v>-47.656121195972005</v>
      </c>
      <c r="AF27">
        <f t="shared" si="23"/>
        <v>9.4408166338195532</v>
      </c>
      <c r="AG27">
        <f t="shared" si="24"/>
        <v>3.8940849520491283</v>
      </c>
      <c r="AH27">
        <f t="shared" si="25"/>
        <v>9.3363668590772075</v>
      </c>
      <c r="AI27">
        <v>446.60094458188479</v>
      </c>
      <c r="AJ27">
        <v>435.03042424242398</v>
      </c>
      <c r="AK27">
        <v>4.0772502178006084E-3</v>
      </c>
      <c r="AL27">
        <v>67.09115543685175</v>
      </c>
      <c r="AM27">
        <f t="shared" si="26"/>
        <v>3.9209288412784971</v>
      </c>
      <c r="AN27">
        <v>29.964520459134199</v>
      </c>
      <c r="AO27">
        <v>34.524144242424249</v>
      </c>
      <c r="AP27">
        <v>-2.863875324671002E-3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50618.248062829174</v>
      </c>
      <c r="AW27" t="s">
        <v>663</v>
      </c>
      <c r="AX27">
        <v>5099.1499999999996</v>
      </c>
      <c r="AY27">
        <v>561.92941176470595</v>
      </c>
      <c r="AZ27">
        <v>2562.2800000000002</v>
      </c>
      <c r="BA27">
        <f t="shared" si="30"/>
        <v>0.78069164503305422</v>
      </c>
      <c r="BB27">
        <v>-5.1695636961489324</v>
      </c>
      <c r="BC27" t="s">
        <v>704</v>
      </c>
      <c r="BD27">
        <v>5111.04</v>
      </c>
      <c r="BE27">
        <v>747.43041176470592</v>
      </c>
      <c r="BF27">
        <v>1902.97</v>
      </c>
      <c r="BG27">
        <f t="shared" si="31"/>
        <v>0.60722953500858878</v>
      </c>
      <c r="BH27">
        <v>0.5</v>
      </c>
      <c r="BI27">
        <f t="shared" si="32"/>
        <v>168.28373612129647</v>
      </c>
      <c r="BJ27">
        <f t="shared" si="33"/>
        <v>9.4408166338195532</v>
      </c>
      <c r="BK27">
        <f t="shared" si="34"/>
        <v>51.093427417221456</v>
      </c>
      <c r="BL27">
        <f t="shared" si="35"/>
        <v>8.681991894592557E-2</v>
      </c>
      <c r="BM27">
        <f t="shared" si="36"/>
        <v>0.34646368571233399</v>
      </c>
      <c r="BN27">
        <f t="shared" si="37"/>
        <v>522.247781844217</v>
      </c>
      <c r="BO27" t="s">
        <v>407</v>
      </c>
      <c r="BP27">
        <v>0</v>
      </c>
      <c r="BQ27">
        <f t="shared" si="38"/>
        <v>522.247781844217</v>
      </c>
      <c r="BR27">
        <f t="shared" si="39"/>
        <v>0.72556173673562019</v>
      </c>
      <c r="BS27">
        <f t="shared" si="40"/>
        <v>0.83690953403990032</v>
      </c>
      <c r="BT27">
        <f t="shared" si="41"/>
        <v>0.32318607232390939</v>
      </c>
      <c r="BU27">
        <f t="shared" si="42"/>
        <v>0.8616738362527081</v>
      </c>
      <c r="BV27">
        <f t="shared" si="43"/>
        <v>0.32959722354551974</v>
      </c>
      <c r="BW27">
        <f t="shared" si="44"/>
        <v>0.58476901779346901</v>
      </c>
      <c r="BX27">
        <f t="shared" si="45"/>
        <v>0.41523098220653099</v>
      </c>
      <c r="DG27">
        <f t="shared" si="46"/>
        <v>199.9894193548387</v>
      </c>
      <c r="DH27">
        <f t="shared" si="47"/>
        <v>168.28373612129647</v>
      </c>
      <c r="DI27">
        <f t="shared" si="48"/>
        <v>0.84146319672398651</v>
      </c>
      <c r="DJ27">
        <f t="shared" si="49"/>
        <v>0.16242396967729394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1782924427.5</v>
      </c>
      <c r="DQ27">
        <v>419.91229032258059</v>
      </c>
      <c r="DR27">
        <v>433.20258064516139</v>
      </c>
      <c r="DS27">
        <v>34.525790322580647</v>
      </c>
      <c r="DT27">
        <v>30.014529032258061</v>
      </c>
      <c r="DU27">
        <v>424.42509677419349</v>
      </c>
      <c r="DV27">
        <v>34.082054838709666</v>
      </c>
      <c r="DW27">
        <v>500.03380645161292</v>
      </c>
      <c r="DX27">
        <v>97.770345161290322</v>
      </c>
      <c r="DY27">
        <v>4.6685480645161287E-2</v>
      </c>
      <c r="DZ27">
        <v>33.433706451612899</v>
      </c>
      <c r="EA27">
        <v>32.889145161290323</v>
      </c>
      <c r="EB27">
        <v>999.90000000000032</v>
      </c>
      <c r="EC27">
        <v>0</v>
      </c>
      <c r="ED27">
        <v>0</v>
      </c>
      <c r="EE27">
        <v>10001.129032258061</v>
      </c>
      <c r="EF27">
        <v>0</v>
      </c>
      <c r="EG27">
        <v>849.99903225806452</v>
      </c>
      <c r="EH27">
        <v>-13.290358064516131</v>
      </c>
      <c r="EI27">
        <v>434.92861290322583</v>
      </c>
      <c r="EJ27">
        <v>446.60732258064508</v>
      </c>
      <c r="EK27">
        <v>4.511265483870968</v>
      </c>
      <c r="EL27">
        <v>433.20258064516139</v>
      </c>
      <c r="EM27">
        <v>30.014529032258061</v>
      </c>
      <c r="EN27">
        <v>3.3755993548387102</v>
      </c>
      <c r="EO27">
        <v>2.9345316129032262</v>
      </c>
      <c r="EP27">
        <v>26.00672580645162</v>
      </c>
      <c r="EQ27">
        <v>23.66101290322581</v>
      </c>
      <c r="ER27">
        <v>199.9894193548387</v>
      </c>
      <c r="ES27">
        <v>0.94998574193548391</v>
      </c>
      <c r="ET27">
        <v>5.0013958064516133E-2</v>
      </c>
      <c r="EU27">
        <v>0</v>
      </c>
      <c r="EV27">
        <v>747.55377419354829</v>
      </c>
      <c r="EW27">
        <v>5.0010700000000003</v>
      </c>
      <c r="EX27">
        <v>5370.5412903225788</v>
      </c>
      <c r="EY27">
        <v>1751.7222580645159</v>
      </c>
      <c r="EZ27">
        <v>38.354677419354822</v>
      </c>
      <c r="FA27">
        <v>41.631000000000007</v>
      </c>
      <c r="FB27">
        <v>40.253999999999998</v>
      </c>
      <c r="FC27">
        <v>41.5</v>
      </c>
      <c r="FD27">
        <v>41</v>
      </c>
      <c r="FE27">
        <v>185.23548387096781</v>
      </c>
      <c r="FF27">
        <v>9.7541935483870983</v>
      </c>
      <c r="FG27">
        <v>0</v>
      </c>
      <c r="FH27">
        <v>149.4000000953674</v>
      </c>
      <c r="FI27">
        <v>0</v>
      </c>
      <c r="FJ27">
        <v>747.43041176470592</v>
      </c>
      <c r="FK27">
        <v>-3.2343137351352822</v>
      </c>
      <c r="FL27">
        <v>50.166667375472223</v>
      </c>
      <c r="FM27">
        <v>5371.2105882352944</v>
      </c>
      <c r="FN27">
        <v>10</v>
      </c>
      <c r="FO27">
        <v>1782924386</v>
      </c>
      <c r="FP27" t="s">
        <v>705</v>
      </c>
      <c r="FQ27">
        <v>1782924383</v>
      </c>
      <c r="FR27">
        <v>1782924386</v>
      </c>
      <c r="FS27">
        <v>27</v>
      </c>
      <c r="FT27">
        <v>-3.1E-2</v>
      </c>
      <c r="FU27">
        <v>2E-3</v>
      </c>
      <c r="FV27">
        <v>-4.5650000000000004</v>
      </c>
      <c r="FW27">
        <v>0.30199999999999999</v>
      </c>
      <c r="FX27">
        <v>433</v>
      </c>
      <c r="FY27">
        <v>30</v>
      </c>
      <c r="FZ27">
        <v>0.61</v>
      </c>
      <c r="GA27">
        <v>0.06</v>
      </c>
      <c r="GB27">
        <v>-13.221640000000001</v>
      </c>
      <c r="GC27">
        <v>-0.94219587242026803</v>
      </c>
      <c r="GD27">
        <v>0.17977701716292879</v>
      </c>
      <c r="GE27">
        <v>1</v>
      </c>
      <c r="GF27">
        <v>747.71038235294111</v>
      </c>
      <c r="GG27">
        <v>-2.692482813219562</v>
      </c>
      <c r="GH27">
        <v>0.32411308980462539</v>
      </c>
      <c r="GI27">
        <v>1</v>
      </c>
      <c r="GJ27">
        <v>4.5272810000000003</v>
      </c>
      <c r="GK27">
        <v>3.8809756097460371E-3</v>
      </c>
      <c r="GL27">
        <v>6.1560028419421688E-2</v>
      </c>
      <c r="GM27">
        <v>1</v>
      </c>
      <c r="GN27">
        <v>3</v>
      </c>
      <c r="GO27">
        <v>3</v>
      </c>
      <c r="GP27" t="s">
        <v>599</v>
      </c>
      <c r="GQ27">
        <v>3.1327400000000001</v>
      </c>
      <c r="GR27">
        <v>2.7230500000000002</v>
      </c>
      <c r="GS27">
        <v>9.1283699999999995E-2</v>
      </c>
      <c r="GT27">
        <v>9.3376700000000007E-2</v>
      </c>
      <c r="GU27">
        <v>0.142766</v>
      </c>
      <c r="GV27">
        <v>0.130858</v>
      </c>
      <c r="GW27">
        <v>22768.400000000001</v>
      </c>
      <c r="GX27">
        <v>30591.4</v>
      </c>
      <c r="GY27">
        <v>27180</v>
      </c>
      <c r="GZ27">
        <v>34698.5</v>
      </c>
      <c r="HA27">
        <v>34123.5</v>
      </c>
      <c r="HB27">
        <v>38523.199999999997</v>
      </c>
      <c r="HC27">
        <v>40135.5</v>
      </c>
      <c r="HD27">
        <v>44405.1</v>
      </c>
      <c r="HE27">
        <v>1.9645999999999999</v>
      </c>
      <c r="HF27">
        <v>1.7554000000000001</v>
      </c>
      <c r="HG27">
        <v>3.40641E-2</v>
      </c>
      <c r="HH27">
        <v>0</v>
      </c>
      <c r="HI27">
        <v>32.346200000000003</v>
      </c>
      <c r="HJ27">
        <v>999.9</v>
      </c>
      <c r="HK27">
        <v>54.9</v>
      </c>
      <c r="HL27">
        <v>40.299999999999997</v>
      </c>
      <c r="HM27">
        <v>42.303400000000003</v>
      </c>
      <c r="HN27">
        <v>59.817300000000003</v>
      </c>
      <c r="HO27">
        <v>7.3677900000000003</v>
      </c>
      <c r="HP27">
        <v>1</v>
      </c>
      <c r="HQ27">
        <v>0.55195099999999997</v>
      </c>
      <c r="HR27">
        <v>0</v>
      </c>
      <c r="HS27">
        <v>20.293600000000001</v>
      </c>
      <c r="HT27">
        <v>5.2100999999999997</v>
      </c>
      <c r="HU27">
        <v>11.908099999999999</v>
      </c>
      <c r="HV27">
        <v>4.9847999999999999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1.8674900000000001</v>
      </c>
      <c r="IC27">
        <v>1.8631</v>
      </c>
      <c r="ID27">
        <v>1.86249</v>
      </c>
      <c r="IE27">
        <v>1.8620300000000001</v>
      </c>
      <c r="IF27">
        <v>1.86209</v>
      </c>
      <c r="IG27">
        <v>1.86267</v>
      </c>
      <c r="IH27">
        <v>1.8635600000000001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-4.5129999999999999</v>
      </c>
      <c r="IX27">
        <v>0.44359999999999999</v>
      </c>
      <c r="IY27">
        <v>-2.578709295654217</v>
      </c>
      <c r="IZ27">
        <v>-5.1825110452525594E-3</v>
      </c>
      <c r="JA27">
        <v>1.5265819664382561E-6</v>
      </c>
      <c r="JB27">
        <v>-1.241475652429701E-10</v>
      </c>
      <c r="JC27">
        <v>-0.24656500901692721</v>
      </c>
      <c r="JD27">
        <v>2.7492919904454862E-4</v>
      </c>
      <c r="JE27">
        <v>8.6739513355948885E-4</v>
      </c>
      <c r="JF27">
        <v>-8.2500691715147318E-6</v>
      </c>
      <c r="JG27">
        <v>21</v>
      </c>
      <c r="JH27">
        <v>1720</v>
      </c>
      <c r="JI27">
        <v>2</v>
      </c>
      <c r="JJ27">
        <v>37</v>
      </c>
      <c r="JK27">
        <v>0.9</v>
      </c>
      <c r="JL27">
        <v>0.8</v>
      </c>
      <c r="JM27">
        <v>1.1254900000000001</v>
      </c>
      <c r="JN27">
        <v>2.5402800000000001</v>
      </c>
      <c r="JO27">
        <v>1.50024</v>
      </c>
      <c r="JP27">
        <v>2.2692899999999998</v>
      </c>
      <c r="JQ27">
        <v>1.4477500000000001</v>
      </c>
      <c r="JR27">
        <v>2.34375</v>
      </c>
      <c r="JS27">
        <v>43.046900000000001</v>
      </c>
      <c r="JT27">
        <v>14.9026</v>
      </c>
      <c r="JU27">
        <v>18</v>
      </c>
      <c r="JV27">
        <v>545.14499999999998</v>
      </c>
      <c r="JW27">
        <v>423.041</v>
      </c>
      <c r="JX27">
        <v>33.389099999999999</v>
      </c>
      <c r="JY27">
        <v>34.151400000000002</v>
      </c>
      <c r="JZ27">
        <v>30</v>
      </c>
      <c r="KA27">
        <v>34.133299999999998</v>
      </c>
      <c r="KB27">
        <v>34.099899999999998</v>
      </c>
      <c r="KC27">
        <v>22.5121</v>
      </c>
      <c r="KD27">
        <v>38.688800000000001</v>
      </c>
      <c r="KE27">
        <v>0</v>
      </c>
      <c r="KF27">
        <v>-999.9</v>
      </c>
      <c r="KG27">
        <v>433.13900000000001</v>
      </c>
      <c r="KH27">
        <v>29.860099999999999</v>
      </c>
      <c r="KI27">
        <v>100.31</v>
      </c>
      <c r="KJ27">
        <v>99.529200000000003</v>
      </c>
    </row>
    <row r="28" spans="1:296" x14ac:dyDescent="0.3">
      <c r="A28">
        <v>12</v>
      </c>
      <c r="B28">
        <v>1782924574.0999999</v>
      </c>
      <c r="C28">
        <v>1797.5</v>
      </c>
      <c r="D28" t="s">
        <v>706</v>
      </c>
      <c r="E28" t="s">
        <v>707</v>
      </c>
      <c r="F28">
        <v>15</v>
      </c>
      <c r="H28">
        <v>1782924566.099999</v>
      </c>
      <c r="I28">
        <f t="shared" si="0"/>
        <v>3.5956748462478028E-3</v>
      </c>
      <c r="J28">
        <f t="shared" si="1"/>
        <v>3.5956748462478028</v>
      </c>
      <c r="K28">
        <f t="shared" si="2"/>
        <v>2.1485351928504972</v>
      </c>
      <c r="L28">
        <f t="shared" si="3"/>
        <v>419.93280645161292</v>
      </c>
      <c r="M28">
        <f t="shared" si="4"/>
        <v>391.80779375128435</v>
      </c>
      <c r="N28">
        <f t="shared" si="5"/>
        <v>38.326959672197091</v>
      </c>
      <c r="O28">
        <f t="shared" si="6"/>
        <v>41.078171477416547</v>
      </c>
      <c r="P28">
        <f t="shared" si="7"/>
        <v>0.21240674517040389</v>
      </c>
      <c r="Q28">
        <f t="shared" si="8"/>
        <v>2.8899104923122598</v>
      </c>
      <c r="R28">
        <f t="shared" si="9"/>
        <v>0.20409912621981419</v>
      </c>
      <c r="S28">
        <f t="shared" si="10"/>
        <v>0.12828128684621612</v>
      </c>
      <c r="T28">
        <f t="shared" si="11"/>
        <v>16.511354963911803</v>
      </c>
      <c r="U28">
        <f t="shared" si="12"/>
        <v>32.496000294029358</v>
      </c>
      <c r="V28">
        <f t="shared" si="13"/>
        <v>32.849612903225797</v>
      </c>
      <c r="W28">
        <f t="shared" si="14"/>
        <v>5.0095734390627991</v>
      </c>
      <c r="X28">
        <f t="shared" si="15"/>
        <v>65.246861311404729</v>
      </c>
      <c r="Y28">
        <f t="shared" si="16"/>
        <v>3.3599593078852013</v>
      </c>
      <c r="Z28">
        <f t="shared" si="17"/>
        <v>5.1496106331445892</v>
      </c>
      <c r="AA28">
        <f t="shared" si="18"/>
        <v>1.6496141311775978</v>
      </c>
      <c r="AB28">
        <f t="shared" si="19"/>
        <v>-158.5692607195281</v>
      </c>
      <c r="AC28">
        <f t="shared" si="20"/>
        <v>76.501235041024842</v>
      </c>
      <c r="AD28">
        <f t="shared" si="21"/>
        <v>6.0682682444543188</v>
      </c>
      <c r="AE28">
        <f t="shared" si="22"/>
        <v>-59.488402470137146</v>
      </c>
      <c r="AF28">
        <f t="shared" si="23"/>
        <v>2.1485351928504972</v>
      </c>
      <c r="AG28">
        <f t="shared" si="24"/>
        <v>3.5956748462478028</v>
      </c>
      <c r="AH28">
        <f t="shared" si="25"/>
        <v>2.2701316655256987</v>
      </c>
      <c r="AI28">
        <v>437.59618835613082</v>
      </c>
      <c r="AJ28">
        <v>434.80920606060602</v>
      </c>
      <c r="AK28">
        <v>-4.2860011705300217E-3</v>
      </c>
      <c r="AL28">
        <v>67.094076991929512</v>
      </c>
      <c r="AM28">
        <f t="shared" si="26"/>
        <v>3.5790319007058278</v>
      </c>
      <c r="AN28">
        <v>30.183826860115591</v>
      </c>
      <c r="AO28">
        <v>34.334079999999993</v>
      </c>
      <c r="AP28">
        <v>-4.4986292656492801E-4</v>
      </c>
      <c r="AQ28">
        <v>78.256440075634387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50621.920908294131</v>
      </c>
      <c r="AW28" t="s">
        <v>663</v>
      </c>
      <c r="AX28">
        <v>5099.1499999999996</v>
      </c>
      <c r="AY28">
        <v>561.92941176470595</v>
      </c>
      <c r="AZ28">
        <v>2562.2800000000002</v>
      </c>
      <c r="BA28">
        <f t="shared" si="30"/>
        <v>0.78069164503305422</v>
      </c>
      <c r="BB28">
        <v>-5.1695636961489324</v>
      </c>
      <c r="BC28" t="s">
        <v>708</v>
      </c>
      <c r="BD28">
        <v>5117.6400000000003</v>
      </c>
      <c r="BE28">
        <v>733.91770588235283</v>
      </c>
      <c r="BF28">
        <v>2066.34</v>
      </c>
      <c r="BG28">
        <f t="shared" si="31"/>
        <v>0.64482238843445283</v>
      </c>
      <c r="BH28">
        <v>0.5</v>
      </c>
      <c r="BI28">
        <f t="shared" si="32"/>
        <v>84.286377265606973</v>
      </c>
      <c r="BJ28">
        <f t="shared" si="33"/>
        <v>2.1485351928504972</v>
      </c>
      <c r="BK28">
        <f t="shared" si="34"/>
        <v>27.174871550448028</v>
      </c>
      <c r="BL28">
        <f t="shared" si="35"/>
        <v>8.6824219125450269E-2</v>
      </c>
      <c r="BM28">
        <f t="shared" si="36"/>
        <v>0.24000890463331301</v>
      </c>
      <c r="BN28">
        <f t="shared" si="37"/>
        <v>533.83072036064038</v>
      </c>
      <c r="BO28" t="s">
        <v>407</v>
      </c>
      <c r="BP28">
        <v>0</v>
      </c>
      <c r="BQ28">
        <f t="shared" si="38"/>
        <v>533.83072036064038</v>
      </c>
      <c r="BR28">
        <f t="shared" si="39"/>
        <v>0.74165397738966465</v>
      </c>
      <c r="BS28">
        <f t="shared" si="40"/>
        <v>0.86943832041995972</v>
      </c>
      <c r="BT28">
        <f t="shared" si="41"/>
        <v>0.24449218670538994</v>
      </c>
      <c r="BU28">
        <f t="shared" si="42"/>
        <v>0.88567729085223146</v>
      </c>
      <c r="BV28">
        <f t="shared" si="43"/>
        <v>0.24792653993594066</v>
      </c>
      <c r="BW28">
        <f t="shared" si="44"/>
        <v>0.63240453415812947</v>
      </c>
      <c r="BX28">
        <f t="shared" si="45"/>
        <v>0.36759546584187053</v>
      </c>
      <c r="DG28">
        <f t="shared" si="46"/>
        <v>100.0009258064516</v>
      </c>
      <c r="DH28">
        <f t="shared" si="47"/>
        <v>84.286377265606973</v>
      </c>
      <c r="DI28">
        <f t="shared" si="48"/>
        <v>0.84285596944112695</v>
      </c>
      <c r="DJ28">
        <f t="shared" si="49"/>
        <v>0.16511202102137504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1782924566.099999</v>
      </c>
      <c r="DQ28">
        <v>419.93280645161292</v>
      </c>
      <c r="DR28">
        <v>424.32316129032262</v>
      </c>
      <c r="DS28">
        <v>34.348100000000002</v>
      </c>
      <c r="DT28">
        <v>30.181322580645158</v>
      </c>
      <c r="DU28">
        <v>424.46351612903231</v>
      </c>
      <c r="DV28">
        <v>33.908558064516143</v>
      </c>
      <c r="DW28">
        <v>499.97922580645161</v>
      </c>
      <c r="DX28">
        <v>97.777990322580635</v>
      </c>
      <c r="DY28">
        <v>4.2829690322580639E-2</v>
      </c>
      <c r="DZ28">
        <v>33.34063225806451</v>
      </c>
      <c r="EA28">
        <v>32.849612903225797</v>
      </c>
      <c r="EB28">
        <v>999.90000000000032</v>
      </c>
      <c r="EC28">
        <v>0</v>
      </c>
      <c r="ED28">
        <v>0</v>
      </c>
      <c r="EE28">
        <v>9997.9032258064508</v>
      </c>
      <c r="EF28">
        <v>0</v>
      </c>
      <c r="EG28">
        <v>884.50141935483884</v>
      </c>
      <c r="EH28">
        <v>-4.3903935483870962</v>
      </c>
      <c r="EI28">
        <v>434.86983870967748</v>
      </c>
      <c r="EJ28">
        <v>437.52845161290321</v>
      </c>
      <c r="EK28">
        <v>4.1667770967741937</v>
      </c>
      <c r="EL28">
        <v>424.32316129032262</v>
      </c>
      <c r="EM28">
        <v>30.181322580645158</v>
      </c>
      <c r="EN28">
        <v>3.3584880645161288</v>
      </c>
      <c r="EO28">
        <v>2.9510687096774189</v>
      </c>
      <c r="EP28">
        <v>25.920841935483871</v>
      </c>
      <c r="EQ28">
        <v>23.754377419354832</v>
      </c>
      <c r="ER28">
        <v>100.0009258064516</v>
      </c>
      <c r="ES28">
        <v>0.89978899999999951</v>
      </c>
      <c r="ET28">
        <v>0.10021099999999999</v>
      </c>
      <c r="EU28">
        <v>0</v>
      </c>
      <c r="EV28">
        <v>733.84638709677427</v>
      </c>
      <c r="EW28">
        <v>5.0010700000000003</v>
      </c>
      <c r="EX28">
        <v>4654.4051612903213</v>
      </c>
      <c r="EY28">
        <v>836.50764516129038</v>
      </c>
      <c r="EZ28">
        <v>37.947161290322569</v>
      </c>
      <c r="FA28">
        <v>41.5</v>
      </c>
      <c r="FB28">
        <v>39.991870967741917</v>
      </c>
      <c r="FC28">
        <v>41.332322580645162</v>
      </c>
      <c r="FD28">
        <v>40.737806451612883</v>
      </c>
      <c r="FE28">
        <v>85.47999999999999</v>
      </c>
      <c r="FF28">
        <v>9.5199999999999978</v>
      </c>
      <c r="FG28">
        <v>0</v>
      </c>
      <c r="FH28">
        <v>137.79999995231631</v>
      </c>
      <c r="FI28">
        <v>0</v>
      </c>
      <c r="FJ28">
        <v>733.91770588235283</v>
      </c>
      <c r="FK28">
        <v>0.3671568867376121</v>
      </c>
      <c r="FL28">
        <v>-178.26715738641181</v>
      </c>
      <c r="FM28">
        <v>4658.6947058823534</v>
      </c>
      <c r="FN28">
        <v>10</v>
      </c>
      <c r="FO28">
        <v>1782924536.5</v>
      </c>
      <c r="FP28" t="s">
        <v>709</v>
      </c>
      <c r="FQ28">
        <v>1782924528</v>
      </c>
      <c r="FR28">
        <v>1782924536.5</v>
      </c>
      <c r="FS28">
        <v>28</v>
      </c>
      <c r="FT28">
        <v>-1.7999999999999999E-2</v>
      </c>
      <c r="FU28">
        <v>1E-3</v>
      </c>
      <c r="FV28">
        <v>-4.5460000000000003</v>
      </c>
      <c r="FW28">
        <v>0.311</v>
      </c>
      <c r="FX28">
        <v>424</v>
      </c>
      <c r="FY28">
        <v>30</v>
      </c>
      <c r="FZ28">
        <v>1.65</v>
      </c>
      <c r="GA28">
        <v>0.06</v>
      </c>
      <c r="GB28">
        <v>-4.3823464999999997</v>
      </c>
      <c r="GC28">
        <v>-0.34152652908067282</v>
      </c>
      <c r="GD28">
        <v>0.1129999132643473</v>
      </c>
      <c r="GE28">
        <v>1</v>
      </c>
      <c r="GF28">
        <v>733.71129411764696</v>
      </c>
      <c r="GG28">
        <v>2.1973720443660811</v>
      </c>
      <c r="GH28">
        <v>0.27354379468827478</v>
      </c>
      <c r="GI28">
        <v>1</v>
      </c>
      <c r="GJ28">
        <v>4.1861502499999999</v>
      </c>
      <c r="GK28">
        <v>-0.38124393996247702</v>
      </c>
      <c r="GL28">
        <v>4.0551731682352349E-2</v>
      </c>
      <c r="GM28">
        <v>1</v>
      </c>
      <c r="GN28">
        <v>3</v>
      </c>
      <c r="GO28">
        <v>3</v>
      </c>
      <c r="GP28" t="s">
        <v>599</v>
      </c>
      <c r="GQ28">
        <v>3.1335199999999999</v>
      </c>
      <c r="GR28">
        <v>2.7216999999999998</v>
      </c>
      <c r="GS28">
        <v>9.1279600000000002E-2</v>
      </c>
      <c r="GT28">
        <v>9.19928E-2</v>
      </c>
      <c r="GU28">
        <v>0.14224600000000001</v>
      </c>
      <c r="GV28">
        <v>0.131551</v>
      </c>
      <c r="GW28">
        <v>22769.1</v>
      </c>
      <c r="GX28">
        <v>30640</v>
      </c>
      <c r="GY28">
        <v>27180.5</v>
      </c>
      <c r="GZ28">
        <v>34700.400000000001</v>
      </c>
      <c r="HA28">
        <v>34144.5</v>
      </c>
      <c r="HB28">
        <v>38494.199999999997</v>
      </c>
      <c r="HC28">
        <v>40136.1</v>
      </c>
      <c r="HD28">
        <v>44407.4</v>
      </c>
      <c r="HE28">
        <v>1.9643999999999999</v>
      </c>
      <c r="HF28">
        <v>1.7564</v>
      </c>
      <c r="HG28">
        <v>2.8163199999999999E-2</v>
      </c>
      <c r="HH28">
        <v>0</v>
      </c>
      <c r="HI28">
        <v>32.351900000000001</v>
      </c>
      <c r="HJ28">
        <v>999.9</v>
      </c>
      <c r="HK28">
        <v>54.9</v>
      </c>
      <c r="HL28">
        <v>40.200000000000003</v>
      </c>
      <c r="HM28">
        <v>42.071899999999999</v>
      </c>
      <c r="HN28">
        <v>59.949199999999998</v>
      </c>
      <c r="HO28">
        <v>7.5601000000000003</v>
      </c>
      <c r="HP28">
        <v>1</v>
      </c>
      <c r="HQ28">
        <v>0.54884100000000002</v>
      </c>
      <c r="HR28">
        <v>0</v>
      </c>
      <c r="HS28">
        <v>20.294699999999999</v>
      </c>
      <c r="HT28">
        <v>5.2100999999999997</v>
      </c>
      <c r="HU28">
        <v>11.908099999999999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1.86249</v>
      </c>
      <c r="IE28">
        <v>1.8620300000000001</v>
      </c>
      <c r="IF28">
        <v>1.86206</v>
      </c>
      <c r="IG28">
        <v>1.86267</v>
      </c>
      <c r="IH28">
        <v>1.8635600000000001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-4.5309999999999997</v>
      </c>
      <c r="IX28">
        <v>0.43890000000000001</v>
      </c>
      <c r="IY28">
        <v>-2.596427572606637</v>
      </c>
      <c r="IZ28">
        <v>-5.1825110452525594E-3</v>
      </c>
      <c r="JA28">
        <v>1.5265819664382561E-6</v>
      </c>
      <c r="JB28">
        <v>-1.241475652429701E-10</v>
      </c>
      <c r="JC28">
        <v>-0.24546505256634121</v>
      </c>
      <c r="JD28">
        <v>2.7492919904454862E-4</v>
      </c>
      <c r="JE28">
        <v>8.6739513355948885E-4</v>
      </c>
      <c r="JF28">
        <v>-8.2500691715147318E-6</v>
      </c>
      <c r="JG28">
        <v>21</v>
      </c>
      <c r="JH28">
        <v>1720</v>
      </c>
      <c r="JI28">
        <v>2</v>
      </c>
      <c r="JJ28">
        <v>37</v>
      </c>
      <c r="JK28">
        <v>0.8</v>
      </c>
      <c r="JL28">
        <v>0.6</v>
      </c>
      <c r="JM28">
        <v>1.1071800000000001</v>
      </c>
      <c r="JN28">
        <v>2.5366200000000001</v>
      </c>
      <c r="JO28">
        <v>1.50024</v>
      </c>
      <c r="JP28">
        <v>2.2692899999999998</v>
      </c>
      <c r="JQ28">
        <v>1.4477500000000001</v>
      </c>
      <c r="JR28">
        <v>2.47803</v>
      </c>
      <c r="JS28">
        <v>43.0199</v>
      </c>
      <c r="JT28">
        <v>14.9026</v>
      </c>
      <c r="JU28">
        <v>18</v>
      </c>
      <c r="JV28">
        <v>544.70600000000002</v>
      </c>
      <c r="JW28">
        <v>423.37200000000001</v>
      </c>
      <c r="JX28">
        <v>33.360399999999998</v>
      </c>
      <c r="JY28">
        <v>34.1175</v>
      </c>
      <c r="JZ28">
        <v>30</v>
      </c>
      <c r="KA28">
        <v>34.096499999999999</v>
      </c>
      <c r="KB28">
        <v>34.057099999999998</v>
      </c>
      <c r="KC28">
        <v>22.150600000000001</v>
      </c>
      <c r="KD28">
        <v>37.825899999999997</v>
      </c>
      <c r="KE28">
        <v>0</v>
      </c>
      <c r="KF28">
        <v>-999.9</v>
      </c>
      <c r="KG28">
        <v>424.49799999999999</v>
      </c>
      <c r="KH28">
        <v>30.2422</v>
      </c>
      <c r="KI28">
        <v>100.312</v>
      </c>
      <c r="KJ28">
        <v>99.534599999999998</v>
      </c>
    </row>
    <row r="29" spans="1:296" x14ac:dyDescent="0.3">
      <c r="A29">
        <v>13</v>
      </c>
      <c r="B29">
        <v>1782924719.0999999</v>
      </c>
      <c r="C29">
        <v>1942.5</v>
      </c>
      <c r="D29" t="s">
        <v>710</v>
      </c>
      <c r="E29" t="s">
        <v>711</v>
      </c>
      <c r="F29">
        <v>15</v>
      </c>
      <c r="H29">
        <v>1782924711.099999</v>
      </c>
      <c r="I29">
        <f t="shared" si="0"/>
        <v>3.3846666991594813E-3</v>
      </c>
      <c r="J29">
        <f t="shared" si="1"/>
        <v>3.3846666991594812</v>
      </c>
      <c r="K29">
        <f t="shared" si="2"/>
        <v>-1.1544025085669467</v>
      </c>
      <c r="L29">
        <f t="shared" si="3"/>
        <v>419.85103225806449</v>
      </c>
      <c r="M29">
        <f t="shared" si="4"/>
        <v>417.63596981894563</v>
      </c>
      <c r="N29">
        <f t="shared" si="5"/>
        <v>40.855169581632886</v>
      </c>
      <c r="O29">
        <f t="shared" si="6"/>
        <v>41.071857697896768</v>
      </c>
      <c r="P29">
        <f t="shared" si="7"/>
        <v>0.19601520513202647</v>
      </c>
      <c r="Q29">
        <f t="shared" si="8"/>
        <v>2.8898370259857979</v>
      </c>
      <c r="R29">
        <f t="shared" si="9"/>
        <v>0.1889171006074043</v>
      </c>
      <c r="S29">
        <f t="shared" si="10"/>
        <v>0.11868950971518388</v>
      </c>
      <c r="T29">
        <f t="shared" si="11"/>
        <v>8.2458254485015416</v>
      </c>
      <c r="U29">
        <f t="shared" si="12"/>
        <v>32.52466111702477</v>
      </c>
      <c r="V29">
        <f t="shared" si="13"/>
        <v>32.92302258064516</v>
      </c>
      <c r="W29">
        <f t="shared" si="14"/>
        <v>5.0302965966938613</v>
      </c>
      <c r="X29">
        <f t="shared" si="15"/>
        <v>65.024843262554597</v>
      </c>
      <c r="Y29">
        <f t="shared" si="16"/>
        <v>3.3527483400010931</v>
      </c>
      <c r="Z29">
        <f t="shared" si="17"/>
        <v>5.1561036855767659</v>
      </c>
      <c r="AA29">
        <f t="shared" si="18"/>
        <v>1.6775482566927682</v>
      </c>
      <c r="AB29">
        <f t="shared" si="19"/>
        <v>-149.26380143293312</v>
      </c>
      <c r="AC29">
        <f t="shared" si="20"/>
        <v>68.565207795900903</v>
      </c>
      <c r="AD29">
        <f t="shared" si="21"/>
        <v>5.4414566512938833</v>
      </c>
      <c r="AE29">
        <f t="shared" si="22"/>
        <v>-67.011311537236793</v>
      </c>
      <c r="AF29">
        <f t="shared" si="23"/>
        <v>-1.1544025085669467</v>
      </c>
      <c r="AG29">
        <f t="shared" si="24"/>
        <v>3.3846666991594812</v>
      </c>
      <c r="AH29">
        <f t="shared" si="25"/>
        <v>-0.92278162086379167</v>
      </c>
      <c r="AI29">
        <v>433.32955476079042</v>
      </c>
      <c r="AJ29">
        <v>434.59646666666657</v>
      </c>
      <c r="AK29">
        <v>-2.4248910961218111E-2</v>
      </c>
      <c r="AL29">
        <v>67.093877913857881</v>
      </c>
      <c r="AM29">
        <f t="shared" si="26"/>
        <v>3.3413196267490393</v>
      </c>
      <c r="AN29">
        <v>30.344655704337399</v>
      </c>
      <c r="AO29">
        <v>34.237364242424228</v>
      </c>
      <c r="AP29">
        <v>-3.364924811824513E-3</v>
      </c>
      <c r="AQ29">
        <v>78.256569946480013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50616.169928669471</v>
      </c>
      <c r="AW29" t="s">
        <v>663</v>
      </c>
      <c r="AX29">
        <v>5099.1499999999996</v>
      </c>
      <c r="AY29">
        <v>561.92941176470595</v>
      </c>
      <c r="AZ29">
        <v>2562.2800000000002</v>
      </c>
      <c r="BA29">
        <f t="shared" si="30"/>
        <v>0.78069164503305422</v>
      </c>
      <c r="BB29">
        <v>-5.1695636961489324</v>
      </c>
      <c r="BC29" t="s">
        <v>712</v>
      </c>
      <c r="BD29">
        <v>5112.82</v>
      </c>
      <c r="BE29">
        <v>710.98370588235298</v>
      </c>
      <c r="BF29">
        <v>2205.1799999999998</v>
      </c>
      <c r="BG29">
        <f t="shared" si="31"/>
        <v>0.67758472964458538</v>
      </c>
      <c r="BH29">
        <v>0.5</v>
      </c>
      <c r="BI29">
        <f t="shared" si="32"/>
        <v>42.160775029643112</v>
      </c>
      <c r="BJ29">
        <f t="shared" si="33"/>
        <v>-1.1544025085669467</v>
      </c>
      <c r="BK29">
        <f t="shared" si="34"/>
        <v>14.283748675033458</v>
      </c>
      <c r="BL29">
        <f t="shared" si="35"/>
        <v>9.5234520351178034E-2</v>
      </c>
      <c r="BM29">
        <f t="shared" si="36"/>
        <v>0.16193689404039596</v>
      </c>
      <c r="BN29">
        <f t="shared" si="37"/>
        <v>542.65741456739215</v>
      </c>
      <c r="BO29" t="s">
        <v>407</v>
      </c>
      <c r="BP29">
        <v>0</v>
      </c>
      <c r="BQ29">
        <f t="shared" si="38"/>
        <v>542.65741456739215</v>
      </c>
      <c r="BR29">
        <f t="shared" si="39"/>
        <v>0.75391695255380864</v>
      </c>
      <c r="BS29">
        <f t="shared" si="40"/>
        <v>0.89875247843856487</v>
      </c>
      <c r="BT29">
        <f t="shared" si="41"/>
        <v>0.17681521417701351</v>
      </c>
      <c r="BU29">
        <f t="shared" si="42"/>
        <v>0.90929302250990329</v>
      </c>
      <c r="BV29">
        <f t="shared" si="43"/>
        <v>0.17851870672082204</v>
      </c>
      <c r="BW29">
        <f t="shared" si="44"/>
        <v>0.68597169281149462</v>
      </c>
      <c r="BX29">
        <f t="shared" si="45"/>
        <v>0.31402830718850538</v>
      </c>
      <c r="DG29">
        <f t="shared" si="46"/>
        <v>50.030425806451611</v>
      </c>
      <c r="DH29">
        <f t="shared" si="47"/>
        <v>42.160775029643112</v>
      </c>
      <c r="DI29">
        <f t="shared" si="48"/>
        <v>0.84270270240646894</v>
      </c>
      <c r="DJ29">
        <f t="shared" si="49"/>
        <v>0.16481621564448512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1782924711.099999</v>
      </c>
      <c r="DQ29">
        <v>419.85103225806449</v>
      </c>
      <c r="DR29">
        <v>420.17103225806437</v>
      </c>
      <c r="DS29">
        <v>34.272977419354838</v>
      </c>
      <c r="DT29">
        <v>30.35038387096774</v>
      </c>
      <c r="DU29">
        <v>424.37825806451599</v>
      </c>
      <c r="DV29">
        <v>33.833183870967751</v>
      </c>
      <c r="DW29">
        <v>499.97493548387092</v>
      </c>
      <c r="DX29">
        <v>97.778596774193517</v>
      </c>
      <c r="DY29">
        <v>4.6237612903225811E-2</v>
      </c>
      <c r="DZ29">
        <v>33.363116129032257</v>
      </c>
      <c r="EA29">
        <v>32.92302258064516</v>
      </c>
      <c r="EB29">
        <v>999.90000000000032</v>
      </c>
      <c r="EC29">
        <v>0</v>
      </c>
      <c r="ED29">
        <v>0</v>
      </c>
      <c r="EE29">
        <v>9997.4193548387102</v>
      </c>
      <c r="EF29">
        <v>0</v>
      </c>
      <c r="EG29">
        <v>874.72493548387104</v>
      </c>
      <c r="EH29">
        <v>-0.31984981935483869</v>
      </c>
      <c r="EI29">
        <v>434.75125806451598</v>
      </c>
      <c r="EJ29">
        <v>433.3224193548387</v>
      </c>
      <c r="EK29">
        <v>3.9225858064516128</v>
      </c>
      <c r="EL29">
        <v>420.17103225806437</v>
      </c>
      <c r="EM29">
        <v>30.35038387096774</v>
      </c>
      <c r="EN29">
        <v>3.3511625806451608</v>
      </c>
      <c r="EO29">
        <v>2.9676177419354839</v>
      </c>
      <c r="EP29">
        <v>25.883977419354839</v>
      </c>
      <c r="EQ29">
        <v>23.84732903225806</v>
      </c>
      <c r="ER29">
        <v>50.030425806451611</v>
      </c>
      <c r="ES29">
        <v>0.89996348387096736</v>
      </c>
      <c r="ET29">
        <v>0.10003688387096769</v>
      </c>
      <c r="EU29">
        <v>0</v>
      </c>
      <c r="EV29">
        <v>711.17948387096783</v>
      </c>
      <c r="EW29">
        <v>5.0010700000000003</v>
      </c>
      <c r="EX29">
        <v>4291.4235483870962</v>
      </c>
      <c r="EY29">
        <v>396.52770967741941</v>
      </c>
      <c r="EZ29">
        <v>37.686999999999983</v>
      </c>
      <c r="FA29">
        <v>41.307999999999979</v>
      </c>
      <c r="FB29">
        <v>39.75</v>
      </c>
      <c r="FC29">
        <v>41.25</v>
      </c>
      <c r="FD29">
        <v>40.436999999999983</v>
      </c>
      <c r="FE29">
        <v>40.523870967741928</v>
      </c>
      <c r="FF29">
        <v>4.5074193548387091</v>
      </c>
      <c r="FG29">
        <v>0</v>
      </c>
      <c r="FH29">
        <v>144.20000004768369</v>
      </c>
      <c r="FI29">
        <v>0</v>
      </c>
      <c r="FJ29">
        <v>710.98370588235298</v>
      </c>
      <c r="FK29">
        <v>-4.0600490267960341</v>
      </c>
      <c r="FL29">
        <v>-10.340686423107639</v>
      </c>
      <c r="FM29">
        <v>4291.8341176470594</v>
      </c>
      <c r="FN29">
        <v>10</v>
      </c>
      <c r="FO29">
        <v>1782924687.5999999</v>
      </c>
      <c r="FP29" t="s">
        <v>713</v>
      </c>
      <c r="FQ29">
        <v>1782924677.5999999</v>
      </c>
      <c r="FR29">
        <v>1782924687.5999999</v>
      </c>
      <c r="FS29">
        <v>29</v>
      </c>
      <c r="FT29">
        <v>3.0000000000000001E-3</v>
      </c>
      <c r="FU29">
        <v>3.0000000000000001E-3</v>
      </c>
      <c r="FV29">
        <v>-4.5250000000000004</v>
      </c>
      <c r="FW29">
        <v>0.32</v>
      </c>
      <c r="FX29">
        <v>419</v>
      </c>
      <c r="FY29">
        <v>30</v>
      </c>
      <c r="FZ29">
        <v>1.77</v>
      </c>
      <c r="GA29">
        <v>0.06</v>
      </c>
      <c r="GB29">
        <v>-0.37784728499999998</v>
      </c>
      <c r="GC29">
        <v>0.55575407279549616</v>
      </c>
      <c r="GD29">
        <v>0.19700225225874521</v>
      </c>
      <c r="GE29">
        <v>1</v>
      </c>
      <c r="GF29">
        <v>711.36320588235287</v>
      </c>
      <c r="GG29">
        <v>-4.2900076424853042</v>
      </c>
      <c r="GH29">
        <v>0.4545878404349179</v>
      </c>
      <c r="GI29">
        <v>1</v>
      </c>
      <c r="GJ29">
        <v>3.9473729999999998</v>
      </c>
      <c r="GK29">
        <v>-0.46040532833021308</v>
      </c>
      <c r="GL29">
        <v>4.6657636095284519E-2</v>
      </c>
      <c r="GM29">
        <v>1</v>
      </c>
      <c r="GN29">
        <v>3</v>
      </c>
      <c r="GO29">
        <v>3</v>
      </c>
      <c r="GP29" t="s">
        <v>599</v>
      </c>
      <c r="GQ29">
        <v>3.13253</v>
      </c>
      <c r="GR29">
        <v>2.7211400000000001</v>
      </c>
      <c r="GS29">
        <v>9.12858E-2</v>
      </c>
      <c r="GT29">
        <v>9.1308500000000001E-2</v>
      </c>
      <c r="GU29">
        <v>0.14200399999999999</v>
      </c>
      <c r="GV29">
        <v>0.13203699999999999</v>
      </c>
      <c r="GW29">
        <v>22770.9</v>
      </c>
      <c r="GX29">
        <v>30665.4</v>
      </c>
      <c r="GY29">
        <v>27182.6</v>
      </c>
      <c r="GZ29">
        <v>34702.699999999997</v>
      </c>
      <c r="HA29">
        <v>34156.300000000003</v>
      </c>
      <c r="HB29">
        <v>38475.199999999997</v>
      </c>
      <c r="HC29">
        <v>40139</v>
      </c>
      <c r="HD29">
        <v>44410.5</v>
      </c>
      <c r="HE29">
        <v>1.9621999999999999</v>
      </c>
      <c r="HF29">
        <v>1.7596000000000001</v>
      </c>
      <c r="HG29">
        <v>3.3080600000000002E-2</v>
      </c>
      <c r="HH29">
        <v>0</v>
      </c>
      <c r="HI29">
        <v>32.392099999999999</v>
      </c>
      <c r="HJ29">
        <v>999.9</v>
      </c>
      <c r="HK29">
        <v>55</v>
      </c>
      <c r="HL29">
        <v>40.200000000000003</v>
      </c>
      <c r="HM29">
        <v>42.150599999999997</v>
      </c>
      <c r="HN29">
        <v>59.669199999999996</v>
      </c>
      <c r="HO29">
        <v>7.7203499999999998</v>
      </c>
      <c r="HP29">
        <v>1</v>
      </c>
      <c r="HQ29">
        <v>0.54426799999999997</v>
      </c>
      <c r="HR29">
        <v>0</v>
      </c>
      <c r="HS29">
        <v>20.293500000000002</v>
      </c>
      <c r="HT29">
        <v>5.2029100000000001</v>
      </c>
      <c r="HU29">
        <v>11.908099999999999</v>
      </c>
      <c r="HV29">
        <v>4.9824000000000002</v>
      </c>
      <c r="HW29">
        <v>3.27</v>
      </c>
      <c r="HX29">
        <v>9999</v>
      </c>
      <c r="HY29">
        <v>9999</v>
      </c>
      <c r="HZ29">
        <v>9999</v>
      </c>
      <c r="IA29">
        <v>999.9</v>
      </c>
      <c r="IB29">
        <v>1.8675200000000001</v>
      </c>
      <c r="IC29">
        <v>1.8631</v>
      </c>
      <c r="ID29">
        <v>1.86249</v>
      </c>
      <c r="IE29">
        <v>1.8620300000000001</v>
      </c>
      <c r="IF29">
        <v>1.8620300000000001</v>
      </c>
      <c r="IG29">
        <v>1.8626400000000001</v>
      </c>
      <c r="IH29">
        <v>1.8635600000000001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-4.5279999999999996</v>
      </c>
      <c r="IX29">
        <v>0.43869999999999998</v>
      </c>
      <c r="IY29">
        <v>-2.5933874998167119</v>
      </c>
      <c r="IZ29">
        <v>-5.1825110452525594E-3</v>
      </c>
      <c r="JA29">
        <v>1.5265819664382561E-6</v>
      </c>
      <c r="JB29">
        <v>-1.241475652429701E-10</v>
      </c>
      <c r="JC29">
        <v>-0.2428956549905914</v>
      </c>
      <c r="JD29">
        <v>2.7492919904454862E-4</v>
      </c>
      <c r="JE29">
        <v>8.6739513355948885E-4</v>
      </c>
      <c r="JF29">
        <v>-8.2500691715147318E-6</v>
      </c>
      <c r="JG29">
        <v>21</v>
      </c>
      <c r="JH29">
        <v>1720</v>
      </c>
      <c r="JI29">
        <v>2</v>
      </c>
      <c r="JJ29">
        <v>37</v>
      </c>
      <c r="JK29">
        <v>0.7</v>
      </c>
      <c r="JL29">
        <v>0.5</v>
      </c>
      <c r="JM29">
        <v>1.09863</v>
      </c>
      <c r="JN29">
        <v>2.5354000000000001</v>
      </c>
      <c r="JO29">
        <v>1.50024</v>
      </c>
      <c r="JP29">
        <v>2.2692899999999998</v>
      </c>
      <c r="JQ29">
        <v>1.4477500000000001</v>
      </c>
      <c r="JR29">
        <v>2.4645999999999999</v>
      </c>
      <c r="JS29">
        <v>42.992899999999999</v>
      </c>
      <c r="JT29">
        <v>14.876300000000001</v>
      </c>
      <c r="JU29">
        <v>18</v>
      </c>
      <c r="JV29">
        <v>542.85599999999999</v>
      </c>
      <c r="JW29">
        <v>425.03300000000002</v>
      </c>
      <c r="JX29">
        <v>33.332799999999999</v>
      </c>
      <c r="JY29">
        <v>34.074399999999997</v>
      </c>
      <c r="JZ29">
        <v>30.0002</v>
      </c>
      <c r="KA29">
        <v>34.050600000000003</v>
      </c>
      <c r="KB29">
        <v>34.011499999999998</v>
      </c>
      <c r="KC29">
        <v>21.980899999999998</v>
      </c>
      <c r="KD29">
        <v>37.685299999999998</v>
      </c>
      <c r="KE29">
        <v>0</v>
      </c>
      <c r="KF29">
        <v>-999.9</v>
      </c>
      <c r="KG29">
        <v>420.34800000000001</v>
      </c>
      <c r="KH29">
        <v>30.407299999999999</v>
      </c>
      <c r="KI29">
        <v>100.319</v>
      </c>
      <c r="KJ29">
        <v>99.541300000000007</v>
      </c>
    </row>
    <row r="30" spans="1:296" x14ac:dyDescent="0.3">
      <c r="A30">
        <v>14</v>
      </c>
      <c r="B30">
        <v>1782924855.5999999</v>
      </c>
      <c r="C30">
        <v>2079</v>
      </c>
      <c r="D30" t="s">
        <v>714</v>
      </c>
      <c r="E30" t="s">
        <v>715</v>
      </c>
      <c r="F30">
        <v>15</v>
      </c>
      <c r="H30">
        <v>1782924847.599999</v>
      </c>
      <c r="I30">
        <f t="shared" si="0"/>
        <v>3.1566859009124065E-3</v>
      </c>
      <c r="J30">
        <f t="shared" si="1"/>
        <v>3.1566859009124064</v>
      </c>
      <c r="K30">
        <f t="shared" si="2"/>
        <v>-2.6751846750382708</v>
      </c>
      <c r="L30">
        <f t="shared" si="3"/>
        <v>419.95232258064522</v>
      </c>
      <c r="M30">
        <f t="shared" si="4"/>
        <v>432.17116713768684</v>
      </c>
      <c r="N30">
        <f t="shared" si="5"/>
        <v>42.278051013007129</v>
      </c>
      <c r="O30">
        <f t="shared" si="6"/>
        <v>41.082716912113654</v>
      </c>
      <c r="P30">
        <f t="shared" si="7"/>
        <v>0.17931872384753786</v>
      </c>
      <c r="Q30">
        <f t="shared" si="8"/>
        <v>2.8897785444928026</v>
      </c>
      <c r="R30">
        <f t="shared" si="9"/>
        <v>0.17335844719463298</v>
      </c>
      <c r="S30">
        <f t="shared" si="10"/>
        <v>0.10886803297261086</v>
      </c>
      <c r="T30">
        <f t="shared" si="11"/>
        <v>4.9323831149566688</v>
      </c>
      <c r="U30">
        <f t="shared" si="12"/>
        <v>32.658980917322125</v>
      </c>
      <c r="V30">
        <f t="shared" si="13"/>
        <v>33.074680645161287</v>
      </c>
      <c r="W30">
        <f t="shared" si="14"/>
        <v>5.0733452072257128</v>
      </c>
      <c r="X30">
        <f t="shared" si="15"/>
        <v>64.993670245519624</v>
      </c>
      <c r="Y30">
        <f t="shared" si="16"/>
        <v>3.3688727119861435</v>
      </c>
      <c r="Z30">
        <f t="shared" si="17"/>
        <v>5.1833858578226373</v>
      </c>
      <c r="AA30">
        <f t="shared" si="18"/>
        <v>1.7044724952395693</v>
      </c>
      <c r="AB30">
        <f t="shared" si="19"/>
        <v>-139.20984823023713</v>
      </c>
      <c r="AC30">
        <f t="shared" si="20"/>
        <v>59.612715990235728</v>
      </c>
      <c r="AD30">
        <f t="shared" si="21"/>
        <v>4.7367676642337422</v>
      </c>
      <c r="AE30">
        <f t="shared" si="22"/>
        <v>-69.927981460810997</v>
      </c>
      <c r="AF30">
        <f t="shared" si="23"/>
        <v>-2.6751846750382708</v>
      </c>
      <c r="AG30">
        <f t="shared" si="24"/>
        <v>3.1566859009124064</v>
      </c>
      <c r="AH30">
        <f t="shared" si="25"/>
        <v>-2.3319942854020566</v>
      </c>
      <c r="AI30">
        <v>431.5733601475128</v>
      </c>
      <c r="AJ30">
        <v>434.68661818181812</v>
      </c>
      <c r="AK30">
        <v>-4.3949058662573079E-2</v>
      </c>
      <c r="AL30">
        <v>67.035696345760797</v>
      </c>
      <c r="AM30">
        <f t="shared" si="26"/>
        <v>3.0921327100199023</v>
      </c>
      <c r="AN30">
        <v>30.843311669085271</v>
      </c>
      <c r="AO30">
        <v>34.413903636363621</v>
      </c>
      <c r="AP30">
        <v>2.04423580743229E-3</v>
      </c>
      <c r="AQ30">
        <v>78.068788705416907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50599.044406514717</v>
      </c>
      <c r="AW30" t="s">
        <v>663</v>
      </c>
      <c r="AX30">
        <v>5099.1499999999996</v>
      </c>
      <c r="AY30">
        <v>561.92941176470595</v>
      </c>
      <c r="AZ30">
        <v>2562.2800000000002</v>
      </c>
      <c r="BA30">
        <f t="shared" si="30"/>
        <v>0.78069164503305422</v>
      </c>
      <c r="BB30">
        <v>-5.1695636961489324</v>
      </c>
      <c r="BC30" t="s">
        <v>716</v>
      </c>
      <c r="BD30">
        <v>5110.99</v>
      </c>
      <c r="BE30">
        <v>699.673</v>
      </c>
      <c r="BF30">
        <v>2308.9</v>
      </c>
      <c r="BG30">
        <f t="shared" si="31"/>
        <v>0.69696695396076058</v>
      </c>
      <c r="BH30">
        <v>0.5</v>
      </c>
      <c r="BI30">
        <f t="shared" si="32"/>
        <v>25.270297827906681</v>
      </c>
      <c r="BJ30">
        <f t="shared" si="33"/>
        <v>-2.6751846750382708</v>
      </c>
      <c r="BK30">
        <f t="shared" si="34"/>
        <v>8.8062812513986728</v>
      </c>
      <c r="BL30">
        <f t="shared" si="35"/>
        <v>9.8707939182103771E-2</v>
      </c>
      <c r="BM30">
        <f t="shared" si="36"/>
        <v>0.10974056910216991</v>
      </c>
      <c r="BN30">
        <f t="shared" si="37"/>
        <v>548.72327569322044</v>
      </c>
      <c r="BO30" t="s">
        <v>407</v>
      </c>
      <c r="BP30">
        <v>0</v>
      </c>
      <c r="BQ30">
        <f t="shared" si="38"/>
        <v>548.72327569322044</v>
      </c>
      <c r="BR30">
        <f t="shared" si="39"/>
        <v>0.76234428702272927</v>
      </c>
      <c r="BS30">
        <f t="shared" si="40"/>
        <v>0.91424172230988399</v>
      </c>
      <c r="BT30">
        <f t="shared" si="41"/>
        <v>0.12583703103136212</v>
      </c>
      <c r="BU30">
        <f t="shared" si="42"/>
        <v>0.92115288650941973</v>
      </c>
      <c r="BV30">
        <f t="shared" si="43"/>
        <v>0.12666779588048688</v>
      </c>
      <c r="BW30">
        <f t="shared" si="44"/>
        <v>0.71700024531644235</v>
      </c>
      <c r="BX30">
        <f t="shared" si="45"/>
        <v>0.28299975468355765</v>
      </c>
      <c r="DG30">
        <f t="shared" si="46"/>
        <v>29.994041935483871</v>
      </c>
      <c r="DH30">
        <f t="shared" si="47"/>
        <v>25.270297827906681</v>
      </c>
      <c r="DI30">
        <f t="shared" si="48"/>
        <v>0.84251058534432277</v>
      </c>
      <c r="DJ30">
        <f t="shared" si="49"/>
        <v>0.16444542971454301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1782924847.599999</v>
      </c>
      <c r="DQ30">
        <v>419.95232258064522</v>
      </c>
      <c r="DR30">
        <v>418.33290322580638</v>
      </c>
      <c r="DS30">
        <v>34.437009677419361</v>
      </c>
      <c r="DT30">
        <v>30.779464516129028</v>
      </c>
      <c r="DU30">
        <v>424.49119354838712</v>
      </c>
      <c r="DV30">
        <v>33.997254838709672</v>
      </c>
      <c r="DW30">
        <v>500.00406451612912</v>
      </c>
      <c r="DX30">
        <v>97.781622580645148</v>
      </c>
      <c r="DY30">
        <v>4.5475170967741931E-2</v>
      </c>
      <c r="DZ30">
        <v>33.457319354838717</v>
      </c>
      <c r="EA30">
        <v>33.074680645161287</v>
      </c>
      <c r="EB30">
        <v>999.90000000000032</v>
      </c>
      <c r="EC30">
        <v>0</v>
      </c>
      <c r="ED30">
        <v>0</v>
      </c>
      <c r="EE30">
        <v>9996.7741935483864</v>
      </c>
      <c r="EF30">
        <v>0</v>
      </c>
      <c r="EG30">
        <v>884.6986451612903</v>
      </c>
      <c r="EH30">
        <v>1.6193983870967741</v>
      </c>
      <c r="EI30">
        <v>434.93006451612899</v>
      </c>
      <c r="EJ30">
        <v>431.6179677419355</v>
      </c>
      <c r="EK30">
        <v>3.6575380645161291</v>
      </c>
      <c r="EL30">
        <v>418.33290322580638</v>
      </c>
      <c r="EM30">
        <v>30.779464516129028</v>
      </c>
      <c r="EN30">
        <v>3.367306774193549</v>
      </c>
      <c r="EO30">
        <v>3.0096661290322579</v>
      </c>
      <c r="EP30">
        <v>25.965141935483871</v>
      </c>
      <c r="EQ30">
        <v>24.08146774193548</v>
      </c>
      <c r="ER30">
        <v>29.994041935483871</v>
      </c>
      <c r="ES30">
        <v>0.89954041935483831</v>
      </c>
      <c r="ET30">
        <v>0.1004595709677419</v>
      </c>
      <c r="EU30">
        <v>0</v>
      </c>
      <c r="EV30">
        <v>699.81493548387095</v>
      </c>
      <c r="EW30">
        <v>5.0010700000000003</v>
      </c>
      <c r="EX30">
        <v>4154.1738709677411</v>
      </c>
      <c r="EY30">
        <v>220.05009677419349</v>
      </c>
      <c r="EZ30">
        <v>37.616870967741932</v>
      </c>
      <c r="FA30">
        <v>41.311999999999983</v>
      </c>
      <c r="FB30">
        <v>39.66299999999999</v>
      </c>
      <c r="FC30">
        <v>41.257935483870973</v>
      </c>
      <c r="FD30">
        <v>40.432999999999993</v>
      </c>
      <c r="FE30">
        <v>22.481935483870981</v>
      </c>
      <c r="FF30">
        <v>2.5100000000000011</v>
      </c>
      <c r="FG30">
        <v>0</v>
      </c>
      <c r="FH30">
        <v>135.80000019073489</v>
      </c>
      <c r="FI30">
        <v>0</v>
      </c>
      <c r="FJ30">
        <v>699.673</v>
      </c>
      <c r="FK30">
        <v>-3.5607842996622172</v>
      </c>
      <c r="FL30">
        <v>49.970590366622233</v>
      </c>
      <c r="FM30">
        <v>4157.2464705882358</v>
      </c>
      <c r="FN30">
        <v>10</v>
      </c>
      <c r="FO30">
        <v>1782924827.0999999</v>
      </c>
      <c r="FP30" t="s">
        <v>717</v>
      </c>
      <c r="FQ30">
        <v>1782924819.0999999</v>
      </c>
      <c r="FR30">
        <v>1782924827.0999999</v>
      </c>
      <c r="FS30">
        <v>30</v>
      </c>
      <c r="FT30">
        <v>-1.0999999999999999E-2</v>
      </c>
      <c r="FU30">
        <v>-5.0000000000000001E-3</v>
      </c>
      <c r="FV30">
        <v>-4.53</v>
      </c>
      <c r="FW30">
        <v>0.32700000000000001</v>
      </c>
      <c r="FX30">
        <v>418</v>
      </c>
      <c r="FY30">
        <v>31</v>
      </c>
      <c r="FZ30">
        <v>1.33</v>
      </c>
      <c r="GA30">
        <v>7.0000000000000007E-2</v>
      </c>
      <c r="GB30">
        <v>1.551111707317073</v>
      </c>
      <c r="GC30">
        <v>0.69720940766550643</v>
      </c>
      <c r="GD30">
        <v>0.1813510878056831</v>
      </c>
      <c r="GE30">
        <v>1</v>
      </c>
      <c r="GF30">
        <v>700.01605882352942</v>
      </c>
      <c r="GG30">
        <v>-3.692223069225633</v>
      </c>
      <c r="GH30">
        <v>0.39406941320298799</v>
      </c>
      <c r="GI30">
        <v>1</v>
      </c>
      <c r="GJ30">
        <v>3.6419992682926829</v>
      </c>
      <c r="GK30">
        <v>2.6634564459932768E-2</v>
      </c>
      <c r="GL30">
        <v>0.1126367652232272</v>
      </c>
      <c r="GM30">
        <v>1</v>
      </c>
      <c r="GN30">
        <v>3</v>
      </c>
      <c r="GO30">
        <v>3</v>
      </c>
      <c r="GP30" t="s">
        <v>599</v>
      </c>
      <c r="GQ30">
        <v>3.1333500000000001</v>
      </c>
      <c r="GR30">
        <v>2.72241</v>
      </c>
      <c r="GS30">
        <v>9.1271900000000003E-2</v>
      </c>
      <c r="GT30">
        <v>9.0997900000000007E-2</v>
      </c>
      <c r="GU30">
        <v>0.14251</v>
      </c>
      <c r="GV30">
        <v>0.13356100000000001</v>
      </c>
      <c r="GW30">
        <v>22770</v>
      </c>
      <c r="GX30">
        <v>30674.7</v>
      </c>
      <c r="GY30">
        <v>27181.3</v>
      </c>
      <c r="GZ30">
        <v>34701.5</v>
      </c>
      <c r="HA30">
        <v>34134.800000000003</v>
      </c>
      <c r="HB30">
        <v>38406.699999999997</v>
      </c>
      <c r="HC30">
        <v>40137.300000000003</v>
      </c>
      <c r="HD30">
        <v>44409.5</v>
      </c>
      <c r="HE30">
        <v>1.9630000000000001</v>
      </c>
      <c r="HF30">
        <v>1.7594000000000001</v>
      </c>
      <c r="HG30">
        <v>2.9474500000000001E-2</v>
      </c>
      <c r="HH30">
        <v>0</v>
      </c>
      <c r="HI30">
        <v>32.594499999999996</v>
      </c>
      <c r="HJ30">
        <v>999.9</v>
      </c>
      <c r="HK30">
        <v>55.1</v>
      </c>
      <c r="HL30">
        <v>40.1</v>
      </c>
      <c r="HM30">
        <v>42.0002</v>
      </c>
      <c r="HN30">
        <v>59.869100000000003</v>
      </c>
      <c r="HO30">
        <v>7.2395899999999997</v>
      </c>
      <c r="HP30">
        <v>1</v>
      </c>
      <c r="HQ30">
        <v>0.54731700000000005</v>
      </c>
      <c r="HR30">
        <v>0</v>
      </c>
      <c r="HS30">
        <v>20.295200000000001</v>
      </c>
      <c r="HT30">
        <v>5.2100999999999997</v>
      </c>
      <c r="HU30">
        <v>11.908099999999999</v>
      </c>
      <c r="HV30">
        <v>4.9847999999999999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1.8674599999999999</v>
      </c>
      <c r="IC30">
        <v>1.8631</v>
      </c>
      <c r="ID30">
        <v>1.86249</v>
      </c>
      <c r="IE30">
        <v>1.8620300000000001</v>
      </c>
      <c r="IF30">
        <v>1.8620300000000001</v>
      </c>
      <c r="IG30">
        <v>1.8626400000000001</v>
      </c>
      <c r="IH30">
        <v>1.8635600000000001</v>
      </c>
      <c r="II30">
        <v>1.8615699999999999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-4.5380000000000003</v>
      </c>
      <c r="IX30">
        <v>0.439</v>
      </c>
      <c r="IY30">
        <v>-2.6044812300736768</v>
      </c>
      <c r="IZ30">
        <v>-5.1825110452525594E-3</v>
      </c>
      <c r="JA30">
        <v>1.5265819664382561E-6</v>
      </c>
      <c r="JB30">
        <v>-1.241475652429701E-10</v>
      </c>
      <c r="JC30">
        <v>-0.24795942013787059</v>
      </c>
      <c r="JD30">
        <v>2.7492919904454862E-4</v>
      </c>
      <c r="JE30">
        <v>8.6739513355948885E-4</v>
      </c>
      <c r="JF30">
        <v>-8.2500691715147318E-6</v>
      </c>
      <c r="JG30">
        <v>21</v>
      </c>
      <c r="JH30">
        <v>1720</v>
      </c>
      <c r="JI30">
        <v>2</v>
      </c>
      <c r="JJ30">
        <v>37</v>
      </c>
      <c r="JK30">
        <v>0.6</v>
      </c>
      <c r="JL30">
        <v>0.5</v>
      </c>
      <c r="JM30">
        <v>1.09497</v>
      </c>
      <c r="JN30">
        <v>2.5366200000000001</v>
      </c>
      <c r="JO30">
        <v>1.50024</v>
      </c>
      <c r="JP30">
        <v>2.2692899999999998</v>
      </c>
      <c r="JQ30">
        <v>1.4477500000000001</v>
      </c>
      <c r="JR30">
        <v>2.47559</v>
      </c>
      <c r="JS30">
        <v>43.046900000000001</v>
      </c>
      <c r="JT30">
        <v>14.8588</v>
      </c>
      <c r="JU30">
        <v>18</v>
      </c>
      <c r="JV30">
        <v>543.46500000000003</v>
      </c>
      <c r="JW30">
        <v>424.99</v>
      </c>
      <c r="JX30">
        <v>33.420900000000003</v>
      </c>
      <c r="JY30">
        <v>34.1021</v>
      </c>
      <c r="JZ30">
        <v>30.000299999999999</v>
      </c>
      <c r="KA30">
        <v>34.059699999999999</v>
      </c>
      <c r="KB30">
        <v>34.023600000000002</v>
      </c>
      <c r="KC30">
        <v>21.905200000000001</v>
      </c>
      <c r="KD30">
        <v>36.738900000000001</v>
      </c>
      <c r="KE30">
        <v>0</v>
      </c>
      <c r="KF30">
        <v>-999.9</v>
      </c>
      <c r="KG30">
        <v>418.678</v>
      </c>
      <c r="KH30">
        <v>30.840800000000002</v>
      </c>
      <c r="KI30">
        <v>100.315</v>
      </c>
      <c r="KJ30">
        <v>99.538499999999999</v>
      </c>
    </row>
    <row r="31" spans="1:296" x14ac:dyDescent="0.3">
      <c r="A31">
        <v>15</v>
      </c>
      <c r="B31">
        <v>1782925022.0999999</v>
      </c>
      <c r="C31">
        <v>2245.5</v>
      </c>
      <c r="D31" t="s">
        <v>718</v>
      </c>
      <c r="E31" t="s">
        <v>719</v>
      </c>
      <c r="F31">
        <v>15</v>
      </c>
      <c r="H31">
        <v>1782925014.349999</v>
      </c>
      <c r="I31">
        <f t="shared" si="0"/>
        <v>2.8764062856350432E-3</v>
      </c>
      <c r="J31">
        <f t="shared" si="1"/>
        <v>2.876406285635043</v>
      </c>
      <c r="K31">
        <f t="shared" si="2"/>
        <v>-5.4210321881325507</v>
      </c>
      <c r="L31">
        <f t="shared" si="3"/>
        <v>420.10736666666668</v>
      </c>
      <c r="M31">
        <f t="shared" si="4"/>
        <v>461.18878756688696</v>
      </c>
      <c r="N31">
        <f t="shared" si="5"/>
        <v>45.118169912430652</v>
      </c>
      <c r="O31">
        <f t="shared" si="6"/>
        <v>41.0991681968883</v>
      </c>
      <c r="P31">
        <f t="shared" si="7"/>
        <v>0.16618790240199938</v>
      </c>
      <c r="Q31">
        <f t="shared" si="8"/>
        <v>2.8875112051569856</v>
      </c>
      <c r="R31">
        <f t="shared" si="9"/>
        <v>0.16105122027793053</v>
      </c>
      <c r="S31">
        <f t="shared" si="10"/>
        <v>0.10110529768308441</v>
      </c>
      <c r="T31">
        <f t="shared" si="11"/>
        <v>1.5966703903835998E-4</v>
      </c>
      <c r="U31">
        <f t="shared" si="12"/>
        <v>32.536649373274614</v>
      </c>
      <c r="V31">
        <f t="shared" si="13"/>
        <v>32.894823333333328</v>
      </c>
      <c r="W31">
        <f t="shared" si="14"/>
        <v>5.022327294424465</v>
      </c>
      <c r="X31">
        <f t="shared" si="15"/>
        <v>65.22962660493549</v>
      </c>
      <c r="Y31">
        <f t="shared" si="16"/>
        <v>3.3498257676272254</v>
      </c>
      <c r="Z31">
        <f t="shared" si="17"/>
        <v>5.1354360617691572</v>
      </c>
      <c r="AA31">
        <f t="shared" si="18"/>
        <v>1.6725015267972396</v>
      </c>
      <c r="AB31">
        <f t="shared" si="19"/>
        <v>-126.8495171965054</v>
      </c>
      <c r="AC31">
        <f t="shared" si="20"/>
        <v>61.7455453832196</v>
      </c>
      <c r="AD31">
        <f t="shared" si="21"/>
        <v>4.9017837378564826</v>
      </c>
      <c r="AE31">
        <f t="shared" si="22"/>
        <v>-60.202028408390284</v>
      </c>
      <c r="AF31">
        <f t="shared" si="23"/>
        <v>-5.4210321881325507</v>
      </c>
      <c r="AG31">
        <f t="shared" si="24"/>
        <v>2.876406285635043</v>
      </c>
      <c r="AH31">
        <f t="shared" si="25"/>
        <v>-5.708701879528407</v>
      </c>
      <c r="AI31">
        <v>428.29044841925622</v>
      </c>
      <c r="AJ31">
        <v>435.16389696969691</v>
      </c>
      <c r="AK31">
        <v>3.8157733959438597E-2</v>
      </c>
      <c r="AL31">
        <v>67.035727688743023</v>
      </c>
      <c r="AM31">
        <f t="shared" si="26"/>
        <v>2.8834695944866899</v>
      </c>
      <c r="AN31">
        <v>30.873613144913019</v>
      </c>
      <c r="AO31">
        <v>34.215801818181809</v>
      </c>
      <c r="AP31">
        <v>1.0242367299340631E-6</v>
      </c>
      <c r="AQ31">
        <v>78.068919547635261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50563.237136252479</v>
      </c>
      <c r="AW31" t="s">
        <v>602</v>
      </c>
      <c r="AX31">
        <v>5106.9799999999996</v>
      </c>
      <c r="AY31">
        <v>578.59411764705885</v>
      </c>
      <c r="AZ31">
        <v>2544.5100000000002</v>
      </c>
      <c r="BA31">
        <f t="shared" si="30"/>
        <v>0.77261079042838943</v>
      </c>
      <c r="BB31">
        <v>-5.4210321881325969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-5.4210321881325507</v>
      </c>
      <c r="BK31" t="e">
        <f t="shared" si="34"/>
        <v>#DIV/0!</v>
      </c>
      <c r="BL31">
        <f t="shared" si="35"/>
        <v>5.4959388233716766E-11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1.2943127540912676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1782925014.349999</v>
      </c>
      <c r="DQ31">
        <v>420.10736666666668</v>
      </c>
      <c r="DR31">
        <v>415.05156666666682</v>
      </c>
      <c r="DS31">
        <v>34.241239999999991</v>
      </c>
      <c r="DT31">
        <v>30.907319999999999</v>
      </c>
      <c r="DU31">
        <v>424.65443333333337</v>
      </c>
      <c r="DV31">
        <v>33.806613333333331</v>
      </c>
      <c r="DW31">
        <v>499.93663333333342</v>
      </c>
      <c r="DX31">
        <v>97.782546666666661</v>
      </c>
      <c r="DY31">
        <v>4.7606903333333332E-2</v>
      </c>
      <c r="DZ31">
        <v>33.291463333333333</v>
      </c>
      <c r="EA31">
        <v>32.894823333333328</v>
      </c>
      <c r="EB31">
        <v>999.9000000000002</v>
      </c>
      <c r="EC31">
        <v>0</v>
      </c>
      <c r="ED31">
        <v>0</v>
      </c>
      <c r="EE31">
        <v>9983.6666666666661</v>
      </c>
      <c r="EF31">
        <v>0</v>
      </c>
      <c r="EG31">
        <v>931.75106666666693</v>
      </c>
      <c r="EH31">
        <v>5.0558076666666656</v>
      </c>
      <c r="EI31">
        <v>435.00233333333341</v>
      </c>
      <c r="EJ31">
        <v>428.28873333333343</v>
      </c>
      <c r="EK31">
        <v>3.3339206666666659</v>
      </c>
      <c r="EL31">
        <v>415.05156666666682</v>
      </c>
      <c r="EM31">
        <v>30.907319999999999</v>
      </c>
      <c r="EN31">
        <v>3.348195333333333</v>
      </c>
      <c r="EO31">
        <v>3.022196333333333</v>
      </c>
      <c r="EP31">
        <v>25.869033333333331</v>
      </c>
      <c r="EQ31">
        <v>24.150673333333341</v>
      </c>
      <c r="ER31">
        <v>1.00021E-2</v>
      </c>
      <c r="ES31">
        <v>0</v>
      </c>
      <c r="ET31">
        <v>0</v>
      </c>
      <c r="EU31">
        <v>0</v>
      </c>
      <c r="EV31">
        <v>579.60333333333324</v>
      </c>
      <c r="EW31">
        <v>1.00021E-2</v>
      </c>
      <c r="EX31">
        <v>4094.253333333334</v>
      </c>
      <c r="EY31">
        <v>4.3216666666666672</v>
      </c>
      <c r="EZ31">
        <v>37.301666666666662</v>
      </c>
      <c r="FA31">
        <v>41.110299999999981</v>
      </c>
      <c r="FB31">
        <v>39.436999999999983</v>
      </c>
      <c r="FC31">
        <v>40.811999999999983</v>
      </c>
      <c r="FD31">
        <v>39.926666666666662</v>
      </c>
      <c r="FE31">
        <v>0</v>
      </c>
      <c r="FF31">
        <v>0</v>
      </c>
      <c r="FG31">
        <v>0</v>
      </c>
      <c r="FH31">
        <v>165.9000000953674</v>
      </c>
      <c r="FI31">
        <v>0</v>
      </c>
      <c r="FJ31">
        <v>578.59411764705885</v>
      </c>
      <c r="FK31">
        <v>10.355392261439279</v>
      </c>
      <c r="FL31">
        <v>278.66421738057488</v>
      </c>
      <c r="FM31">
        <v>4109.9205882352944</v>
      </c>
      <c r="FN31">
        <v>10</v>
      </c>
      <c r="FO31">
        <v>1782924981.0999999</v>
      </c>
      <c r="FP31" t="s">
        <v>720</v>
      </c>
      <c r="FQ31">
        <v>1782924970.0999999</v>
      </c>
      <c r="FR31">
        <v>1782924981.0999999</v>
      </c>
      <c r="FS31">
        <v>31</v>
      </c>
      <c r="FT31">
        <v>-8.0000000000000002E-3</v>
      </c>
      <c r="FU31">
        <v>1E-3</v>
      </c>
      <c r="FV31">
        <v>-4.5279999999999996</v>
      </c>
      <c r="FW31">
        <v>0.33400000000000002</v>
      </c>
      <c r="FX31">
        <v>415</v>
      </c>
      <c r="FY31">
        <v>31</v>
      </c>
      <c r="FZ31">
        <v>1.68</v>
      </c>
      <c r="GA31">
        <v>7.0000000000000007E-2</v>
      </c>
      <c r="GB31">
        <v>5.0979409999999996</v>
      </c>
      <c r="GC31">
        <v>-0.43403549718576079</v>
      </c>
      <c r="GD31">
        <v>0.13520344804774759</v>
      </c>
      <c r="GE31">
        <v>1</v>
      </c>
      <c r="GF31">
        <v>579.17794117647054</v>
      </c>
      <c r="GG31">
        <v>-2.7051185500170951</v>
      </c>
      <c r="GH31">
        <v>4.0931648760368997</v>
      </c>
      <c r="GI31">
        <v>1</v>
      </c>
      <c r="GJ31">
        <v>3.3238534999999998</v>
      </c>
      <c r="GK31">
        <v>0.27384968105065538</v>
      </c>
      <c r="GL31">
        <v>4.9355585932597319E-2</v>
      </c>
      <c r="GM31">
        <v>1</v>
      </c>
      <c r="GN31">
        <v>3</v>
      </c>
      <c r="GO31">
        <v>3</v>
      </c>
      <c r="GP31" t="s">
        <v>599</v>
      </c>
      <c r="GQ31">
        <v>3.1344500000000002</v>
      </c>
      <c r="GR31">
        <v>2.72234</v>
      </c>
      <c r="GS31">
        <v>9.1358200000000001E-2</v>
      </c>
      <c r="GT31">
        <v>9.0480900000000003E-2</v>
      </c>
      <c r="GU31">
        <v>0.14193800000000001</v>
      </c>
      <c r="GV31">
        <v>0.133219</v>
      </c>
      <c r="GW31">
        <v>22768.3</v>
      </c>
      <c r="GX31">
        <v>30691.9</v>
      </c>
      <c r="GY31">
        <v>27181.7</v>
      </c>
      <c r="GZ31">
        <v>34701.199999999997</v>
      </c>
      <c r="HA31">
        <v>34158.5</v>
      </c>
      <c r="HB31">
        <v>38420.800000000003</v>
      </c>
      <c r="HC31">
        <v>40138.400000000001</v>
      </c>
      <c r="HD31">
        <v>44408.3</v>
      </c>
      <c r="HE31">
        <v>1.9650000000000001</v>
      </c>
      <c r="HF31">
        <v>1.7576000000000001</v>
      </c>
      <c r="HG31">
        <v>2.8610199999999999E-2</v>
      </c>
      <c r="HH31">
        <v>0</v>
      </c>
      <c r="HI31">
        <v>32.409300000000002</v>
      </c>
      <c r="HJ31">
        <v>999.9</v>
      </c>
      <c r="HK31">
        <v>55.2</v>
      </c>
      <c r="HL31">
        <v>40.1</v>
      </c>
      <c r="HM31">
        <v>42.073799999999999</v>
      </c>
      <c r="HN31">
        <v>60.149099999999997</v>
      </c>
      <c r="HO31">
        <v>7.2035299999999998</v>
      </c>
      <c r="HP31">
        <v>1</v>
      </c>
      <c r="HQ31">
        <v>0.54658499999999999</v>
      </c>
      <c r="HR31">
        <v>0</v>
      </c>
      <c r="HS31">
        <v>20.296199999999999</v>
      </c>
      <c r="HT31">
        <v>5.2088999999999999</v>
      </c>
      <c r="HU31">
        <v>11.908099999999999</v>
      </c>
      <c r="HV31">
        <v>4.9836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1.8674599999999999</v>
      </c>
      <c r="IC31">
        <v>1.8631</v>
      </c>
      <c r="ID31">
        <v>1.86252</v>
      </c>
      <c r="IE31">
        <v>1.8620300000000001</v>
      </c>
      <c r="IF31">
        <v>1.86209</v>
      </c>
      <c r="IG31">
        <v>1.86267</v>
      </c>
      <c r="IH31">
        <v>1.8635600000000001</v>
      </c>
      <c r="II31">
        <v>1.8615699999999999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-4.548</v>
      </c>
      <c r="IX31">
        <v>0.4335</v>
      </c>
      <c r="IY31">
        <v>-2.6120121038995299</v>
      </c>
      <c r="IZ31">
        <v>-5.1825110452525594E-3</v>
      </c>
      <c r="JA31">
        <v>1.5265819664382561E-6</v>
      </c>
      <c r="JB31">
        <v>-1.241475652429701E-10</v>
      </c>
      <c r="JC31">
        <v>-0.24724231141037961</v>
      </c>
      <c r="JD31">
        <v>2.7492919904454862E-4</v>
      </c>
      <c r="JE31">
        <v>8.6739513355948885E-4</v>
      </c>
      <c r="JF31">
        <v>-8.2500691715147318E-6</v>
      </c>
      <c r="JG31">
        <v>21</v>
      </c>
      <c r="JH31">
        <v>1720</v>
      </c>
      <c r="JI31">
        <v>2</v>
      </c>
      <c r="JJ31">
        <v>37</v>
      </c>
      <c r="JK31">
        <v>0.9</v>
      </c>
      <c r="JL31">
        <v>0.7</v>
      </c>
      <c r="JM31">
        <v>1.08643</v>
      </c>
      <c r="JN31">
        <v>2.5390600000000001</v>
      </c>
      <c r="JO31">
        <v>1.50024</v>
      </c>
      <c r="JP31">
        <v>2.2692899999999998</v>
      </c>
      <c r="JQ31">
        <v>1.4477500000000001</v>
      </c>
      <c r="JR31">
        <v>2.4572799999999999</v>
      </c>
      <c r="JS31">
        <v>43.046900000000001</v>
      </c>
      <c r="JT31">
        <v>14.8325</v>
      </c>
      <c r="JU31">
        <v>18</v>
      </c>
      <c r="JV31">
        <v>544.73099999999999</v>
      </c>
      <c r="JW31">
        <v>423.78399999999999</v>
      </c>
      <c r="JX31">
        <v>33.349899999999998</v>
      </c>
      <c r="JY31">
        <v>34.092799999999997</v>
      </c>
      <c r="JZ31">
        <v>30.0002</v>
      </c>
      <c r="KA31">
        <v>34.050600000000003</v>
      </c>
      <c r="KB31">
        <v>34.008400000000002</v>
      </c>
      <c r="KC31">
        <v>21.7378</v>
      </c>
      <c r="KD31">
        <v>37.169600000000003</v>
      </c>
      <c r="KE31">
        <v>0</v>
      </c>
      <c r="KF31">
        <v>-999.9</v>
      </c>
      <c r="KG31">
        <v>414.738</v>
      </c>
      <c r="KH31">
        <v>30.830100000000002</v>
      </c>
      <c r="KI31">
        <v>100.31699999999999</v>
      </c>
      <c r="KJ31">
        <v>99.536600000000007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FDA9-0924-4A37-833E-47098D8B9312}">
  <dimension ref="A2:KJ31"/>
  <sheetViews>
    <sheetView workbookViewId="0">
      <selection activeCell="L34" sqref="L3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721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591</v>
      </c>
      <c r="G13" t="s">
        <v>592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1782919594.5</v>
      </c>
      <c r="C17">
        <v>0</v>
      </c>
      <c r="D17" t="s">
        <v>722</v>
      </c>
      <c r="E17" t="s">
        <v>723</v>
      </c>
      <c r="F17">
        <v>15</v>
      </c>
      <c r="H17">
        <v>1782919586.75</v>
      </c>
      <c r="I17">
        <f t="shared" ref="I17:I31" si="0">(J17)/1000</f>
        <v>5.3292723652906765E-3</v>
      </c>
      <c r="J17">
        <f t="shared" ref="J17:J31" si="1">IF(DO17, AM17, AG17)</f>
        <v>5.3292723652906764</v>
      </c>
      <c r="K17">
        <f t="shared" ref="K17:K31" si="2">IF(DO17, AH17, AF17)</f>
        <v>53.692596431635714</v>
      </c>
      <c r="L17">
        <f t="shared" ref="L17:L31" si="3">DQ17 - IF(AT17&gt;1, K17*DK17*100/(AV17), 0)</f>
        <v>419.25519999999989</v>
      </c>
      <c r="M17">
        <f t="shared" ref="M17:M31" si="4">((S17-I17/2)*L17-K17)/(S17+I17/2)</f>
        <v>121.0827323130146</v>
      </c>
      <c r="N17">
        <f t="shared" ref="N17:N31" si="5">M17*(DX17+DY17)/1000</f>
        <v>11.843157538541348</v>
      </c>
      <c r="O17">
        <f t="shared" ref="O17:O31" si="6">(DQ17 - IF(AT17&gt;1, K17*DK17*100/(AV17), 0))*(DX17+DY17)/1000</f>
        <v>41.007543252465595</v>
      </c>
      <c r="P17">
        <f t="shared" ref="P17:P31" si="7">2/((1/R17-1/Q17)+SIGN(R17)*SQRT((1/R17-1/Q17)*(1/R17-1/Q17) + 4*DL17/((DL17+1)*(DL17+1))*(2*1/R17*1/Q17-1/Q17*1/Q17)))</f>
        <v>0.31092347832042083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2.8898539461567627</v>
      </c>
      <c r="R17">
        <f t="shared" ref="R17:R31" si="9">I17*(1000-(1000*0.61365*EXP(17.502*V17/(240.97+V17))/(DX17+DY17)+DS17)/2)/(1000*0.61365*EXP(17.502*V17/(240.97+V17))/(DX17+DY17)-DS17)</f>
        <v>0.29346239872253777</v>
      </c>
      <c r="S17">
        <f t="shared" ref="S17:S31" si="10">1/((DL17+1)/(P17/1.6)+1/(Q17/1.37)) + DL17/((DL17+1)/(P17/1.6) + DL17/(Q17/1.37))</f>
        <v>0.18490104356251125</v>
      </c>
      <c r="T17">
        <f t="shared" ref="T17:T31" si="11">(DG17*DJ17)</f>
        <v>319.77702639131934</v>
      </c>
      <c r="U17">
        <f t="shared" ref="U17:U31" si="12">(DZ17+(T17+2*0.95*0.0000000567*(((DZ17+$B$7)+273)^4-(DZ17+273)^4)-44100*I17)/(1.84*29.3*Q17+8*0.95*0.0000000567*(DZ17+273)^3))</f>
        <v>34.36531958796418</v>
      </c>
      <c r="V17">
        <f t="shared" ref="V17:V31" si="13">($C$7*EA17+$D$7*EB17+$E$7*U17)</f>
        <v>33.254393333333333</v>
      </c>
      <c r="W17">
        <f t="shared" ref="W17:W31" si="14">0.61365*EXP(17.502*V17/(240.97+V17))</f>
        <v>5.1247718593561791</v>
      </c>
      <c r="X17">
        <f t="shared" ref="X17:X31" si="15">(Y17/Z17*100)</f>
        <v>64.621819591712253</v>
      </c>
      <c r="Y17">
        <f t="shared" ref="Y17:Y31" si="16">DS17*(DX17+DY17)/1000</f>
        <v>3.4261780908258368</v>
      </c>
      <c r="Z17">
        <f t="shared" ref="Z17:Z31" si="17">0.61365*EXP(17.502*DZ17/(240.97+DZ17))</f>
        <v>5.3018904643552371</v>
      </c>
      <c r="AA17">
        <f t="shared" ref="AA17:AA31" si="18">(W17-DS17*(DX17+DY17)/1000)</f>
        <v>1.6985937685303423</v>
      </c>
      <c r="AB17">
        <f t="shared" ref="AB17:AB31" si="19">(-I17*44100)</f>
        <v>-235.02091130931885</v>
      </c>
      <c r="AC17">
        <f t="shared" ref="AC17:AC31" si="20">2*29.3*Q17*0.92*(DZ17-V17)</f>
        <v>94.596273161768195</v>
      </c>
      <c r="AD17">
        <f t="shared" ref="AD17:AD31" si="21">2*0.95*0.0000000567*(((DZ17+$B$7)+273)^4-(V17+273)^4)</f>
        <v>7.5378526499716081</v>
      </c>
      <c r="AE17">
        <f t="shared" ref="AE17:AE31" si="22">T17+AD17+AB17+AC17</f>
        <v>186.89024089374033</v>
      </c>
      <c r="AF17">
        <f t="shared" ref="AF17:AF31" si="23">DW17*AT17*(DR17-DQ17*(1000-AT17*DT17)/(1000-AT17*DS17))/(100*DK17)</f>
        <v>53.692596431635714</v>
      </c>
      <c r="AG17">
        <f t="shared" ref="AG17:AG31" si="24">1000*DW17*AT17*(DS17-DT17)/(100*DK17*(1000-AT17*DS17))</f>
        <v>5.3292723652906764</v>
      </c>
      <c r="AH17">
        <f t="shared" ref="AH17:AH31" si="25">(AI17 - AJ17 - DX17*1000/(8.314*(DZ17+273.15)) * AL17/DW17 * AK17) * DW17/(100*DK17) * (1000 - DT17)/1000</f>
        <v>53.999330765853912</v>
      </c>
      <c r="AI17">
        <v>500.96590496715089</v>
      </c>
      <c r="AJ17">
        <v>434.46932121212132</v>
      </c>
      <c r="AK17">
        <v>-4.5172105338779758E-2</v>
      </c>
      <c r="AL17">
        <v>67.092596807075807</v>
      </c>
      <c r="AM17">
        <f t="shared" ref="AM17:AM31" si="26">(AO17 - AN17 + DX17*1000/(8.314*(DZ17+273.15)) * AQ17/DW17 * AP17) * DW17/(100*DK17) * 1000/(1000 - AO17)</f>
        <v>5.5944996177039066</v>
      </c>
      <c r="AN17">
        <v>28.891706046477029</v>
      </c>
      <c r="AO17">
        <v>35.283288484848477</v>
      </c>
      <c r="AP17">
        <v>1.4234879975818741E-2</v>
      </c>
      <c r="AQ17">
        <v>78.259086060920296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50534.116476403426</v>
      </c>
      <c r="AW17" t="s">
        <v>724</v>
      </c>
      <c r="AX17">
        <v>5111.67</v>
      </c>
      <c r="AY17">
        <v>545.84117647058815</v>
      </c>
      <c r="AZ17">
        <v>2426.21</v>
      </c>
      <c r="BA17">
        <f t="shared" ref="BA17:BA31" si="30">1-AY17/AZ17</f>
        <v>0.77502311157295201</v>
      </c>
      <c r="BB17">
        <v>-5.2289110739545492</v>
      </c>
      <c r="BC17" t="s">
        <v>725</v>
      </c>
      <c r="BD17">
        <v>5088.1000000000004</v>
      </c>
      <c r="BE17">
        <v>789.70111764705882</v>
      </c>
      <c r="BF17">
        <v>982</v>
      </c>
      <c r="BG17">
        <f t="shared" ref="BG17:BG31" si="31">1-BE17/BF17</f>
        <v>0.19582370911704805</v>
      </c>
      <c r="BH17">
        <v>0.5</v>
      </c>
      <c r="BI17">
        <f t="shared" ref="BI17:BI31" si="32">DH17</f>
        <v>1680.2992298400616</v>
      </c>
      <c r="BJ17">
        <f t="shared" ref="BJ17:BJ31" si="33">K17</f>
        <v>53.692596431635714</v>
      </c>
      <c r="BK17">
        <f t="shared" ref="BK17:BK31" si="34">BG17*BH17*BI17</f>
        <v>164.52121380690005</v>
      </c>
      <c r="BL17">
        <f t="shared" ref="BL17:BL31" si="35">(BJ17-BB17)/BI17</f>
        <v>3.5066080171445815E-2</v>
      </c>
      <c r="BM17">
        <f t="shared" ref="BM17:BM31" si="36">(AZ17-BF17)/BF17</f>
        <v>1.4706822810590632</v>
      </c>
      <c r="BN17">
        <f t="shared" ref="BN17:BN31" si="37">AY17/(BA17+AY17/BF17)</f>
        <v>410.13876029901809</v>
      </c>
      <c r="BO17" t="s">
        <v>407</v>
      </c>
      <c r="BP17">
        <v>0</v>
      </c>
      <c r="BQ17">
        <f t="shared" ref="BQ17:BQ31" si="38">IF(BP17&lt;&gt;0, BP17, BN17)</f>
        <v>410.13876029901809</v>
      </c>
      <c r="BR17">
        <f t="shared" ref="BR17:BR31" si="39">1-BQ17/BF17</f>
        <v>0.58234342128409566</v>
      </c>
      <c r="BS17">
        <f t="shared" ref="BS17:BS31" si="40">(BF17-BE17)/(BF17-BQ17)</f>
        <v>0.33626843192500949</v>
      </c>
      <c r="BT17">
        <f t="shared" ref="BT17:BT31" si="41">(AZ17-BF17)/(AZ17-BQ17)</f>
        <v>0.71634869421290948</v>
      </c>
      <c r="BU17">
        <f t="shared" ref="BU17:BU31" si="42">(BF17-BE17)/(BF17-AY17)</f>
        <v>0.44089187694714543</v>
      </c>
      <c r="BV17">
        <f t="shared" ref="BV17:BV31" si="43">(AZ17-BF17)/(AZ17-AY17)</f>
        <v>0.76804613112508902</v>
      </c>
      <c r="BW17">
        <f t="shared" ref="BW17:BW31" si="44">(BS17*BQ17/BE17)</f>
        <v>0.17464419729877764</v>
      </c>
      <c r="BX17">
        <f t="shared" ref="BX17:BX31" si="45">(1-BW17)</f>
        <v>0.82535580270122233</v>
      </c>
      <c r="DG17">
        <f t="shared" ref="DG17:DG31" si="46">$B$11*EF17+$C$11*EG17+$F$11*ER17*(1-EU17)</f>
        <v>2000.0003333333329</v>
      </c>
      <c r="DH17">
        <f t="shared" ref="DH17:DH31" si="47">DG17*DI17</f>
        <v>1680.2992298400616</v>
      </c>
      <c r="DI17">
        <f t="shared" ref="DI17:DI31" si="48">($B$11*$D$9+$C$11*$D$9+$F$11*((FE17+EW17)/MAX(FE17+EW17+FF17, 0.1)*$I$9+FF17/MAX(FE17+EW17+FF17, 0.1)*$J$9))/($B$11+$C$11+$F$11)</f>
        <v>0.84014947489511849</v>
      </c>
      <c r="DJ17">
        <f t="shared" ref="DJ17:DJ31" si="49">($B$11*$K$9+$C$11*$K$9+$F$11*((FE17+EW17)/MAX(FE17+EW17+FF17, 0.1)*$P$9+FF17/MAX(FE17+EW17+FF17, 0.1)*$Q$9))/($B$11+$C$11+$F$11)</f>
        <v>0.15988848654757862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1782919586.75</v>
      </c>
      <c r="DQ17">
        <v>419.25519999999989</v>
      </c>
      <c r="DR17">
        <v>486.3716</v>
      </c>
      <c r="DS17">
        <v>35.028750000000002</v>
      </c>
      <c r="DT17">
        <v>28.85726</v>
      </c>
      <c r="DU17">
        <v>424.05266666666671</v>
      </c>
      <c r="DV17">
        <v>34.713749999999997</v>
      </c>
      <c r="DW17">
        <v>499.96949999999993</v>
      </c>
      <c r="DX17">
        <v>97.764089999999982</v>
      </c>
      <c r="DY17">
        <v>4.636829E-2</v>
      </c>
      <c r="DZ17">
        <v>33.861566666666661</v>
      </c>
      <c r="EA17">
        <v>33.254393333333333</v>
      </c>
      <c r="EB17">
        <v>999.9000000000002</v>
      </c>
      <c r="EC17">
        <v>0</v>
      </c>
      <c r="ED17">
        <v>0</v>
      </c>
      <c r="EE17">
        <v>9999</v>
      </c>
      <c r="EF17">
        <v>0</v>
      </c>
      <c r="EG17">
        <v>1680.054000000001</v>
      </c>
      <c r="EH17">
        <v>-67.11639666666666</v>
      </c>
      <c r="EI17">
        <v>434.55266666666671</v>
      </c>
      <c r="EJ17">
        <v>500.82403333333338</v>
      </c>
      <c r="EK17">
        <v>6.3455303333333326</v>
      </c>
      <c r="EL17">
        <v>486.3716</v>
      </c>
      <c r="EM17">
        <v>28.85726</v>
      </c>
      <c r="EN17">
        <v>3.441567</v>
      </c>
      <c r="EO17">
        <v>2.821202</v>
      </c>
      <c r="EP17">
        <v>26.33419</v>
      </c>
      <c r="EQ17">
        <v>23.008669999999999</v>
      </c>
      <c r="ER17">
        <v>2000.0003333333329</v>
      </c>
      <c r="ES17">
        <v>0.99500566666666634</v>
      </c>
      <c r="ET17">
        <v>4.9942463333333331E-3</v>
      </c>
      <c r="EU17">
        <v>0</v>
      </c>
      <c r="EV17">
        <v>789.72183333333339</v>
      </c>
      <c r="EW17">
        <v>5.0010700000000003</v>
      </c>
      <c r="EX17">
        <v>22039.736666666671</v>
      </c>
      <c r="EY17">
        <v>18241.683333333331</v>
      </c>
      <c r="EZ17">
        <v>41.612400000000001</v>
      </c>
      <c r="FA17">
        <v>42.737400000000001</v>
      </c>
      <c r="FB17">
        <v>42.066199999999988</v>
      </c>
      <c r="FC17">
        <v>42.375</v>
      </c>
      <c r="FD17">
        <v>43.278933333333313</v>
      </c>
      <c r="FE17">
        <v>1985.035333333333</v>
      </c>
      <c r="FF17">
        <v>9.9649999999999999</v>
      </c>
      <c r="FG17">
        <v>0</v>
      </c>
      <c r="FH17">
        <v>1782919602.5</v>
      </c>
      <c r="FI17">
        <v>0</v>
      </c>
      <c r="FJ17">
        <v>789.70111764705882</v>
      </c>
      <c r="FK17">
        <v>0.93259807574218812</v>
      </c>
      <c r="FL17">
        <v>623.7254862382996</v>
      </c>
      <c r="FM17">
        <v>22232.829411764709</v>
      </c>
      <c r="FN17">
        <v>10</v>
      </c>
      <c r="FO17">
        <v>1782919626</v>
      </c>
      <c r="FP17" t="s">
        <v>726</v>
      </c>
      <c r="FQ17">
        <v>1782919354.5999999</v>
      </c>
      <c r="FR17">
        <v>1782919626</v>
      </c>
      <c r="FS17">
        <v>2</v>
      </c>
      <c r="FT17">
        <v>-0.125</v>
      </c>
      <c r="FU17">
        <v>8.0000000000000002E-3</v>
      </c>
      <c r="FV17">
        <v>-4.798</v>
      </c>
      <c r="FW17">
        <v>0.315</v>
      </c>
      <c r="FX17">
        <v>464</v>
      </c>
      <c r="FY17">
        <v>29</v>
      </c>
      <c r="FZ17">
        <v>0.21</v>
      </c>
      <c r="GA17">
        <v>0.04</v>
      </c>
      <c r="GB17">
        <v>-67.028839999999988</v>
      </c>
      <c r="GC17">
        <v>-2.4395572232644001</v>
      </c>
      <c r="GD17">
        <v>0.28439268257112399</v>
      </c>
      <c r="GE17">
        <v>0</v>
      </c>
      <c r="GF17">
        <v>789.75926470588229</v>
      </c>
      <c r="GG17">
        <v>-0.86815889386594403</v>
      </c>
      <c r="GH17">
        <v>0.2807633825654986</v>
      </c>
      <c r="GI17">
        <v>1</v>
      </c>
      <c r="GJ17">
        <v>6.3340672499999986</v>
      </c>
      <c r="GK17">
        <v>0.298730318949323</v>
      </c>
      <c r="GL17">
        <v>2.9937072501123211E-2</v>
      </c>
      <c r="GM17">
        <v>1</v>
      </c>
      <c r="GN17">
        <v>2</v>
      </c>
      <c r="GO17">
        <v>3</v>
      </c>
      <c r="GP17" t="s">
        <v>598</v>
      </c>
      <c r="GQ17">
        <v>3.1339999999999999</v>
      </c>
      <c r="GR17">
        <v>2.7225000000000001</v>
      </c>
      <c r="GS17">
        <v>9.1397800000000001E-2</v>
      </c>
      <c r="GT17">
        <v>0.102113</v>
      </c>
      <c r="GU17">
        <v>0.145098</v>
      </c>
      <c r="GV17">
        <v>0.12782399999999999</v>
      </c>
      <c r="GW17">
        <v>22802.5</v>
      </c>
      <c r="GX17">
        <v>30342.3</v>
      </c>
      <c r="GY17">
        <v>27219.9</v>
      </c>
      <c r="GZ17">
        <v>34745.1</v>
      </c>
      <c r="HA17">
        <v>34065.4</v>
      </c>
      <c r="HB17">
        <v>38689.1</v>
      </c>
      <c r="HC17">
        <v>40184.9</v>
      </c>
      <c r="HD17">
        <v>44443</v>
      </c>
      <c r="HE17">
        <v>1.9756</v>
      </c>
      <c r="HF17">
        <v>1.7931999999999999</v>
      </c>
      <c r="HG17">
        <v>7.3820399999999994E-2</v>
      </c>
      <c r="HH17">
        <v>0</v>
      </c>
      <c r="HI17">
        <v>32.087299999999999</v>
      </c>
      <c r="HJ17">
        <v>999.9</v>
      </c>
      <c r="HK17">
        <v>56.4</v>
      </c>
      <c r="HL17">
        <v>37.6</v>
      </c>
      <c r="HM17">
        <v>37.582900000000002</v>
      </c>
      <c r="HN17">
        <v>60.12</v>
      </c>
      <c r="HO17">
        <v>5.0881400000000001</v>
      </c>
      <c r="HP17">
        <v>1</v>
      </c>
      <c r="HQ17">
        <v>0.47390199999999999</v>
      </c>
      <c r="HR17">
        <v>0</v>
      </c>
      <c r="HS17">
        <v>20.279800000000002</v>
      </c>
      <c r="HT17">
        <v>5.2112999999999996</v>
      </c>
      <c r="HU17">
        <v>11.902100000000001</v>
      </c>
      <c r="HV17">
        <v>4.9851999999999999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1.8629500000000001</v>
      </c>
      <c r="ID17">
        <v>1.8623700000000001</v>
      </c>
      <c r="IE17">
        <v>1.86188</v>
      </c>
      <c r="IF17">
        <v>1.86188</v>
      </c>
      <c r="IG17">
        <v>1.8626100000000001</v>
      </c>
      <c r="IH17">
        <v>1.8634599999999999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-4.798</v>
      </c>
      <c r="IX17">
        <v>0.315</v>
      </c>
      <c r="IY17">
        <v>-4.7975238095236818</v>
      </c>
      <c r="IZ17">
        <v>0</v>
      </c>
      <c r="JA17">
        <v>0</v>
      </c>
      <c r="JB17">
        <v>0</v>
      </c>
      <c r="JC17">
        <v>-0.22064570573085221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4</v>
      </c>
      <c r="JL17">
        <v>4.0999999999999996</v>
      </c>
      <c r="JM17">
        <v>1.22559</v>
      </c>
      <c r="JN17">
        <v>2.51709</v>
      </c>
      <c r="JO17">
        <v>1.50024</v>
      </c>
      <c r="JP17">
        <v>2.2717299999999998</v>
      </c>
      <c r="JQ17">
        <v>1.4477500000000001</v>
      </c>
      <c r="JR17">
        <v>2.4511699999999998</v>
      </c>
      <c r="JS17">
        <v>40.835000000000001</v>
      </c>
      <c r="JT17">
        <v>15.5768</v>
      </c>
      <c r="JU17">
        <v>18</v>
      </c>
      <c r="JV17">
        <v>544.80200000000002</v>
      </c>
      <c r="JW17">
        <v>440.108</v>
      </c>
      <c r="JX17">
        <v>32.99</v>
      </c>
      <c r="JY17">
        <v>33.266800000000003</v>
      </c>
      <c r="JZ17">
        <v>30</v>
      </c>
      <c r="KA17">
        <v>33.206099999999999</v>
      </c>
      <c r="KB17">
        <v>33.162199999999999</v>
      </c>
      <c r="KC17">
        <v>24.518000000000001</v>
      </c>
      <c r="KD17">
        <v>35.009399999999999</v>
      </c>
      <c r="KE17">
        <v>2.0475599999999998</v>
      </c>
      <c r="KF17">
        <v>-999.9</v>
      </c>
      <c r="KG17">
        <v>487.32600000000002</v>
      </c>
      <c r="KH17">
        <v>28.745000000000001</v>
      </c>
      <c r="KI17">
        <v>100.443</v>
      </c>
      <c r="KJ17">
        <v>99.635499999999993</v>
      </c>
    </row>
    <row r="18" spans="1:296" x14ac:dyDescent="0.3">
      <c r="A18">
        <v>2</v>
      </c>
      <c r="B18">
        <v>1782919768</v>
      </c>
      <c r="C18">
        <v>173.5</v>
      </c>
      <c r="D18" t="s">
        <v>727</v>
      </c>
      <c r="E18" t="s">
        <v>728</v>
      </c>
      <c r="F18">
        <v>15</v>
      </c>
      <c r="H18">
        <v>1782919760</v>
      </c>
      <c r="I18">
        <f t="shared" si="0"/>
        <v>6.101727597899541E-3</v>
      </c>
      <c r="J18">
        <f t="shared" si="1"/>
        <v>6.1017275978995409</v>
      </c>
      <c r="K18">
        <f t="shared" si="2"/>
        <v>58.307803379116677</v>
      </c>
      <c r="L18">
        <f t="shared" si="3"/>
        <v>419.6365483870967</v>
      </c>
      <c r="M18">
        <f t="shared" si="4"/>
        <v>143.32294679157584</v>
      </c>
      <c r="N18">
        <f t="shared" si="5"/>
        <v>14.019707823664165</v>
      </c>
      <c r="O18">
        <f t="shared" si="6"/>
        <v>41.048428965624666</v>
      </c>
      <c r="P18">
        <f t="shared" si="7"/>
        <v>0.36854887948049952</v>
      </c>
      <c r="Q18">
        <f t="shared" si="8"/>
        <v>2.8923026000697738</v>
      </c>
      <c r="R18">
        <f t="shared" si="9"/>
        <v>0.34430572468560983</v>
      </c>
      <c r="S18">
        <f t="shared" si="10"/>
        <v>0.21723619748223558</v>
      </c>
      <c r="T18">
        <f t="shared" si="11"/>
        <v>271.91311579067178</v>
      </c>
      <c r="U18">
        <f t="shared" si="12"/>
        <v>33.814789614565477</v>
      </c>
      <c r="V18">
        <f t="shared" si="13"/>
        <v>33.079061290322578</v>
      </c>
      <c r="W18">
        <f t="shared" si="14"/>
        <v>5.074593414967314</v>
      </c>
      <c r="X18">
        <f t="shared" si="15"/>
        <v>64.664645294583323</v>
      </c>
      <c r="Y18">
        <f t="shared" si="16"/>
        <v>3.4162987179675777</v>
      </c>
      <c r="Z18">
        <f t="shared" si="17"/>
        <v>5.2831013027357407</v>
      </c>
      <c r="AA18">
        <f t="shared" si="18"/>
        <v>1.6582946969997363</v>
      </c>
      <c r="AB18">
        <f t="shared" si="19"/>
        <v>-269.08618706736974</v>
      </c>
      <c r="AC18">
        <f t="shared" si="20"/>
        <v>112.10398199136679</v>
      </c>
      <c r="AD18">
        <f t="shared" si="21"/>
        <v>8.9149565416321863</v>
      </c>
      <c r="AE18">
        <f t="shared" si="22"/>
        <v>123.84586725630103</v>
      </c>
      <c r="AF18">
        <f t="shared" si="23"/>
        <v>58.307803379116677</v>
      </c>
      <c r="AG18">
        <f t="shared" si="24"/>
        <v>6.1017275978995409</v>
      </c>
      <c r="AH18">
        <f t="shared" si="25"/>
        <v>57.904323837297596</v>
      </c>
      <c r="AI18">
        <v>506.79778785306468</v>
      </c>
      <c r="AJ18">
        <v>435.02912727272718</v>
      </c>
      <c r="AK18">
        <v>5.9493032438169467E-2</v>
      </c>
      <c r="AL18">
        <v>67.095492931319498</v>
      </c>
      <c r="AM18">
        <f t="shared" si="26"/>
        <v>6.2888050658472485</v>
      </c>
      <c r="AN18">
        <v>27.89346466759195</v>
      </c>
      <c r="AO18">
        <v>35.168076363636366</v>
      </c>
      <c r="AP18">
        <v>8.6176565444343739E-4</v>
      </c>
      <c r="AQ18">
        <v>78.256820335609618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50612.922384602833</v>
      </c>
      <c r="AW18" t="s">
        <v>724</v>
      </c>
      <c r="AX18">
        <v>5111.67</v>
      </c>
      <c r="AY18">
        <v>545.84117647058815</v>
      </c>
      <c r="AZ18">
        <v>2426.21</v>
      </c>
      <c r="BA18">
        <f t="shared" si="30"/>
        <v>0.77502311157295201</v>
      </c>
      <c r="BB18">
        <v>-5.2289110739545492</v>
      </c>
      <c r="BC18" t="s">
        <v>729</v>
      </c>
      <c r="BD18">
        <v>5090.51</v>
      </c>
      <c r="BE18">
        <v>802.3333529411766</v>
      </c>
      <c r="BF18">
        <v>1090.3499999999999</v>
      </c>
      <c r="BG18">
        <f t="shared" si="31"/>
        <v>0.26415063700538666</v>
      </c>
      <c r="BH18">
        <v>0.5</v>
      </c>
      <c r="BI18">
        <f t="shared" si="32"/>
        <v>1428.3275901305508</v>
      </c>
      <c r="BJ18">
        <f t="shared" si="33"/>
        <v>58.307803379116677</v>
      </c>
      <c r="BK18">
        <f t="shared" si="34"/>
        <v>188.64682139267691</v>
      </c>
      <c r="BL18">
        <f t="shared" si="35"/>
        <v>4.4483292832888495E-2</v>
      </c>
      <c r="BM18">
        <f t="shared" si="36"/>
        <v>1.2251662310267348</v>
      </c>
      <c r="BN18">
        <f t="shared" si="37"/>
        <v>427.8979232864242</v>
      </c>
      <c r="BO18" t="s">
        <v>407</v>
      </c>
      <c r="BP18">
        <v>0</v>
      </c>
      <c r="BQ18">
        <f t="shared" si="38"/>
        <v>427.8979232864242</v>
      </c>
      <c r="BR18">
        <f t="shared" si="39"/>
        <v>0.60755911103184834</v>
      </c>
      <c r="BS18">
        <f t="shared" si="40"/>
        <v>0.43477355899867309</v>
      </c>
      <c r="BT18">
        <f t="shared" si="41"/>
        <v>0.66849418344954181</v>
      </c>
      <c r="BU18">
        <f t="shared" si="42"/>
        <v>0.52894762143972129</v>
      </c>
      <c r="BV18">
        <f t="shared" si="43"/>
        <v>0.71042445677897359</v>
      </c>
      <c r="BW18">
        <f t="shared" si="44"/>
        <v>0.23187207949588923</v>
      </c>
      <c r="BX18">
        <f t="shared" si="45"/>
        <v>0.76812792050411072</v>
      </c>
      <c r="DG18">
        <f t="shared" si="46"/>
        <v>1700.026774193549</v>
      </c>
      <c r="DH18">
        <f t="shared" si="47"/>
        <v>1428.3275901305508</v>
      </c>
      <c r="DI18">
        <f t="shared" si="48"/>
        <v>0.84017946764874585</v>
      </c>
      <c r="DJ18">
        <f t="shared" si="49"/>
        <v>0.15994637256207961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1782919760</v>
      </c>
      <c r="DQ18">
        <v>419.6365483870967</v>
      </c>
      <c r="DR18">
        <v>492.66458064516138</v>
      </c>
      <c r="DS18">
        <v>34.924693548387097</v>
      </c>
      <c r="DT18">
        <v>27.85969032258064</v>
      </c>
      <c r="DU18">
        <v>424.43409677419362</v>
      </c>
      <c r="DV18">
        <v>34.640693548387098</v>
      </c>
      <c r="DW18">
        <v>500.09545161290328</v>
      </c>
      <c r="DX18">
        <v>97.770435483870955</v>
      </c>
      <c r="DY18">
        <v>4.856794516129033E-2</v>
      </c>
      <c r="DZ18">
        <v>33.798000000000002</v>
      </c>
      <c r="EA18">
        <v>33.079061290322578</v>
      </c>
      <c r="EB18">
        <v>999.90000000000032</v>
      </c>
      <c r="EC18">
        <v>0</v>
      </c>
      <c r="ED18">
        <v>0</v>
      </c>
      <c r="EE18">
        <v>10012.41935483871</v>
      </c>
      <c r="EF18">
        <v>0</v>
      </c>
      <c r="EG18">
        <v>1444.180322580645</v>
      </c>
      <c r="EH18">
        <v>-73.027999999999992</v>
      </c>
      <c r="EI18">
        <v>434.9177096774194</v>
      </c>
      <c r="EJ18">
        <v>506.78338709677411</v>
      </c>
      <c r="EK18">
        <v>7.2760329032258069</v>
      </c>
      <c r="EL18">
        <v>492.66458064516138</v>
      </c>
      <c r="EM18">
        <v>27.85969032258064</v>
      </c>
      <c r="EN18">
        <v>3.4352335483870968</v>
      </c>
      <c r="EO18">
        <v>2.7238541935483869</v>
      </c>
      <c r="EP18">
        <v>26.3029935483871</v>
      </c>
      <c r="EQ18">
        <v>22.429735483870971</v>
      </c>
      <c r="ER18">
        <v>1700.026774193549</v>
      </c>
      <c r="ES18">
        <v>0.99399835483870969</v>
      </c>
      <c r="ET18">
        <v>6.0017335483870974E-3</v>
      </c>
      <c r="EU18">
        <v>0</v>
      </c>
      <c r="EV18">
        <v>802.13196774193545</v>
      </c>
      <c r="EW18">
        <v>5.0010700000000003</v>
      </c>
      <c r="EX18">
        <v>19072.893548387099</v>
      </c>
      <c r="EY18">
        <v>15492.741935483869</v>
      </c>
      <c r="EZ18">
        <v>41.570129032258052</v>
      </c>
      <c r="FA18">
        <v>43.057999999999971</v>
      </c>
      <c r="FB18">
        <v>42.253999999999998</v>
      </c>
      <c r="FC18">
        <v>42.52999999999998</v>
      </c>
      <c r="FD18">
        <v>43.436999999999969</v>
      </c>
      <c r="FE18">
        <v>1684.856774193549</v>
      </c>
      <c r="FF18">
        <v>10.17</v>
      </c>
      <c r="FG18">
        <v>0</v>
      </c>
      <c r="FH18">
        <v>172.5999999046326</v>
      </c>
      <c r="FI18">
        <v>0</v>
      </c>
      <c r="FJ18">
        <v>802.3333529411766</v>
      </c>
      <c r="FK18">
        <v>3.9512255185769329</v>
      </c>
      <c r="FL18">
        <v>930.12254615524455</v>
      </c>
      <c r="FM18">
        <v>19120.376470588231</v>
      </c>
      <c r="FN18">
        <v>10</v>
      </c>
      <c r="FO18">
        <v>1782919797.5</v>
      </c>
      <c r="FP18" t="s">
        <v>730</v>
      </c>
      <c r="FQ18">
        <v>1782919354.5999999</v>
      </c>
      <c r="FR18">
        <v>1782919797.5</v>
      </c>
      <c r="FS18">
        <v>3</v>
      </c>
      <c r="FT18">
        <v>-0.125</v>
      </c>
      <c r="FU18">
        <v>1E-3</v>
      </c>
      <c r="FV18">
        <v>-4.798</v>
      </c>
      <c r="FW18">
        <v>0.28399999999999997</v>
      </c>
      <c r="FX18">
        <v>464</v>
      </c>
      <c r="FY18">
        <v>28</v>
      </c>
      <c r="FZ18">
        <v>0.21</v>
      </c>
      <c r="GA18">
        <v>0.05</v>
      </c>
      <c r="GB18">
        <v>-72.959487499999994</v>
      </c>
      <c r="GC18">
        <v>-0.95236210131322308</v>
      </c>
      <c r="GD18">
        <v>0.18458388497848249</v>
      </c>
      <c r="GE18">
        <v>1</v>
      </c>
      <c r="GF18">
        <v>801.98102941176467</v>
      </c>
      <c r="GG18">
        <v>3.8741176516774161</v>
      </c>
      <c r="GH18">
        <v>0.45862752317898492</v>
      </c>
      <c r="GI18">
        <v>1</v>
      </c>
      <c r="GJ18">
        <v>7.2809927500000011</v>
      </c>
      <c r="GK18">
        <v>-0.11374975609756011</v>
      </c>
      <c r="GL18">
        <v>1.967055248175557E-2</v>
      </c>
      <c r="GM18">
        <v>1</v>
      </c>
      <c r="GN18">
        <v>3</v>
      </c>
      <c r="GO18">
        <v>3</v>
      </c>
      <c r="GP18" t="s">
        <v>599</v>
      </c>
      <c r="GQ18">
        <v>3.1323099999999999</v>
      </c>
      <c r="GR18">
        <v>2.7255600000000002</v>
      </c>
      <c r="GS18">
        <v>9.1495599999999996E-2</v>
      </c>
      <c r="GT18">
        <v>0.103024</v>
      </c>
      <c r="GU18">
        <v>0.14473</v>
      </c>
      <c r="GV18">
        <v>0.124596</v>
      </c>
      <c r="GW18">
        <v>22798.9</v>
      </c>
      <c r="GX18">
        <v>30310.6</v>
      </c>
      <c r="GY18">
        <v>27218.7</v>
      </c>
      <c r="GZ18">
        <v>34744.300000000003</v>
      </c>
      <c r="HA18">
        <v>34079.300000000003</v>
      </c>
      <c r="HB18">
        <v>38833.199999999997</v>
      </c>
      <c r="HC18">
        <v>40183.599999999999</v>
      </c>
      <c r="HD18">
        <v>44443.6</v>
      </c>
      <c r="HE18">
        <v>1.9745999999999999</v>
      </c>
      <c r="HF18">
        <v>1.7906</v>
      </c>
      <c r="HG18">
        <v>5.6624399999999998E-2</v>
      </c>
      <c r="HH18">
        <v>0</v>
      </c>
      <c r="HI18">
        <v>32.152099999999997</v>
      </c>
      <c r="HJ18">
        <v>999.9</v>
      </c>
      <c r="HK18">
        <v>57</v>
      </c>
      <c r="HL18">
        <v>37.700000000000003</v>
      </c>
      <c r="HM18">
        <v>38.185099999999998</v>
      </c>
      <c r="HN18">
        <v>59.88</v>
      </c>
      <c r="HO18">
        <v>4.87981</v>
      </c>
      <c r="HP18">
        <v>1</v>
      </c>
      <c r="HQ18">
        <v>0.47605700000000001</v>
      </c>
      <c r="HR18">
        <v>0</v>
      </c>
      <c r="HS18">
        <v>20.282299999999999</v>
      </c>
      <c r="HT18">
        <v>5.2112999999999996</v>
      </c>
      <c r="HU18">
        <v>11.9033</v>
      </c>
      <c r="HV18">
        <v>4.9859999999999998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1.8629500000000001</v>
      </c>
      <c r="ID18">
        <v>1.8623700000000001</v>
      </c>
      <c r="IE18">
        <v>1.86188</v>
      </c>
      <c r="IF18">
        <v>1.86191</v>
      </c>
      <c r="IG18">
        <v>1.8626100000000001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-4.7969999999999997</v>
      </c>
      <c r="IX18">
        <v>0.28399999999999997</v>
      </c>
      <c r="IY18">
        <v>-4.7975238095236818</v>
      </c>
      <c r="IZ18">
        <v>0</v>
      </c>
      <c r="JA18">
        <v>0</v>
      </c>
      <c r="JB18">
        <v>0</v>
      </c>
      <c r="JC18">
        <v>-0.2124208000134841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6.9</v>
      </c>
      <c r="JL18">
        <v>2.4</v>
      </c>
      <c r="JM18">
        <v>1.24268</v>
      </c>
      <c r="JN18">
        <v>2.52197</v>
      </c>
      <c r="JO18">
        <v>1.50024</v>
      </c>
      <c r="JP18">
        <v>2.2729499999999998</v>
      </c>
      <c r="JQ18">
        <v>1.4477500000000001</v>
      </c>
      <c r="JR18">
        <v>2.32178</v>
      </c>
      <c r="JS18">
        <v>41.0154</v>
      </c>
      <c r="JT18">
        <v>15.5505</v>
      </c>
      <c r="JU18">
        <v>18</v>
      </c>
      <c r="JV18">
        <v>544.33100000000002</v>
      </c>
      <c r="JW18">
        <v>438.66300000000001</v>
      </c>
      <c r="JX18">
        <v>33.082599999999999</v>
      </c>
      <c r="JY18">
        <v>33.290599999999998</v>
      </c>
      <c r="JZ18">
        <v>30.000399999999999</v>
      </c>
      <c r="KA18">
        <v>33.229700000000001</v>
      </c>
      <c r="KB18">
        <v>33.188600000000001</v>
      </c>
      <c r="KC18">
        <v>24.851199999999999</v>
      </c>
      <c r="KD18">
        <v>38.279600000000002</v>
      </c>
      <c r="KE18">
        <v>0</v>
      </c>
      <c r="KF18">
        <v>-999.9</v>
      </c>
      <c r="KG18">
        <v>492.98700000000002</v>
      </c>
      <c r="KH18">
        <v>27.7151</v>
      </c>
      <c r="KI18">
        <v>100.44</v>
      </c>
      <c r="KJ18">
        <v>99.635199999999998</v>
      </c>
    </row>
    <row r="19" spans="1:296" x14ac:dyDescent="0.3">
      <c r="A19">
        <v>3</v>
      </c>
      <c r="B19">
        <v>1782919921</v>
      </c>
      <c r="C19">
        <v>326.5</v>
      </c>
      <c r="D19" t="s">
        <v>731</v>
      </c>
      <c r="E19" t="s">
        <v>732</v>
      </c>
      <c r="F19">
        <v>15</v>
      </c>
      <c r="H19">
        <v>1782919913</v>
      </c>
      <c r="I19">
        <f t="shared" si="0"/>
        <v>6.8620583402199389E-3</v>
      </c>
      <c r="J19">
        <f t="shared" si="1"/>
        <v>6.8620583402199387</v>
      </c>
      <c r="K19">
        <f t="shared" si="2"/>
        <v>59.510507617391944</v>
      </c>
      <c r="L19">
        <f t="shared" si="3"/>
        <v>419.52370967741939</v>
      </c>
      <c r="M19">
        <f t="shared" si="4"/>
        <v>175.00258008536926</v>
      </c>
      <c r="N19">
        <f t="shared" si="5"/>
        <v>17.119875564622923</v>
      </c>
      <c r="O19">
        <f t="shared" si="6"/>
        <v>41.040501817646437</v>
      </c>
      <c r="P19">
        <f t="shared" si="7"/>
        <v>0.43117853113075977</v>
      </c>
      <c r="Q19">
        <f t="shared" si="8"/>
        <v>2.8900438624998985</v>
      </c>
      <c r="R19">
        <f t="shared" si="9"/>
        <v>0.39836504930726446</v>
      </c>
      <c r="S19">
        <f t="shared" si="10"/>
        <v>0.25171789760113411</v>
      </c>
      <c r="T19">
        <f t="shared" si="11"/>
        <v>255.91600753267241</v>
      </c>
      <c r="U19">
        <f t="shared" si="12"/>
        <v>33.562292190046001</v>
      </c>
      <c r="V19">
        <f t="shared" si="13"/>
        <v>33.054896774193551</v>
      </c>
      <c r="W19">
        <f t="shared" si="14"/>
        <v>5.0677113777942724</v>
      </c>
      <c r="X19">
        <f t="shared" si="15"/>
        <v>65.263588884777874</v>
      </c>
      <c r="Y19">
        <f t="shared" si="16"/>
        <v>3.4560101201075795</v>
      </c>
      <c r="Z19">
        <f t="shared" si="17"/>
        <v>5.2954644069745012</v>
      </c>
      <c r="AA19">
        <f t="shared" si="18"/>
        <v>1.6117012576866929</v>
      </c>
      <c r="AB19">
        <f t="shared" si="19"/>
        <v>-302.61677280369929</v>
      </c>
      <c r="AC19">
        <f t="shared" si="20"/>
        <v>122.30177600241063</v>
      </c>
      <c r="AD19">
        <f t="shared" si="21"/>
        <v>9.7343723882578317</v>
      </c>
      <c r="AE19">
        <f t="shared" si="22"/>
        <v>85.335383119641563</v>
      </c>
      <c r="AF19">
        <f t="shared" si="23"/>
        <v>59.510507617391944</v>
      </c>
      <c r="AG19">
        <f t="shared" si="24"/>
        <v>6.8620583402199387</v>
      </c>
      <c r="AH19">
        <f t="shared" si="25"/>
        <v>59.439285630973941</v>
      </c>
      <c r="AI19">
        <v>508.36445392147698</v>
      </c>
      <c r="AJ19">
        <v>435.01925454545449</v>
      </c>
      <c r="AK19">
        <v>2.2444935376594449E-3</v>
      </c>
      <c r="AL19">
        <v>67.084555940008045</v>
      </c>
      <c r="AM19">
        <f t="shared" si="26"/>
        <v>6.8387904013738741</v>
      </c>
      <c r="AN19">
        <v>27.369064598723789</v>
      </c>
      <c r="AO19">
        <v>35.284605454545463</v>
      </c>
      <c r="AP19">
        <v>2.0936596559367569E-4</v>
      </c>
      <c r="AQ19">
        <v>78.227136403795868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50543.266134969759</v>
      </c>
      <c r="AW19" t="s">
        <v>724</v>
      </c>
      <c r="AX19">
        <v>5111.67</v>
      </c>
      <c r="AY19">
        <v>545.84117647058815</v>
      </c>
      <c r="AZ19">
        <v>2426.21</v>
      </c>
      <c r="BA19">
        <f t="shared" si="30"/>
        <v>0.77502311157295201</v>
      </c>
      <c r="BB19">
        <v>-5.2289110739545492</v>
      </c>
      <c r="BC19" t="s">
        <v>733</v>
      </c>
      <c r="BD19">
        <v>5090.34</v>
      </c>
      <c r="BE19">
        <v>806.30311764705868</v>
      </c>
      <c r="BF19">
        <v>1138.78</v>
      </c>
      <c r="BG19">
        <f t="shared" si="31"/>
        <v>0.29195883520341182</v>
      </c>
      <c r="BH19">
        <v>0.5</v>
      </c>
      <c r="BI19">
        <f t="shared" si="32"/>
        <v>1344.2971256144551</v>
      </c>
      <c r="BJ19">
        <f t="shared" si="33"/>
        <v>59.510507617391944</v>
      </c>
      <c r="BK19">
        <f t="shared" si="34"/>
        <v>196.23971148084544</v>
      </c>
      <c r="BL19">
        <f t="shared" si="35"/>
        <v>4.8158563652180103E-2</v>
      </c>
      <c r="BM19">
        <f t="shared" si="36"/>
        <v>1.1305344315846784</v>
      </c>
      <c r="BN19">
        <f t="shared" si="37"/>
        <v>435.1606296412989</v>
      </c>
      <c r="BO19" t="s">
        <v>407</v>
      </c>
      <c r="BP19">
        <v>0</v>
      </c>
      <c r="BQ19">
        <f t="shared" si="38"/>
        <v>435.1606296412989</v>
      </c>
      <c r="BR19">
        <f t="shared" si="39"/>
        <v>0.6178712045862248</v>
      </c>
      <c r="BS19">
        <f t="shared" si="40"/>
        <v>0.47252377685885266</v>
      </c>
      <c r="BT19">
        <f t="shared" si="41"/>
        <v>0.64660877784665916</v>
      </c>
      <c r="BU19">
        <f t="shared" si="42"/>
        <v>0.56072712590129337</v>
      </c>
      <c r="BV19">
        <f t="shared" si="43"/>
        <v>0.68466887128213583</v>
      </c>
      <c r="BW19">
        <f t="shared" si="44"/>
        <v>0.25502040083688499</v>
      </c>
      <c r="BX19">
        <f t="shared" si="45"/>
        <v>0.74497959916311496</v>
      </c>
      <c r="DG19">
        <f t="shared" si="46"/>
        <v>1600.011935483871</v>
      </c>
      <c r="DH19">
        <f t="shared" si="47"/>
        <v>1344.2971256144551</v>
      </c>
      <c r="DI19">
        <f t="shared" si="48"/>
        <v>0.84017943604146716</v>
      </c>
      <c r="DJ19">
        <f t="shared" si="49"/>
        <v>0.15994631156003161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1782919913</v>
      </c>
      <c r="DQ19">
        <v>419.52370967741939</v>
      </c>
      <c r="DR19">
        <v>494.3890967741936</v>
      </c>
      <c r="DS19">
        <v>35.327983870967742</v>
      </c>
      <c r="DT19">
        <v>27.384609677419359</v>
      </c>
      <c r="DU19">
        <v>424.35370967741937</v>
      </c>
      <c r="DV19">
        <v>34.826103225806463</v>
      </c>
      <c r="DW19">
        <v>500.01187096774191</v>
      </c>
      <c r="DX19">
        <v>97.777593548387102</v>
      </c>
      <c r="DY19">
        <v>4.8824532258064518E-2</v>
      </c>
      <c r="DZ19">
        <v>33.839848387096772</v>
      </c>
      <c r="EA19">
        <v>33.054896774193551</v>
      </c>
      <c r="EB19">
        <v>999.90000000000032</v>
      </c>
      <c r="EC19">
        <v>0</v>
      </c>
      <c r="ED19">
        <v>0</v>
      </c>
      <c r="EE19">
        <v>9998.7096774193542</v>
      </c>
      <c r="EF19">
        <v>0</v>
      </c>
      <c r="EG19">
        <v>1279.928709677419</v>
      </c>
      <c r="EH19">
        <v>-74.865393548387104</v>
      </c>
      <c r="EI19">
        <v>434.88735483870983</v>
      </c>
      <c r="EJ19">
        <v>508.30887096774188</v>
      </c>
      <c r="EK19">
        <v>7.9433741935483857</v>
      </c>
      <c r="EL19">
        <v>494.3890967741936</v>
      </c>
      <c r="EM19">
        <v>27.384609677419359</v>
      </c>
      <c r="EN19">
        <v>3.4542841935483879</v>
      </c>
      <c r="EO19">
        <v>2.6776016129032261</v>
      </c>
      <c r="EP19">
        <v>26.396696774193551</v>
      </c>
      <c r="EQ19">
        <v>22.148267741935481</v>
      </c>
      <c r="ER19">
        <v>1600.011935483871</v>
      </c>
      <c r="ES19">
        <v>0.99399793548387128</v>
      </c>
      <c r="ET19">
        <v>6.001882258064516E-3</v>
      </c>
      <c r="EU19">
        <v>0</v>
      </c>
      <c r="EV19">
        <v>806.34829032258051</v>
      </c>
      <c r="EW19">
        <v>5.0010700000000003</v>
      </c>
      <c r="EX19">
        <v>17879.558064516132</v>
      </c>
      <c r="EY19">
        <v>14578.58064516129</v>
      </c>
      <c r="EZ19">
        <v>41.604677419354843</v>
      </c>
      <c r="FA19">
        <v>43.25</v>
      </c>
      <c r="FB19">
        <v>42.402999999999992</v>
      </c>
      <c r="FC19">
        <v>42.731709677419353</v>
      </c>
      <c r="FD19">
        <v>43.487806451612897</v>
      </c>
      <c r="FE19">
        <v>1585.441935483871</v>
      </c>
      <c r="FF19">
        <v>9.5699999999999985</v>
      </c>
      <c r="FG19">
        <v>0</v>
      </c>
      <c r="FH19">
        <v>152.5999999046326</v>
      </c>
      <c r="FI19">
        <v>0</v>
      </c>
      <c r="FJ19">
        <v>806.30311764705868</v>
      </c>
      <c r="FK19">
        <v>6.3970640752580785E-2</v>
      </c>
      <c r="FL19">
        <v>784.53431613637213</v>
      </c>
      <c r="FM19">
        <v>17895.45882352941</v>
      </c>
      <c r="FN19">
        <v>10</v>
      </c>
      <c r="FO19">
        <v>1782919866.5</v>
      </c>
      <c r="FP19" t="s">
        <v>734</v>
      </c>
      <c r="FQ19">
        <v>1782919863.5</v>
      </c>
      <c r="FR19">
        <v>1782919866.5</v>
      </c>
      <c r="FS19">
        <v>4</v>
      </c>
      <c r="FT19">
        <v>-3.3000000000000002E-2</v>
      </c>
      <c r="FU19">
        <v>1E-3</v>
      </c>
      <c r="FV19">
        <v>-4.83</v>
      </c>
      <c r="FW19">
        <v>0.28299999999999997</v>
      </c>
      <c r="FX19">
        <v>493</v>
      </c>
      <c r="FY19">
        <v>28</v>
      </c>
      <c r="FZ19">
        <v>0.11</v>
      </c>
      <c r="GA19">
        <v>0.05</v>
      </c>
      <c r="GB19">
        <v>-74.793495000000007</v>
      </c>
      <c r="GC19">
        <v>-0.60785290806731185</v>
      </c>
      <c r="GD19">
        <v>0.231051633785611</v>
      </c>
      <c r="GE19">
        <v>1</v>
      </c>
      <c r="GF19">
        <v>806.42155882352938</v>
      </c>
      <c r="GG19">
        <v>-1.4085103038992</v>
      </c>
      <c r="GH19">
        <v>0.24947724064253871</v>
      </c>
      <c r="GI19">
        <v>1</v>
      </c>
      <c r="GJ19">
        <v>7.9184737500000013</v>
      </c>
      <c r="GK19">
        <v>0.28276829268291592</v>
      </c>
      <c r="GL19">
        <v>5.7384315439303668E-2</v>
      </c>
      <c r="GM19">
        <v>1</v>
      </c>
      <c r="GN19">
        <v>3</v>
      </c>
      <c r="GO19">
        <v>3</v>
      </c>
      <c r="GP19" t="s">
        <v>599</v>
      </c>
      <c r="GQ19">
        <v>3.1327400000000001</v>
      </c>
      <c r="GR19">
        <v>2.7255799999999999</v>
      </c>
      <c r="GS19">
        <v>9.1471899999999995E-2</v>
      </c>
      <c r="GT19">
        <v>0.103228</v>
      </c>
      <c r="GU19">
        <v>0.14505100000000001</v>
      </c>
      <c r="GV19">
        <v>0.12322</v>
      </c>
      <c r="GW19">
        <v>22795.599999999999</v>
      </c>
      <c r="GX19">
        <v>30299.599999999999</v>
      </c>
      <c r="GY19">
        <v>27214.400000000001</v>
      </c>
      <c r="GZ19">
        <v>34740.400000000001</v>
      </c>
      <c r="HA19">
        <v>34062.6</v>
      </c>
      <c r="HB19">
        <v>38891.300000000003</v>
      </c>
      <c r="HC19">
        <v>40178.199999999997</v>
      </c>
      <c r="HD19">
        <v>44439.9</v>
      </c>
      <c r="HE19">
        <v>1.9745999999999999</v>
      </c>
      <c r="HF19">
        <v>1.7847999999999999</v>
      </c>
      <c r="HG19">
        <v>5.34952E-2</v>
      </c>
      <c r="HH19">
        <v>0</v>
      </c>
      <c r="HI19">
        <v>32.194800000000001</v>
      </c>
      <c r="HJ19">
        <v>999.9</v>
      </c>
      <c r="HK19">
        <v>57.9</v>
      </c>
      <c r="HL19">
        <v>37.799999999999997</v>
      </c>
      <c r="HM19">
        <v>38.997100000000003</v>
      </c>
      <c r="HN19">
        <v>59.79</v>
      </c>
      <c r="HO19">
        <v>4.9719499999999996</v>
      </c>
      <c r="HP19">
        <v>1</v>
      </c>
      <c r="HQ19">
        <v>0.48487799999999998</v>
      </c>
      <c r="HR19">
        <v>0</v>
      </c>
      <c r="HS19">
        <v>20.2822</v>
      </c>
      <c r="HT19">
        <v>5.2112999999999996</v>
      </c>
      <c r="HU19">
        <v>11.908099999999999</v>
      </c>
      <c r="HV19">
        <v>4.9859999999999998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1.8629800000000001</v>
      </c>
      <c r="ID19">
        <v>1.86246</v>
      </c>
      <c r="IE19">
        <v>1.86191</v>
      </c>
      <c r="IF19">
        <v>1.8619699999999999</v>
      </c>
      <c r="IG19">
        <v>1.8626400000000001</v>
      </c>
      <c r="IH19">
        <v>1.8634999999999999</v>
      </c>
      <c r="II19">
        <v>1.86145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-4.83</v>
      </c>
      <c r="IX19">
        <v>0.50060000000000004</v>
      </c>
      <c r="IY19">
        <v>-4.8299499999999966</v>
      </c>
      <c r="IZ19">
        <v>0</v>
      </c>
      <c r="JA19">
        <v>0</v>
      </c>
      <c r="JB19">
        <v>0</v>
      </c>
      <c r="JC19">
        <v>-0.2112404132602291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1</v>
      </c>
      <c r="JL19">
        <v>0.9</v>
      </c>
      <c r="JM19">
        <v>1.24756</v>
      </c>
      <c r="JN19">
        <v>2.5341800000000001</v>
      </c>
      <c r="JO19">
        <v>1.50024</v>
      </c>
      <c r="JP19">
        <v>2.2729499999999998</v>
      </c>
      <c r="JQ19">
        <v>1.4477500000000001</v>
      </c>
      <c r="JR19">
        <v>2.2924799999999999</v>
      </c>
      <c r="JS19">
        <v>41.248199999999997</v>
      </c>
      <c r="JT19">
        <v>15.5242</v>
      </c>
      <c r="JU19">
        <v>18</v>
      </c>
      <c r="JV19">
        <v>545.05100000000004</v>
      </c>
      <c r="JW19">
        <v>435.63200000000001</v>
      </c>
      <c r="JX19">
        <v>33.172400000000003</v>
      </c>
      <c r="JY19">
        <v>33.389000000000003</v>
      </c>
      <c r="JZ19">
        <v>30.000499999999999</v>
      </c>
      <c r="KA19">
        <v>33.315600000000003</v>
      </c>
      <c r="KB19">
        <v>33.274099999999997</v>
      </c>
      <c r="KC19">
        <v>24.9465</v>
      </c>
      <c r="KD19">
        <v>40.182299999999998</v>
      </c>
      <c r="KE19">
        <v>0</v>
      </c>
      <c r="KF19">
        <v>-999.9</v>
      </c>
      <c r="KG19">
        <v>494.57799999999997</v>
      </c>
      <c r="KH19">
        <v>27.3965</v>
      </c>
      <c r="KI19">
        <v>100.425</v>
      </c>
      <c r="KJ19">
        <v>99.625600000000006</v>
      </c>
    </row>
    <row r="20" spans="1:296" x14ac:dyDescent="0.3">
      <c r="A20">
        <v>4</v>
      </c>
      <c r="B20">
        <v>1782920055.5</v>
      </c>
      <c r="C20">
        <v>461</v>
      </c>
      <c r="D20" t="s">
        <v>735</v>
      </c>
      <c r="E20" t="s">
        <v>736</v>
      </c>
      <c r="F20">
        <v>15</v>
      </c>
      <c r="H20">
        <v>1782920047.5</v>
      </c>
      <c r="I20">
        <f t="shared" si="0"/>
        <v>6.7854035232188491E-3</v>
      </c>
      <c r="J20">
        <f t="shared" si="1"/>
        <v>6.7854035232188492</v>
      </c>
      <c r="K20">
        <f t="shared" si="2"/>
        <v>57.567505024182971</v>
      </c>
      <c r="L20">
        <f t="shared" si="3"/>
        <v>419.7007419354839</v>
      </c>
      <c r="M20">
        <f t="shared" si="4"/>
        <v>180.84482960720996</v>
      </c>
      <c r="N20">
        <f t="shared" si="5"/>
        <v>17.691024132779464</v>
      </c>
      <c r="O20">
        <f t="shared" si="6"/>
        <v>41.056943514795805</v>
      </c>
      <c r="P20">
        <f t="shared" si="7"/>
        <v>0.4271882761142205</v>
      </c>
      <c r="Q20">
        <f t="shared" si="8"/>
        <v>2.8907090446850892</v>
      </c>
      <c r="R20">
        <f t="shared" si="9"/>
        <v>0.39496181434781547</v>
      </c>
      <c r="S20">
        <f t="shared" si="10"/>
        <v>0.24954365358460931</v>
      </c>
      <c r="T20">
        <f t="shared" si="11"/>
        <v>224.00612056854501</v>
      </c>
      <c r="U20">
        <f t="shared" si="12"/>
        <v>33.36056041458901</v>
      </c>
      <c r="V20">
        <f t="shared" si="13"/>
        <v>33.010151612903229</v>
      </c>
      <c r="W20">
        <f t="shared" si="14"/>
        <v>5.0549894247932476</v>
      </c>
      <c r="X20">
        <f t="shared" si="15"/>
        <v>65.218630542721073</v>
      </c>
      <c r="Y20">
        <f t="shared" si="16"/>
        <v>3.4474126669680323</v>
      </c>
      <c r="Z20">
        <f t="shared" si="17"/>
        <v>5.2859323145551569</v>
      </c>
      <c r="AA20">
        <f t="shared" si="18"/>
        <v>1.6075767578252154</v>
      </c>
      <c r="AB20">
        <f t="shared" si="19"/>
        <v>-299.23629537395124</v>
      </c>
      <c r="AC20">
        <f t="shared" si="20"/>
        <v>124.27596332533582</v>
      </c>
      <c r="AD20">
        <f t="shared" si="21"/>
        <v>9.8855014439556808</v>
      </c>
      <c r="AE20">
        <f t="shared" si="22"/>
        <v>58.931289963885291</v>
      </c>
      <c r="AF20">
        <f t="shared" si="23"/>
        <v>57.567505024182971</v>
      </c>
      <c r="AG20">
        <f t="shared" si="24"/>
        <v>6.7854035232188492</v>
      </c>
      <c r="AH20">
        <f t="shared" si="25"/>
        <v>57.575448309005715</v>
      </c>
      <c r="AI20">
        <v>506.15462809053122</v>
      </c>
      <c r="AJ20">
        <v>435.14437575757552</v>
      </c>
      <c r="AK20">
        <v>-6.9971376463435903E-3</v>
      </c>
      <c r="AL20">
        <v>67.093943192701147</v>
      </c>
      <c r="AM20">
        <f t="shared" si="26"/>
        <v>6.761206868493379</v>
      </c>
      <c r="AN20">
        <v>27.339399276223421</v>
      </c>
      <c r="AO20">
        <v>35.211959393939402</v>
      </c>
      <c r="AP20">
        <v>-7.2789774975233028E-3</v>
      </c>
      <c r="AQ20">
        <v>78.252847347693233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50567.060662653384</v>
      </c>
      <c r="AW20" t="s">
        <v>724</v>
      </c>
      <c r="AX20">
        <v>5111.67</v>
      </c>
      <c r="AY20">
        <v>545.84117647058815</v>
      </c>
      <c r="AZ20">
        <v>2426.21</v>
      </c>
      <c r="BA20">
        <f t="shared" si="30"/>
        <v>0.77502311157295201</v>
      </c>
      <c r="BB20">
        <v>-5.2289110739545492</v>
      </c>
      <c r="BC20" t="s">
        <v>737</v>
      </c>
      <c r="BD20">
        <v>5092.42</v>
      </c>
      <c r="BE20">
        <v>803.9042352941176</v>
      </c>
      <c r="BF20">
        <v>1216.2</v>
      </c>
      <c r="BG20">
        <f t="shared" si="31"/>
        <v>0.3390032599127466</v>
      </c>
      <c r="BH20">
        <v>0.5</v>
      </c>
      <c r="BI20">
        <f t="shared" si="32"/>
        <v>1176.3008997764482</v>
      </c>
      <c r="BJ20">
        <f t="shared" si="33"/>
        <v>57.567505024182971</v>
      </c>
      <c r="BK20">
        <f t="shared" si="34"/>
        <v>199.38491983125647</v>
      </c>
      <c r="BL20">
        <f t="shared" si="35"/>
        <v>5.3384653629077183E-2</v>
      </c>
      <c r="BM20">
        <f t="shared" si="36"/>
        <v>0.99491037658279879</v>
      </c>
      <c r="BN20">
        <f t="shared" si="37"/>
        <v>446.00994865390044</v>
      </c>
      <c r="BO20" t="s">
        <v>407</v>
      </c>
      <c r="BP20">
        <v>0</v>
      </c>
      <c r="BQ20">
        <f t="shared" si="38"/>
        <v>446.00994865390044</v>
      </c>
      <c r="BR20">
        <f t="shared" si="39"/>
        <v>0.63327581922882714</v>
      </c>
      <c r="BS20">
        <f t="shared" si="40"/>
        <v>0.53531691818829985</v>
      </c>
      <c r="BT20">
        <f t="shared" si="41"/>
        <v>0.61105442310106994</v>
      </c>
      <c r="BU20">
        <f t="shared" si="42"/>
        <v>0.61503742508402004</v>
      </c>
      <c r="BV20">
        <f t="shared" si="43"/>
        <v>0.64349609760538218</v>
      </c>
      <c r="BW20">
        <f t="shared" si="44"/>
        <v>0.29699640916480052</v>
      </c>
      <c r="BX20">
        <f t="shared" si="45"/>
        <v>0.70300359083519948</v>
      </c>
      <c r="DG20">
        <f t="shared" si="46"/>
        <v>1400.01</v>
      </c>
      <c r="DH20">
        <f t="shared" si="47"/>
        <v>1176.3008997764482</v>
      </c>
      <c r="DI20">
        <f t="shared" si="48"/>
        <v>0.84020892691941351</v>
      </c>
      <c r="DJ20">
        <f t="shared" si="49"/>
        <v>0.1600032289544682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1782920047.5</v>
      </c>
      <c r="DQ20">
        <v>419.7007419354839</v>
      </c>
      <c r="DR20">
        <v>492.20980645161302</v>
      </c>
      <c r="DS20">
        <v>35.240851612903228</v>
      </c>
      <c r="DT20">
        <v>27.38416129032257</v>
      </c>
      <c r="DU20">
        <v>424.5086774193548</v>
      </c>
      <c r="DV20">
        <v>34.744990322580648</v>
      </c>
      <c r="DW20">
        <v>499.92654838709672</v>
      </c>
      <c r="DX20">
        <v>97.775522580645159</v>
      </c>
      <c r="DY20">
        <v>4.880654838709677E-2</v>
      </c>
      <c r="DZ20">
        <v>33.807590322580651</v>
      </c>
      <c r="EA20">
        <v>33.010151612903229</v>
      </c>
      <c r="EB20">
        <v>999.90000000000032</v>
      </c>
      <c r="EC20">
        <v>0</v>
      </c>
      <c r="ED20">
        <v>0</v>
      </c>
      <c r="EE20">
        <v>10002.741935483869</v>
      </c>
      <c r="EF20">
        <v>0</v>
      </c>
      <c r="EG20">
        <v>1236.362580645161</v>
      </c>
      <c r="EH20">
        <v>-72.50895483870967</v>
      </c>
      <c r="EI20">
        <v>435.03170967741931</v>
      </c>
      <c r="EJ20">
        <v>506.06803225806448</v>
      </c>
      <c r="EK20">
        <v>7.8566896774193546</v>
      </c>
      <c r="EL20">
        <v>492.20980645161302</v>
      </c>
      <c r="EM20">
        <v>27.38416129032257</v>
      </c>
      <c r="EN20">
        <v>3.4456929032258059</v>
      </c>
      <c r="EO20">
        <v>2.6775006451612899</v>
      </c>
      <c r="EP20">
        <v>26.35450322580645</v>
      </c>
      <c r="EQ20">
        <v>22.147667741935489</v>
      </c>
      <c r="ER20">
        <v>1400.01</v>
      </c>
      <c r="ES20">
        <v>0.99300893548387115</v>
      </c>
      <c r="ET20">
        <v>6.9907867741935466E-3</v>
      </c>
      <c r="EU20">
        <v>0</v>
      </c>
      <c r="EV20">
        <v>803.90077419354839</v>
      </c>
      <c r="EW20">
        <v>5.0010700000000003</v>
      </c>
      <c r="EX20">
        <v>15999.65806451613</v>
      </c>
      <c r="EY20">
        <v>12745.64516129032</v>
      </c>
      <c r="EZ20">
        <v>41.432999999999979</v>
      </c>
      <c r="FA20">
        <v>43.311999999999969</v>
      </c>
      <c r="FB20">
        <v>42.383000000000003</v>
      </c>
      <c r="FC20">
        <v>42.757999999999988</v>
      </c>
      <c r="FD20">
        <v>43.346548387096767</v>
      </c>
      <c r="FE20">
        <v>1385.26</v>
      </c>
      <c r="FF20">
        <v>9.75</v>
      </c>
      <c r="FG20">
        <v>0</v>
      </c>
      <c r="FH20">
        <v>133.79999995231631</v>
      </c>
      <c r="FI20">
        <v>0</v>
      </c>
      <c r="FJ20">
        <v>803.9042352941176</v>
      </c>
      <c r="FK20">
        <v>2.2350490027217069</v>
      </c>
      <c r="FL20">
        <v>202.35293838293509</v>
      </c>
      <c r="FM20">
        <v>16004.10588235294</v>
      </c>
      <c r="FN20">
        <v>10</v>
      </c>
      <c r="FO20">
        <v>1782919999</v>
      </c>
      <c r="FP20" t="s">
        <v>738</v>
      </c>
      <c r="FQ20">
        <v>1782919994.5</v>
      </c>
      <c r="FR20">
        <v>1782919999</v>
      </c>
      <c r="FS20">
        <v>5</v>
      </c>
      <c r="FT20">
        <v>2.1999999999999999E-2</v>
      </c>
      <c r="FU20">
        <v>-4.0000000000000001E-3</v>
      </c>
      <c r="FV20">
        <v>-4.8079999999999998</v>
      </c>
      <c r="FW20">
        <v>0.26400000000000001</v>
      </c>
      <c r="FX20">
        <v>492</v>
      </c>
      <c r="FY20">
        <v>27</v>
      </c>
      <c r="FZ20">
        <v>0.08</v>
      </c>
      <c r="GA20">
        <v>0.03</v>
      </c>
      <c r="GB20">
        <v>-72.462770731707309</v>
      </c>
      <c r="GC20">
        <v>-0.62983484320551597</v>
      </c>
      <c r="GD20">
        <v>0.19288798625349349</v>
      </c>
      <c r="GE20">
        <v>1</v>
      </c>
      <c r="GF20">
        <v>803.90964705882357</v>
      </c>
      <c r="GG20">
        <v>-0.15999999850034799</v>
      </c>
      <c r="GH20">
        <v>0.22897647995745229</v>
      </c>
      <c r="GI20">
        <v>1</v>
      </c>
      <c r="GJ20">
        <v>7.8583707317073186</v>
      </c>
      <c r="GK20">
        <v>7.5117909407665537E-2</v>
      </c>
      <c r="GL20">
        <v>2.6330934824515789E-2</v>
      </c>
      <c r="GM20">
        <v>1</v>
      </c>
      <c r="GN20">
        <v>3</v>
      </c>
      <c r="GO20">
        <v>3</v>
      </c>
      <c r="GP20" t="s">
        <v>599</v>
      </c>
      <c r="GQ20">
        <v>3.1333099999999998</v>
      </c>
      <c r="GR20">
        <v>2.7238099999999998</v>
      </c>
      <c r="GS20">
        <v>9.14885E-2</v>
      </c>
      <c r="GT20">
        <v>0.102897</v>
      </c>
      <c r="GU20">
        <v>0.14483499999999999</v>
      </c>
      <c r="GV20">
        <v>0.12311900000000001</v>
      </c>
      <c r="GW20">
        <v>22792.6</v>
      </c>
      <c r="GX20">
        <v>30305.9</v>
      </c>
      <c r="GY20">
        <v>27211.8</v>
      </c>
      <c r="GZ20">
        <v>34735.4</v>
      </c>
      <c r="HA20">
        <v>34068.699999999997</v>
      </c>
      <c r="HB20">
        <v>38892</v>
      </c>
      <c r="HC20">
        <v>40174.300000000003</v>
      </c>
      <c r="HD20">
        <v>44435.3</v>
      </c>
      <c r="HE20">
        <v>1.974</v>
      </c>
      <c r="HF20">
        <v>1.7811999999999999</v>
      </c>
      <c r="HG20">
        <v>4.8279799999999998E-2</v>
      </c>
      <c r="HH20">
        <v>0</v>
      </c>
      <c r="HI20">
        <v>32.223199999999999</v>
      </c>
      <c r="HJ20">
        <v>999.9</v>
      </c>
      <c r="HK20">
        <v>58.5</v>
      </c>
      <c r="HL20">
        <v>37.9</v>
      </c>
      <c r="HM20">
        <v>39.614800000000002</v>
      </c>
      <c r="HN20">
        <v>59.53</v>
      </c>
      <c r="HO20">
        <v>5.0520899999999997</v>
      </c>
      <c r="HP20">
        <v>1</v>
      </c>
      <c r="HQ20">
        <v>0.493699</v>
      </c>
      <c r="HR20">
        <v>0</v>
      </c>
      <c r="HS20">
        <v>20.283899999999999</v>
      </c>
      <c r="HT20">
        <v>5.2065099999999997</v>
      </c>
      <c r="HU20">
        <v>11.9033</v>
      </c>
      <c r="HV20">
        <v>4.9816000000000003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1.8629800000000001</v>
      </c>
      <c r="ID20">
        <v>1.86243</v>
      </c>
      <c r="IE20">
        <v>1.86191</v>
      </c>
      <c r="IF20">
        <v>1.8620000000000001</v>
      </c>
      <c r="IG20">
        <v>1.8626400000000001</v>
      </c>
      <c r="IH20">
        <v>1.8635299999999999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-4.8079999999999998</v>
      </c>
      <c r="IX20">
        <v>0.49509999999999998</v>
      </c>
      <c r="IY20">
        <v>-4.807950000000119</v>
      </c>
      <c r="IZ20">
        <v>0</v>
      </c>
      <c r="JA20">
        <v>0</v>
      </c>
      <c r="JB20">
        <v>0</v>
      </c>
      <c r="JC20">
        <v>-0.21477541030333841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1</v>
      </c>
      <c r="JL20">
        <v>0.9</v>
      </c>
      <c r="JM20">
        <v>1.24268</v>
      </c>
      <c r="JN20">
        <v>2.52563</v>
      </c>
      <c r="JO20">
        <v>1.50024</v>
      </c>
      <c r="JP20">
        <v>2.2729499999999998</v>
      </c>
      <c r="JQ20">
        <v>1.4477500000000001</v>
      </c>
      <c r="JR20">
        <v>2.3767100000000001</v>
      </c>
      <c r="JS20">
        <v>41.456200000000003</v>
      </c>
      <c r="JT20">
        <v>15.515499999999999</v>
      </c>
      <c r="JU20">
        <v>18</v>
      </c>
      <c r="JV20">
        <v>545.39700000000005</v>
      </c>
      <c r="JW20">
        <v>434.00200000000001</v>
      </c>
      <c r="JX20">
        <v>33.201700000000002</v>
      </c>
      <c r="JY20">
        <v>33.481900000000003</v>
      </c>
      <c r="JZ20">
        <v>30.000399999999999</v>
      </c>
      <c r="KA20">
        <v>33.404699999999998</v>
      </c>
      <c r="KB20">
        <v>33.3628</v>
      </c>
      <c r="KC20">
        <v>24.863700000000001</v>
      </c>
      <c r="KD20">
        <v>41.2502</v>
      </c>
      <c r="KE20">
        <v>0</v>
      </c>
      <c r="KF20">
        <v>-999.9</v>
      </c>
      <c r="KG20">
        <v>492.23599999999999</v>
      </c>
      <c r="KH20">
        <v>27.258600000000001</v>
      </c>
      <c r="KI20">
        <v>100.416</v>
      </c>
      <c r="KJ20">
        <v>99.613500000000002</v>
      </c>
    </row>
    <row r="21" spans="1:296" x14ac:dyDescent="0.3">
      <c r="A21">
        <v>5</v>
      </c>
      <c r="B21">
        <v>1782920223.5</v>
      </c>
      <c r="C21">
        <v>629</v>
      </c>
      <c r="D21" t="s">
        <v>739</v>
      </c>
      <c r="E21" t="s">
        <v>740</v>
      </c>
      <c r="F21">
        <v>15</v>
      </c>
      <c r="H21">
        <v>1782920215.5</v>
      </c>
      <c r="I21">
        <f t="shared" si="0"/>
        <v>6.6859063589281486E-3</v>
      </c>
      <c r="J21">
        <f t="shared" si="1"/>
        <v>6.6859063589281487</v>
      </c>
      <c r="K21">
        <f t="shared" si="2"/>
        <v>52.051587208957059</v>
      </c>
      <c r="L21">
        <f t="shared" si="3"/>
        <v>419.68112903225818</v>
      </c>
      <c r="M21">
        <f t="shared" si="4"/>
        <v>197.82535288678574</v>
      </c>
      <c r="N21">
        <f t="shared" si="5"/>
        <v>19.352031458889329</v>
      </c>
      <c r="O21">
        <f t="shared" si="6"/>
        <v>41.054810686385792</v>
      </c>
      <c r="P21">
        <f t="shared" si="7"/>
        <v>0.41691217940450387</v>
      </c>
      <c r="Q21">
        <f t="shared" si="8"/>
        <v>2.8909511694124457</v>
      </c>
      <c r="R21">
        <f t="shared" si="9"/>
        <v>0.38616007400030361</v>
      </c>
      <c r="S21">
        <f t="shared" si="10"/>
        <v>0.24392370307520783</v>
      </c>
      <c r="T21">
        <f t="shared" si="11"/>
        <v>176.13279834790822</v>
      </c>
      <c r="U21">
        <f t="shared" si="12"/>
        <v>33.198085480754109</v>
      </c>
      <c r="V21">
        <f t="shared" si="13"/>
        <v>33.119529032258072</v>
      </c>
      <c r="W21">
        <f t="shared" si="14"/>
        <v>5.0861368112127598</v>
      </c>
      <c r="X21">
        <f t="shared" si="15"/>
        <v>65.22925495528203</v>
      </c>
      <c r="Y21">
        <f t="shared" si="16"/>
        <v>3.46647190215013</v>
      </c>
      <c r="Z21">
        <f t="shared" si="17"/>
        <v>5.3142901977442065</v>
      </c>
      <c r="AA21">
        <f t="shared" si="18"/>
        <v>1.6196649090626298</v>
      </c>
      <c r="AB21">
        <f t="shared" si="19"/>
        <v>-294.84847042873133</v>
      </c>
      <c r="AC21">
        <f t="shared" si="20"/>
        <v>122.1732539229065</v>
      </c>
      <c r="AD21">
        <f t="shared" si="21"/>
        <v>9.7271921005498605</v>
      </c>
      <c r="AE21">
        <f t="shared" si="22"/>
        <v>13.184773942633257</v>
      </c>
      <c r="AF21">
        <f t="shared" si="23"/>
        <v>52.051587208957059</v>
      </c>
      <c r="AG21">
        <f t="shared" si="24"/>
        <v>6.6859063589281487</v>
      </c>
      <c r="AH21">
        <f t="shared" si="25"/>
        <v>52.136021709115774</v>
      </c>
      <c r="AI21">
        <v>499.55977370134491</v>
      </c>
      <c r="AJ21">
        <v>435.04115757575761</v>
      </c>
      <c r="AK21">
        <v>3.3154331093711131E-2</v>
      </c>
      <c r="AL21">
        <v>67.094968601702135</v>
      </c>
      <c r="AM21">
        <f t="shared" si="26"/>
        <v>6.6669896456939197</v>
      </c>
      <c r="AN21">
        <v>27.664545671503689</v>
      </c>
      <c r="AO21">
        <v>35.41215636363637</v>
      </c>
      <c r="AP21">
        <v>-5.0367711889340409E-3</v>
      </c>
      <c r="AQ21">
        <v>78.25832078921519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50558.001631595027</v>
      </c>
      <c r="AW21" t="s">
        <v>724</v>
      </c>
      <c r="AX21">
        <v>5111.67</v>
      </c>
      <c r="AY21">
        <v>545.84117647058815</v>
      </c>
      <c r="AZ21">
        <v>2426.21</v>
      </c>
      <c r="BA21">
        <f t="shared" si="30"/>
        <v>0.77502311157295201</v>
      </c>
      <c r="BB21">
        <v>-5.2289110739545492</v>
      </c>
      <c r="BC21" t="s">
        <v>741</v>
      </c>
      <c r="BD21">
        <v>5094.75</v>
      </c>
      <c r="BE21">
        <v>795.9371176470587</v>
      </c>
      <c r="BF21">
        <v>1360.41</v>
      </c>
      <c r="BG21">
        <f t="shared" si="31"/>
        <v>0.41492850122605784</v>
      </c>
      <c r="BH21">
        <v>0.5</v>
      </c>
      <c r="BI21">
        <f t="shared" si="32"/>
        <v>924.30582551872226</v>
      </c>
      <c r="BJ21">
        <f t="shared" si="33"/>
        <v>52.051587208957059</v>
      </c>
      <c r="BK21">
        <f t="shared" si="34"/>
        <v>191.76041542849879</v>
      </c>
      <c r="BL21">
        <f t="shared" si="35"/>
        <v>6.1971369974613846E-2</v>
      </c>
      <c r="BM21">
        <f t="shared" si="36"/>
        <v>0.78344028638425167</v>
      </c>
      <c r="BN21">
        <f t="shared" si="37"/>
        <v>464.04965926421221</v>
      </c>
      <c r="BO21" t="s">
        <v>407</v>
      </c>
      <c r="BP21">
        <v>0</v>
      </c>
      <c r="BQ21">
        <f t="shared" si="38"/>
        <v>464.04965926421221</v>
      </c>
      <c r="BR21">
        <f t="shared" si="39"/>
        <v>0.65888984992449906</v>
      </c>
      <c r="BS21">
        <f t="shared" si="40"/>
        <v>0.62973879666472887</v>
      </c>
      <c r="BT21">
        <f t="shared" si="41"/>
        <v>0.54317681275748186</v>
      </c>
      <c r="BU21">
        <f t="shared" si="42"/>
        <v>0.69297138074491971</v>
      </c>
      <c r="BV21">
        <f t="shared" si="43"/>
        <v>0.56680369652136453</v>
      </c>
      <c r="BW21">
        <f t="shared" si="44"/>
        <v>0.36715221283009147</v>
      </c>
      <c r="BX21">
        <f t="shared" si="45"/>
        <v>0.63284778716990853</v>
      </c>
      <c r="DG21">
        <f t="shared" si="46"/>
        <v>1100.011935483871</v>
      </c>
      <c r="DH21">
        <f t="shared" si="47"/>
        <v>924.30582551872226</v>
      </c>
      <c r="DI21">
        <f t="shared" si="48"/>
        <v>0.84026890591158954</v>
      </c>
      <c r="DJ21">
        <f t="shared" si="49"/>
        <v>0.16011898840936784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1782920215.5</v>
      </c>
      <c r="DQ21">
        <v>419.68112903225818</v>
      </c>
      <c r="DR21">
        <v>485.51306451612902</v>
      </c>
      <c r="DS21">
        <v>35.435867741935482</v>
      </c>
      <c r="DT21">
        <v>27.69674516129032</v>
      </c>
      <c r="DU21">
        <v>424.41745161290311</v>
      </c>
      <c r="DV21">
        <v>34.936919354838707</v>
      </c>
      <c r="DW21">
        <v>499.97803225806462</v>
      </c>
      <c r="DX21">
        <v>97.774929032258058</v>
      </c>
      <c r="DY21">
        <v>4.8889687096774187E-2</v>
      </c>
      <c r="DZ21">
        <v>33.903409677419347</v>
      </c>
      <c r="EA21">
        <v>33.119529032258072</v>
      </c>
      <c r="EB21">
        <v>999.90000000000032</v>
      </c>
      <c r="EC21">
        <v>0</v>
      </c>
      <c r="ED21">
        <v>0</v>
      </c>
      <c r="EE21">
        <v>10004.1935483871</v>
      </c>
      <c r="EF21">
        <v>0</v>
      </c>
      <c r="EG21">
        <v>1205.2683870967739</v>
      </c>
      <c r="EH21">
        <v>-65.831958064516115</v>
      </c>
      <c r="EI21">
        <v>435.09929032258071</v>
      </c>
      <c r="EJ21">
        <v>499.34341935483872</v>
      </c>
      <c r="EK21">
        <v>7.7391290322580657</v>
      </c>
      <c r="EL21">
        <v>485.51306451612902</v>
      </c>
      <c r="EM21">
        <v>27.69674516129032</v>
      </c>
      <c r="EN21">
        <v>3.4647399999999999</v>
      </c>
      <c r="EO21">
        <v>2.7080477419354838</v>
      </c>
      <c r="EP21">
        <v>26.447941935483879</v>
      </c>
      <c r="EQ21">
        <v>22.334009677419349</v>
      </c>
      <c r="ER21">
        <v>1100.011935483871</v>
      </c>
      <c r="ES21">
        <v>0.99099274193548381</v>
      </c>
      <c r="ET21">
        <v>9.0069829032258068E-3</v>
      </c>
      <c r="EU21">
        <v>0</v>
      </c>
      <c r="EV21">
        <v>796.21248387096784</v>
      </c>
      <c r="EW21">
        <v>5.0010700000000003</v>
      </c>
      <c r="EX21">
        <v>13320.967741935479</v>
      </c>
      <c r="EY21">
        <v>9996.8338709677428</v>
      </c>
      <c r="EZ21">
        <v>41.125</v>
      </c>
      <c r="FA21">
        <v>43.402999999999992</v>
      </c>
      <c r="FB21">
        <v>42.311999999999983</v>
      </c>
      <c r="FC21">
        <v>43</v>
      </c>
      <c r="FD21">
        <v>43.241870967741932</v>
      </c>
      <c r="FE21">
        <v>1085.1519354838711</v>
      </c>
      <c r="FF21">
        <v>9.860000000000003</v>
      </c>
      <c r="FG21">
        <v>0</v>
      </c>
      <c r="FH21">
        <v>167.19999980926511</v>
      </c>
      <c r="FI21">
        <v>0</v>
      </c>
      <c r="FJ21">
        <v>795.9371176470587</v>
      </c>
      <c r="FK21">
        <v>-6.4340686270327643</v>
      </c>
      <c r="FL21">
        <v>1640.686272999998</v>
      </c>
      <c r="FM21">
        <v>13373.48823529412</v>
      </c>
      <c r="FN21">
        <v>10</v>
      </c>
      <c r="FO21">
        <v>1782920180</v>
      </c>
      <c r="FP21" t="s">
        <v>742</v>
      </c>
      <c r="FQ21">
        <v>1782920180</v>
      </c>
      <c r="FR21">
        <v>1782920170</v>
      </c>
      <c r="FS21">
        <v>6</v>
      </c>
      <c r="FT21">
        <v>7.1999999999999995E-2</v>
      </c>
      <c r="FU21">
        <v>-3.0000000000000001E-3</v>
      </c>
      <c r="FV21">
        <v>-4.7359999999999998</v>
      </c>
      <c r="FW21">
        <v>0.26600000000000001</v>
      </c>
      <c r="FX21">
        <v>487</v>
      </c>
      <c r="FY21">
        <v>27</v>
      </c>
      <c r="FZ21">
        <v>0.11</v>
      </c>
      <c r="GA21">
        <v>0.04</v>
      </c>
      <c r="GB21">
        <v>-65.891414634146329</v>
      </c>
      <c r="GC21">
        <v>-0.85714703832749572</v>
      </c>
      <c r="GD21">
        <v>0.55508964099678371</v>
      </c>
      <c r="GE21">
        <v>1</v>
      </c>
      <c r="GF21">
        <v>796.38902941176468</v>
      </c>
      <c r="GG21">
        <v>-4.557967906017919</v>
      </c>
      <c r="GH21">
        <v>0.51180634465494346</v>
      </c>
      <c r="GI21">
        <v>1</v>
      </c>
      <c r="GJ21">
        <v>7.7238987804878043</v>
      </c>
      <c r="GK21">
        <v>0.31044878048781299</v>
      </c>
      <c r="GL21">
        <v>3.7261126686231848E-2</v>
      </c>
      <c r="GM21">
        <v>1</v>
      </c>
      <c r="GN21">
        <v>3</v>
      </c>
      <c r="GO21">
        <v>3</v>
      </c>
      <c r="GP21" t="s">
        <v>599</v>
      </c>
      <c r="GQ21">
        <v>3.13381</v>
      </c>
      <c r="GR21">
        <v>2.7252999999999998</v>
      </c>
      <c r="GS21">
        <v>9.1406299999999996E-2</v>
      </c>
      <c r="GT21">
        <v>0.101894</v>
      </c>
      <c r="GU21">
        <v>0.14533599999999999</v>
      </c>
      <c r="GV21">
        <v>0.124069</v>
      </c>
      <c r="GW21">
        <v>22787.7</v>
      </c>
      <c r="GX21">
        <v>30331.1</v>
      </c>
      <c r="GY21">
        <v>27204.2</v>
      </c>
      <c r="GZ21">
        <v>34726.6</v>
      </c>
      <c r="HA21">
        <v>34041.9</v>
      </c>
      <c r="HB21">
        <v>38843.300000000003</v>
      </c>
      <c r="HC21">
        <v>40164.800000000003</v>
      </c>
      <c r="HD21">
        <v>44427.4</v>
      </c>
      <c r="HE21">
        <v>1.9725999999999999</v>
      </c>
      <c r="HF21">
        <v>1.7754000000000001</v>
      </c>
      <c r="HG21">
        <v>4.06802E-2</v>
      </c>
      <c r="HH21">
        <v>0</v>
      </c>
      <c r="HI21">
        <v>32.475499999999997</v>
      </c>
      <c r="HJ21">
        <v>999.9</v>
      </c>
      <c r="HK21">
        <v>59.1</v>
      </c>
      <c r="HL21">
        <v>38.1</v>
      </c>
      <c r="HM21">
        <v>40.458100000000002</v>
      </c>
      <c r="HN21">
        <v>59.56</v>
      </c>
      <c r="HO21">
        <v>5.2684300000000004</v>
      </c>
      <c r="HP21">
        <v>1</v>
      </c>
      <c r="HQ21">
        <v>0.50841499999999995</v>
      </c>
      <c r="HR21">
        <v>0</v>
      </c>
      <c r="HS21">
        <v>20.2864</v>
      </c>
      <c r="HT21">
        <v>5.2077099999999996</v>
      </c>
      <c r="HU21">
        <v>11.9057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1.86304</v>
      </c>
      <c r="ID21">
        <v>1.86249</v>
      </c>
      <c r="IE21">
        <v>1.8620000000000001</v>
      </c>
      <c r="IF21">
        <v>1.8620000000000001</v>
      </c>
      <c r="IG21">
        <v>1.8626400000000001</v>
      </c>
      <c r="IH21">
        <v>1.8635600000000001</v>
      </c>
      <c r="II21">
        <v>1.8614200000000001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-4.7359999999999998</v>
      </c>
      <c r="IX21">
        <v>0.49830000000000002</v>
      </c>
      <c r="IY21">
        <v>-4.7362380952379786</v>
      </c>
      <c r="IZ21">
        <v>0</v>
      </c>
      <c r="JA21">
        <v>0</v>
      </c>
      <c r="JB21">
        <v>0</v>
      </c>
      <c r="JC21">
        <v>-0.21756821520099101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0.7</v>
      </c>
      <c r="JL21">
        <v>0.9</v>
      </c>
      <c r="JM21">
        <v>1.23047</v>
      </c>
      <c r="JN21">
        <v>2.52075</v>
      </c>
      <c r="JO21">
        <v>1.50024</v>
      </c>
      <c r="JP21">
        <v>2.2741699999999998</v>
      </c>
      <c r="JQ21">
        <v>1.4477500000000001</v>
      </c>
      <c r="JR21">
        <v>2.3974600000000001</v>
      </c>
      <c r="JS21">
        <v>41.717399999999998</v>
      </c>
      <c r="JT21">
        <v>15.4892</v>
      </c>
      <c r="JU21">
        <v>18</v>
      </c>
      <c r="JV21">
        <v>545.73</v>
      </c>
      <c r="JW21">
        <v>431.41800000000001</v>
      </c>
      <c r="JX21">
        <v>33.389600000000002</v>
      </c>
      <c r="JY21">
        <v>33.650500000000001</v>
      </c>
      <c r="JZ21">
        <v>30.000499999999999</v>
      </c>
      <c r="KA21">
        <v>33.557099999999998</v>
      </c>
      <c r="KB21">
        <v>33.511400000000002</v>
      </c>
      <c r="KC21">
        <v>24.608499999999999</v>
      </c>
      <c r="KD21">
        <v>41.866799999999998</v>
      </c>
      <c r="KE21">
        <v>0</v>
      </c>
      <c r="KF21">
        <v>-999.9</v>
      </c>
      <c r="KG21">
        <v>485.98500000000001</v>
      </c>
      <c r="KH21">
        <v>27.539400000000001</v>
      </c>
      <c r="KI21">
        <v>100.39</v>
      </c>
      <c r="KJ21">
        <v>99.592600000000004</v>
      </c>
    </row>
    <row r="22" spans="1:296" x14ac:dyDescent="0.3">
      <c r="A22">
        <v>6</v>
      </c>
      <c r="B22">
        <v>1782920363</v>
      </c>
      <c r="C22">
        <v>768.5</v>
      </c>
      <c r="D22" t="s">
        <v>743</v>
      </c>
      <c r="E22" t="s">
        <v>744</v>
      </c>
      <c r="F22">
        <v>15</v>
      </c>
      <c r="H22">
        <v>1782920355.25</v>
      </c>
      <c r="I22">
        <f t="shared" si="0"/>
        <v>6.6881152539991443E-3</v>
      </c>
      <c r="J22">
        <f t="shared" si="1"/>
        <v>6.6881152539991442</v>
      </c>
      <c r="K22">
        <f t="shared" si="2"/>
        <v>49.918123835113242</v>
      </c>
      <c r="L22">
        <f t="shared" si="3"/>
        <v>419.83183333333341</v>
      </c>
      <c r="M22">
        <f t="shared" si="4"/>
        <v>208.95013411104989</v>
      </c>
      <c r="N22">
        <f t="shared" si="5"/>
        <v>20.440255320594829</v>
      </c>
      <c r="O22">
        <f t="shared" si="6"/>
        <v>41.069463303076844</v>
      </c>
      <c r="P22">
        <f t="shared" si="7"/>
        <v>0.42197211298863885</v>
      </c>
      <c r="Q22">
        <f t="shared" si="8"/>
        <v>2.888874410777666</v>
      </c>
      <c r="R22">
        <f t="shared" si="9"/>
        <v>0.39047839300280418</v>
      </c>
      <c r="S22">
        <f t="shared" si="10"/>
        <v>0.24668241559563683</v>
      </c>
      <c r="T22">
        <f t="shared" si="11"/>
        <v>160.17182769640465</v>
      </c>
      <c r="U22">
        <f t="shared" si="12"/>
        <v>33.007053518036201</v>
      </c>
      <c r="V22">
        <f t="shared" si="13"/>
        <v>33.015576666666668</v>
      </c>
      <c r="W22">
        <f t="shared" si="14"/>
        <v>5.0565303953453533</v>
      </c>
      <c r="X22">
        <f t="shared" si="15"/>
        <v>65.338323533732861</v>
      </c>
      <c r="Y22">
        <f t="shared" si="16"/>
        <v>3.4538906188934417</v>
      </c>
      <c r="Z22">
        <f t="shared" si="17"/>
        <v>5.2861635133785878</v>
      </c>
      <c r="AA22">
        <f t="shared" si="18"/>
        <v>1.6026397764519116</v>
      </c>
      <c r="AB22">
        <f t="shared" si="19"/>
        <v>-294.94588270136228</v>
      </c>
      <c r="AC22">
        <f t="shared" si="20"/>
        <v>123.47411465700102</v>
      </c>
      <c r="AD22">
        <f t="shared" si="21"/>
        <v>9.8282545439897362</v>
      </c>
      <c r="AE22">
        <f t="shared" si="22"/>
        <v>-1.4716858039668637</v>
      </c>
      <c r="AF22">
        <f t="shared" si="23"/>
        <v>49.918123835113242</v>
      </c>
      <c r="AG22">
        <f t="shared" si="24"/>
        <v>6.6881152539991442</v>
      </c>
      <c r="AH22">
        <f t="shared" si="25"/>
        <v>49.707714599314805</v>
      </c>
      <c r="AI22">
        <v>496.88140875016393</v>
      </c>
      <c r="AJ22">
        <v>435.32984242424237</v>
      </c>
      <c r="AK22">
        <v>4.0413937173728508E-2</v>
      </c>
      <c r="AL22">
        <v>67.03559505989945</v>
      </c>
      <c r="AM22">
        <f t="shared" si="26"/>
        <v>6.6339450278477203</v>
      </c>
      <c r="AN22">
        <v>27.581964609197801</v>
      </c>
      <c r="AO22">
        <v>35.265937575757562</v>
      </c>
      <c r="AP22">
        <v>-5.8391704430470692E-4</v>
      </c>
      <c r="AQ22">
        <v>78.069256106146696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50515.82086011723</v>
      </c>
      <c r="AW22" t="s">
        <v>724</v>
      </c>
      <c r="AX22">
        <v>5111.67</v>
      </c>
      <c r="AY22">
        <v>545.84117647058815</v>
      </c>
      <c r="AZ22">
        <v>2426.21</v>
      </c>
      <c r="BA22">
        <f t="shared" si="30"/>
        <v>0.77502311157295201</v>
      </c>
      <c r="BB22">
        <v>-5.2289110739545492</v>
      </c>
      <c r="BC22" t="s">
        <v>745</v>
      </c>
      <c r="BD22">
        <v>5095.74</v>
      </c>
      <c r="BE22">
        <v>790.76011764705891</v>
      </c>
      <c r="BF22">
        <v>1419.62</v>
      </c>
      <c r="BG22">
        <f t="shared" si="31"/>
        <v>0.44297761538506153</v>
      </c>
      <c r="BH22">
        <v>0.5</v>
      </c>
      <c r="BI22">
        <f t="shared" si="32"/>
        <v>840.27873953181586</v>
      </c>
      <c r="BJ22">
        <f t="shared" si="33"/>
        <v>49.918123835113242</v>
      </c>
      <c r="BK22">
        <f t="shared" si="34"/>
        <v>186.1123361482845</v>
      </c>
      <c r="BL22">
        <f t="shared" si="35"/>
        <v>6.5629454030688025E-2</v>
      </c>
      <c r="BM22">
        <f t="shared" si="36"/>
        <v>0.70905594454854126</v>
      </c>
      <c r="BN22">
        <f t="shared" si="37"/>
        <v>470.7470431861318</v>
      </c>
      <c r="BO22" t="s">
        <v>407</v>
      </c>
      <c r="BP22">
        <v>0</v>
      </c>
      <c r="BQ22">
        <f t="shared" si="38"/>
        <v>470.7470431861318</v>
      </c>
      <c r="BR22">
        <f t="shared" si="39"/>
        <v>0.66839925952992219</v>
      </c>
      <c r="BS22">
        <f t="shared" si="40"/>
        <v>0.66274402472648275</v>
      </c>
      <c r="BT22">
        <f t="shared" si="41"/>
        <v>0.51475789735239308</v>
      </c>
      <c r="BU22">
        <f t="shared" si="42"/>
        <v>0.71970144551320003</v>
      </c>
      <c r="BV22">
        <f t="shared" si="43"/>
        <v>0.53531519317080167</v>
      </c>
      <c r="BW22">
        <f t="shared" si="44"/>
        <v>0.39453784158664029</v>
      </c>
      <c r="BX22">
        <f t="shared" si="45"/>
        <v>0.60546215841335971</v>
      </c>
      <c r="DG22">
        <f t="shared" si="46"/>
        <v>999.97683333333339</v>
      </c>
      <c r="DH22">
        <f t="shared" si="47"/>
        <v>840.27873953181586</v>
      </c>
      <c r="DI22">
        <f t="shared" si="48"/>
        <v>0.84029820644026498</v>
      </c>
      <c r="DJ22">
        <f t="shared" si="49"/>
        <v>0.16017553842971161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1782920355.25</v>
      </c>
      <c r="DQ22">
        <v>419.83183333333341</v>
      </c>
      <c r="DR22">
        <v>483.10706666666658</v>
      </c>
      <c r="DS22">
        <v>35.307333333333332</v>
      </c>
      <c r="DT22">
        <v>27.56447</v>
      </c>
      <c r="DU22">
        <v>424.56706666666662</v>
      </c>
      <c r="DV22">
        <v>34.816793333333329</v>
      </c>
      <c r="DW22">
        <v>499.96820000000008</v>
      </c>
      <c r="DX22">
        <v>97.774286666666654</v>
      </c>
      <c r="DY22">
        <v>4.9318030000000013E-2</v>
      </c>
      <c r="DZ22">
        <v>33.808373333333329</v>
      </c>
      <c r="EA22">
        <v>33.015576666666668</v>
      </c>
      <c r="EB22">
        <v>999.9000000000002</v>
      </c>
      <c r="EC22">
        <v>0</v>
      </c>
      <c r="ED22">
        <v>0</v>
      </c>
      <c r="EE22">
        <v>9992.3333333333339</v>
      </c>
      <c r="EF22">
        <v>0</v>
      </c>
      <c r="EG22">
        <v>1541.560666666667</v>
      </c>
      <c r="EH22">
        <v>-63.275320000000008</v>
      </c>
      <c r="EI22">
        <v>435.1973333333334</v>
      </c>
      <c r="EJ22">
        <v>496.80106666666671</v>
      </c>
      <c r="EK22">
        <v>7.742864</v>
      </c>
      <c r="EL22">
        <v>483.10706666666658</v>
      </c>
      <c r="EM22">
        <v>27.56447</v>
      </c>
      <c r="EN22">
        <v>3.4521499999999992</v>
      </c>
      <c r="EO22">
        <v>2.6950966666666658</v>
      </c>
      <c r="EP22">
        <v>26.38621666666667</v>
      </c>
      <c r="EQ22">
        <v>22.255253333333339</v>
      </c>
      <c r="ER22">
        <v>999.97683333333339</v>
      </c>
      <c r="ES22">
        <v>0.99001079999999986</v>
      </c>
      <c r="ET22">
        <v>9.9887790000000032E-3</v>
      </c>
      <c r="EU22">
        <v>0</v>
      </c>
      <c r="EV22">
        <v>790.87336666666681</v>
      </c>
      <c r="EW22">
        <v>5.0010700000000003</v>
      </c>
      <c r="EX22">
        <v>13236.48333333333</v>
      </c>
      <c r="EY22">
        <v>9080.1059999999998</v>
      </c>
      <c r="EZ22">
        <v>40.75</v>
      </c>
      <c r="FA22">
        <v>43.389466666666671</v>
      </c>
      <c r="FB22">
        <v>42.168400000000013</v>
      </c>
      <c r="FC22">
        <v>42.799599999999977</v>
      </c>
      <c r="FD22">
        <v>43.022733333333328</v>
      </c>
      <c r="FE22">
        <v>985.03733333333321</v>
      </c>
      <c r="FF22">
        <v>9.94</v>
      </c>
      <c r="FG22">
        <v>0</v>
      </c>
      <c r="FH22">
        <v>138.79999995231631</v>
      </c>
      <c r="FI22">
        <v>0</v>
      </c>
      <c r="FJ22">
        <v>790.76011764705891</v>
      </c>
      <c r="FK22">
        <v>-3.1563725018138982</v>
      </c>
      <c r="FL22">
        <v>-252.99019389396639</v>
      </c>
      <c r="FM22">
        <v>13241.805882352941</v>
      </c>
      <c r="FN22">
        <v>10</v>
      </c>
      <c r="FO22">
        <v>1782920309</v>
      </c>
      <c r="FP22" t="s">
        <v>746</v>
      </c>
      <c r="FQ22">
        <v>1782920304.5</v>
      </c>
      <c r="FR22">
        <v>1782920309</v>
      </c>
      <c r="FS22">
        <v>7</v>
      </c>
      <c r="FT22">
        <v>1E-3</v>
      </c>
      <c r="FU22">
        <v>-5.0000000000000001E-3</v>
      </c>
      <c r="FV22">
        <v>-4.7350000000000003</v>
      </c>
      <c r="FW22">
        <v>0.27500000000000002</v>
      </c>
      <c r="FX22">
        <v>484</v>
      </c>
      <c r="FY22">
        <v>28</v>
      </c>
      <c r="FZ22">
        <v>0.13</v>
      </c>
      <c r="GA22">
        <v>0.04</v>
      </c>
      <c r="GB22">
        <v>-63.223799999999997</v>
      </c>
      <c r="GC22">
        <v>-0.58931482176349614</v>
      </c>
      <c r="GD22">
        <v>0.23124993945945191</v>
      </c>
      <c r="GE22">
        <v>1</v>
      </c>
      <c r="GF22">
        <v>790.92902941176487</v>
      </c>
      <c r="GG22">
        <v>-1.609029784823909</v>
      </c>
      <c r="GH22">
        <v>0.29447855063145878</v>
      </c>
      <c r="GI22">
        <v>1</v>
      </c>
      <c r="GJ22">
        <v>7.7477649999999993</v>
      </c>
      <c r="GK22">
        <v>-0.23258634146342461</v>
      </c>
      <c r="GL22">
        <v>5.3396298888593471E-2</v>
      </c>
      <c r="GM22">
        <v>1</v>
      </c>
      <c r="GN22">
        <v>3</v>
      </c>
      <c r="GO22">
        <v>3</v>
      </c>
      <c r="GP22" t="s">
        <v>599</v>
      </c>
      <c r="GQ22">
        <v>3.1321099999999999</v>
      </c>
      <c r="GR22">
        <v>2.72451</v>
      </c>
      <c r="GS22">
        <v>9.1420799999999997E-2</v>
      </c>
      <c r="GT22">
        <v>0.101424</v>
      </c>
      <c r="GU22">
        <v>0.144899</v>
      </c>
      <c r="GV22">
        <v>0.12381399999999999</v>
      </c>
      <c r="GW22">
        <v>22782.5</v>
      </c>
      <c r="GX22">
        <v>30338.3</v>
      </c>
      <c r="GY22">
        <v>27199.1</v>
      </c>
      <c r="GZ22">
        <v>34717.699999999997</v>
      </c>
      <c r="HA22">
        <v>34054.6</v>
      </c>
      <c r="HB22">
        <v>38846.6</v>
      </c>
      <c r="HC22">
        <v>40157.800000000003</v>
      </c>
      <c r="HD22">
        <v>44417.9</v>
      </c>
      <c r="HE22">
        <v>1.9702</v>
      </c>
      <c r="HF22">
        <v>1.7722</v>
      </c>
      <c r="HG22">
        <v>3.3080600000000002E-2</v>
      </c>
      <c r="HH22">
        <v>0</v>
      </c>
      <c r="HI22">
        <v>32.482399999999998</v>
      </c>
      <c r="HJ22">
        <v>999.9</v>
      </c>
      <c r="HK22">
        <v>59.9</v>
      </c>
      <c r="HL22">
        <v>38.200000000000003</v>
      </c>
      <c r="HM22">
        <v>41.226599999999998</v>
      </c>
      <c r="HN22">
        <v>60.02</v>
      </c>
      <c r="HO22">
        <v>5.3726000000000003</v>
      </c>
      <c r="HP22">
        <v>1</v>
      </c>
      <c r="HQ22">
        <v>0.52054900000000004</v>
      </c>
      <c r="HR22">
        <v>0</v>
      </c>
      <c r="HS22">
        <v>20.2865</v>
      </c>
      <c r="HT22">
        <v>5.2088999999999999</v>
      </c>
      <c r="HU22">
        <v>11.908099999999999</v>
      </c>
      <c r="HV22">
        <v>4.9843999999999999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1.86307</v>
      </c>
      <c r="ID22">
        <v>1.86249</v>
      </c>
      <c r="IE22">
        <v>1.8620300000000001</v>
      </c>
      <c r="IF22">
        <v>1.8620000000000001</v>
      </c>
      <c r="IG22">
        <v>1.8626400000000001</v>
      </c>
      <c r="IH22">
        <v>1.8635600000000001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-4.7350000000000003</v>
      </c>
      <c r="IX22">
        <v>0.48930000000000001</v>
      </c>
      <c r="IY22">
        <v>-4.7353333333333012</v>
      </c>
      <c r="IZ22">
        <v>0</v>
      </c>
      <c r="JA22">
        <v>0</v>
      </c>
      <c r="JB22">
        <v>0</v>
      </c>
      <c r="JC22">
        <v>-0.22229634522347391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1</v>
      </c>
      <c r="JL22">
        <v>0.9</v>
      </c>
      <c r="JM22">
        <v>1.2231399999999999</v>
      </c>
      <c r="JN22">
        <v>2.5268600000000001</v>
      </c>
      <c r="JO22">
        <v>1.50024</v>
      </c>
      <c r="JP22">
        <v>2.2741699999999998</v>
      </c>
      <c r="JQ22">
        <v>1.4477500000000001</v>
      </c>
      <c r="JR22">
        <v>2.4352999999999998</v>
      </c>
      <c r="JS22">
        <v>41.927500000000002</v>
      </c>
      <c r="JT22">
        <v>15.480399999999999</v>
      </c>
      <c r="JU22">
        <v>18</v>
      </c>
      <c r="JV22">
        <v>545.22299999999996</v>
      </c>
      <c r="JW22">
        <v>430.31</v>
      </c>
      <c r="JX22">
        <v>33.456099999999999</v>
      </c>
      <c r="JY22">
        <v>33.796100000000003</v>
      </c>
      <c r="JZ22">
        <v>30.0002</v>
      </c>
      <c r="KA22">
        <v>33.689300000000003</v>
      </c>
      <c r="KB22">
        <v>33.639899999999997</v>
      </c>
      <c r="KC22">
        <v>24.471699999999998</v>
      </c>
      <c r="KD22">
        <v>42.678899999999999</v>
      </c>
      <c r="KE22">
        <v>0</v>
      </c>
      <c r="KF22">
        <v>-999.9</v>
      </c>
      <c r="KG22">
        <v>482.98599999999999</v>
      </c>
      <c r="KH22">
        <v>27.566600000000001</v>
      </c>
      <c r="KI22">
        <v>100.372</v>
      </c>
      <c r="KJ22">
        <v>99.569400000000002</v>
      </c>
    </row>
    <row r="23" spans="1:296" x14ac:dyDescent="0.3">
      <c r="A23">
        <v>7</v>
      </c>
      <c r="B23">
        <v>1782920539.5</v>
      </c>
      <c r="C23">
        <v>945</v>
      </c>
      <c r="D23" t="s">
        <v>747</v>
      </c>
      <c r="E23" t="s">
        <v>487</v>
      </c>
      <c r="F23">
        <v>15</v>
      </c>
      <c r="H23">
        <v>1782920531.5</v>
      </c>
      <c r="I23">
        <f t="shared" si="0"/>
        <v>6.0059664911476162E-3</v>
      </c>
      <c r="J23">
        <f t="shared" si="1"/>
        <v>6.0059664911476158</v>
      </c>
      <c r="K23">
        <f t="shared" si="2"/>
        <v>42.803988303998054</v>
      </c>
      <c r="L23">
        <f t="shared" si="3"/>
        <v>419.90364516129029</v>
      </c>
      <c r="M23">
        <f t="shared" si="4"/>
        <v>219.5366121430279</v>
      </c>
      <c r="N23">
        <f t="shared" si="5"/>
        <v>21.474688882070719</v>
      </c>
      <c r="O23">
        <f t="shared" si="6"/>
        <v>41.074242934984198</v>
      </c>
      <c r="P23">
        <f t="shared" si="7"/>
        <v>0.37933279110868962</v>
      </c>
      <c r="Q23">
        <f t="shared" si="8"/>
        <v>2.889808413051945</v>
      </c>
      <c r="R23">
        <f t="shared" si="9"/>
        <v>0.35368252968882241</v>
      </c>
      <c r="S23">
        <f t="shared" si="10"/>
        <v>0.22321145354860819</v>
      </c>
      <c r="T23">
        <f t="shared" si="11"/>
        <v>128.27475578178579</v>
      </c>
      <c r="U23">
        <f t="shared" si="12"/>
        <v>32.820529520105843</v>
      </c>
      <c r="V23">
        <f t="shared" si="13"/>
        <v>32.855216129032257</v>
      </c>
      <c r="W23">
        <f t="shared" si="14"/>
        <v>5.0111525766799936</v>
      </c>
      <c r="X23">
        <f t="shared" si="15"/>
        <v>65.368389712553991</v>
      </c>
      <c r="Y23">
        <f t="shared" si="16"/>
        <v>3.4216776026150919</v>
      </c>
      <c r="Z23">
        <f t="shared" si="17"/>
        <v>5.2344529483766049</v>
      </c>
      <c r="AA23">
        <f t="shared" si="18"/>
        <v>1.5894749740649017</v>
      </c>
      <c r="AB23">
        <f t="shared" si="19"/>
        <v>-264.8631222596099</v>
      </c>
      <c r="AC23">
        <f t="shared" si="20"/>
        <v>121.09671106623527</v>
      </c>
      <c r="AD23">
        <f t="shared" si="21"/>
        <v>9.620050668979232</v>
      </c>
      <c r="AE23">
        <f t="shared" si="22"/>
        <v>-5.8716047426095912</v>
      </c>
      <c r="AF23">
        <f t="shared" si="23"/>
        <v>42.803988303998054</v>
      </c>
      <c r="AG23">
        <f t="shared" si="24"/>
        <v>6.0059664911476158</v>
      </c>
      <c r="AH23">
        <f t="shared" si="25"/>
        <v>42.806359609454482</v>
      </c>
      <c r="AI23">
        <v>488.18316473825422</v>
      </c>
      <c r="AJ23">
        <v>435.1241030303031</v>
      </c>
      <c r="AK23">
        <v>4.1794335078013327E-2</v>
      </c>
      <c r="AL23">
        <v>67.035431703437212</v>
      </c>
      <c r="AM23">
        <f t="shared" si="26"/>
        <v>5.9923200218501469</v>
      </c>
      <c r="AN23">
        <v>27.98655659777382</v>
      </c>
      <c r="AO23">
        <v>34.946314545454527</v>
      </c>
      <c r="AP23">
        <v>-3.4839663323905051E-3</v>
      </c>
      <c r="AQ23">
        <v>78.068758345261372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50570.70534755163</v>
      </c>
      <c r="AW23" t="s">
        <v>724</v>
      </c>
      <c r="AX23">
        <v>5111.67</v>
      </c>
      <c r="AY23">
        <v>545.84117647058815</v>
      </c>
      <c r="AZ23">
        <v>2426.21</v>
      </c>
      <c r="BA23">
        <f t="shared" si="30"/>
        <v>0.77502311157295201</v>
      </c>
      <c r="BB23">
        <v>-5.2289110739545492</v>
      </c>
      <c r="BC23" t="s">
        <v>748</v>
      </c>
      <c r="BD23">
        <v>5098.67</v>
      </c>
      <c r="BE23">
        <v>775.90229411764699</v>
      </c>
      <c r="BF23">
        <v>1545.86</v>
      </c>
      <c r="BG23">
        <f t="shared" si="31"/>
        <v>0.49807725530277835</v>
      </c>
      <c r="BH23">
        <v>0.5</v>
      </c>
      <c r="BI23">
        <f t="shared" si="32"/>
        <v>672.29226019781629</v>
      </c>
      <c r="BJ23">
        <f t="shared" si="33"/>
        <v>42.803988303998054</v>
      </c>
      <c r="BK23">
        <f t="shared" si="34"/>
        <v>167.42674186031482</v>
      </c>
      <c r="BL23">
        <f t="shared" si="35"/>
        <v>7.1446455986001287E-2</v>
      </c>
      <c r="BM23">
        <f t="shared" si="36"/>
        <v>0.56948882822506575</v>
      </c>
      <c r="BN23">
        <f t="shared" si="37"/>
        <v>483.84949620098996</v>
      </c>
      <c r="BO23" t="s">
        <v>407</v>
      </c>
      <c r="BP23">
        <v>0</v>
      </c>
      <c r="BQ23">
        <f t="shared" si="38"/>
        <v>483.84949620098996</v>
      </c>
      <c r="BR23">
        <f t="shared" si="39"/>
        <v>0.68700302989857431</v>
      </c>
      <c r="BS23">
        <f t="shared" si="40"/>
        <v>0.72500008533632232</v>
      </c>
      <c r="BT23">
        <f t="shared" si="41"/>
        <v>0.45323718139765895</v>
      </c>
      <c r="BU23">
        <f t="shared" si="42"/>
        <v>0.76994321283364076</v>
      </c>
      <c r="BV23">
        <f t="shared" si="43"/>
        <v>0.46817942787819788</v>
      </c>
      <c r="BW23">
        <f t="shared" si="44"/>
        <v>0.45210708705865132</v>
      </c>
      <c r="BX23">
        <f t="shared" si="45"/>
        <v>0.54789291294134868</v>
      </c>
      <c r="DG23">
        <f t="shared" si="46"/>
        <v>799.97899999999981</v>
      </c>
      <c r="DH23">
        <f t="shared" si="47"/>
        <v>672.29226019781629</v>
      </c>
      <c r="DI23">
        <f t="shared" si="48"/>
        <v>0.84038738541613778</v>
      </c>
      <c r="DJ23">
        <f t="shared" si="49"/>
        <v>0.16034765385314592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1782920531.5</v>
      </c>
      <c r="DQ23">
        <v>419.90364516129029</v>
      </c>
      <c r="DR23">
        <v>474.29016129032249</v>
      </c>
      <c r="DS23">
        <v>34.979948387096783</v>
      </c>
      <c r="DT23">
        <v>28.025480645161291</v>
      </c>
      <c r="DU23">
        <v>424.69609677419351</v>
      </c>
      <c r="DV23">
        <v>34.500393548387088</v>
      </c>
      <c r="DW23">
        <v>500.04212903225812</v>
      </c>
      <c r="DX23">
        <v>97.769103225806447</v>
      </c>
      <c r="DY23">
        <v>4.915438709677418E-2</v>
      </c>
      <c r="DZ23">
        <v>33.632496774193527</v>
      </c>
      <c r="EA23">
        <v>32.855216129032257</v>
      </c>
      <c r="EB23">
        <v>999.90000000000032</v>
      </c>
      <c r="EC23">
        <v>0</v>
      </c>
      <c r="ED23">
        <v>0</v>
      </c>
      <c r="EE23">
        <v>9998.2258064516136</v>
      </c>
      <c r="EF23">
        <v>0</v>
      </c>
      <c r="EG23">
        <v>1040.3145483870969</v>
      </c>
      <c r="EH23">
        <v>-54.386632258064523</v>
      </c>
      <c r="EI23">
        <v>435.1241612903226</v>
      </c>
      <c r="EJ23">
        <v>487.96570967741928</v>
      </c>
      <c r="EK23">
        <v>6.9544706451612903</v>
      </c>
      <c r="EL23">
        <v>474.29016129032249</v>
      </c>
      <c r="EM23">
        <v>28.025480645161291</v>
      </c>
      <c r="EN23">
        <v>3.4199587096774189</v>
      </c>
      <c r="EO23">
        <v>2.7400264516129029</v>
      </c>
      <c r="EP23">
        <v>26.227538709677429</v>
      </c>
      <c r="EQ23">
        <v>22.52713870967742</v>
      </c>
      <c r="ER23">
        <v>799.97899999999981</v>
      </c>
      <c r="ES23">
        <v>0.98700483870967737</v>
      </c>
      <c r="ET23">
        <v>1.2995403225806451E-2</v>
      </c>
      <c r="EU23">
        <v>0</v>
      </c>
      <c r="EV23">
        <v>776.06438709677434</v>
      </c>
      <c r="EW23">
        <v>5.0010700000000003</v>
      </c>
      <c r="EX23">
        <v>10272.029032258069</v>
      </c>
      <c r="EY23">
        <v>7246.4406451612886</v>
      </c>
      <c r="EZ23">
        <v>40.25</v>
      </c>
      <c r="FA23">
        <v>43.061999999999969</v>
      </c>
      <c r="FB23">
        <v>41.752000000000002</v>
      </c>
      <c r="FC23">
        <v>42.557999999999979</v>
      </c>
      <c r="FD23">
        <v>42.568096774193521</v>
      </c>
      <c r="FE23">
        <v>784.6474193548388</v>
      </c>
      <c r="FF23">
        <v>10.33</v>
      </c>
      <c r="FG23">
        <v>0</v>
      </c>
      <c r="FH23">
        <v>175.5999999046326</v>
      </c>
      <c r="FI23">
        <v>0</v>
      </c>
      <c r="FJ23">
        <v>775.90229411764699</v>
      </c>
      <c r="FK23">
        <v>-0.54093136947812115</v>
      </c>
      <c r="FL23">
        <v>-584.33823879373347</v>
      </c>
      <c r="FM23">
        <v>10266.28823529412</v>
      </c>
      <c r="FN23">
        <v>10</v>
      </c>
      <c r="FO23">
        <v>1782920497</v>
      </c>
      <c r="FP23" t="s">
        <v>749</v>
      </c>
      <c r="FQ23">
        <v>1782920495</v>
      </c>
      <c r="FR23">
        <v>1782920497</v>
      </c>
      <c r="FS23">
        <v>8</v>
      </c>
      <c r="FT23">
        <v>-5.7000000000000002E-2</v>
      </c>
      <c r="FU23">
        <v>-1E-3</v>
      </c>
      <c r="FV23">
        <v>-4.7930000000000001</v>
      </c>
      <c r="FW23">
        <v>0.26800000000000002</v>
      </c>
      <c r="FX23">
        <v>475</v>
      </c>
      <c r="FY23">
        <v>28</v>
      </c>
      <c r="FZ23">
        <v>0.17</v>
      </c>
      <c r="GA23">
        <v>0.03</v>
      </c>
      <c r="GB23">
        <v>-54.478570731707308</v>
      </c>
      <c r="GC23">
        <v>0.45297700348425579</v>
      </c>
      <c r="GD23">
        <v>0.45492244112161612</v>
      </c>
      <c r="GE23">
        <v>1</v>
      </c>
      <c r="GF23">
        <v>776.15947058823531</v>
      </c>
      <c r="GG23">
        <v>-2.1534300915544669</v>
      </c>
      <c r="GH23">
        <v>0.307453797130957</v>
      </c>
      <c r="GI23">
        <v>1</v>
      </c>
      <c r="GJ23">
        <v>6.9558924390243906</v>
      </c>
      <c r="GK23">
        <v>7.6093170731721213E-2</v>
      </c>
      <c r="GL23">
        <v>3.7735525396872222E-2</v>
      </c>
      <c r="GM23">
        <v>1</v>
      </c>
      <c r="GN23">
        <v>3</v>
      </c>
      <c r="GO23">
        <v>3</v>
      </c>
      <c r="GP23" t="s">
        <v>599</v>
      </c>
      <c r="GQ23">
        <v>3.1322899999999998</v>
      </c>
      <c r="GR23">
        <v>2.7258499999999999</v>
      </c>
      <c r="GS23">
        <v>9.1392500000000002E-2</v>
      </c>
      <c r="GT23">
        <v>0.100064</v>
      </c>
      <c r="GU23">
        <v>0.14396999999999999</v>
      </c>
      <c r="GV23">
        <v>0.12496500000000001</v>
      </c>
      <c r="GW23">
        <v>22780</v>
      </c>
      <c r="GX23">
        <v>30380.400000000001</v>
      </c>
      <c r="GY23">
        <v>27195.8</v>
      </c>
      <c r="GZ23">
        <v>34713.800000000003</v>
      </c>
      <c r="HA23">
        <v>34088.300000000003</v>
      </c>
      <c r="HB23">
        <v>38792.800000000003</v>
      </c>
      <c r="HC23">
        <v>40153.1</v>
      </c>
      <c r="HD23">
        <v>44414.6</v>
      </c>
      <c r="HE23">
        <v>1.968</v>
      </c>
      <c r="HF23">
        <v>1.7682</v>
      </c>
      <c r="HG23">
        <v>3.7103900000000002E-2</v>
      </c>
      <c r="HH23">
        <v>0</v>
      </c>
      <c r="HI23">
        <v>32.2575</v>
      </c>
      <c r="HJ23">
        <v>999.9</v>
      </c>
      <c r="HK23">
        <v>60.6</v>
      </c>
      <c r="HL23">
        <v>38.4</v>
      </c>
      <c r="HM23">
        <v>42.1676</v>
      </c>
      <c r="HN23">
        <v>60.12</v>
      </c>
      <c r="HO23">
        <v>5.1161899999999996</v>
      </c>
      <c r="HP23">
        <v>1</v>
      </c>
      <c r="HQ23">
        <v>0.52790599999999999</v>
      </c>
      <c r="HR23">
        <v>0</v>
      </c>
      <c r="HS23">
        <v>20.2882</v>
      </c>
      <c r="HT23">
        <v>5.2112999999999996</v>
      </c>
      <c r="HU23">
        <v>11.904500000000001</v>
      </c>
      <c r="HV23">
        <v>4.984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1.8631</v>
      </c>
      <c r="ID23">
        <v>1.86249</v>
      </c>
      <c r="IE23">
        <v>1.8620000000000001</v>
      </c>
      <c r="IF23">
        <v>1.8620300000000001</v>
      </c>
      <c r="IG23">
        <v>1.8626400000000001</v>
      </c>
      <c r="IH23">
        <v>1.8634999999999999</v>
      </c>
      <c r="II23">
        <v>1.86148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-4.7919999999999998</v>
      </c>
      <c r="IX23">
        <v>0.47849999999999998</v>
      </c>
      <c r="IY23">
        <v>-4.7925500000000616</v>
      </c>
      <c r="IZ23">
        <v>0</v>
      </c>
      <c r="JA23">
        <v>0</v>
      </c>
      <c r="JB23">
        <v>0</v>
      </c>
      <c r="JC23">
        <v>-0.22357809325427061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0.7</v>
      </c>
      <c r="JL23">
        <v>0.7</v>
      </c>
      <c r="JM23">
        <v>1.2048300000000001</v>
      </c>
      <c r="JN23">
        <v>2.5305200000000001</v>
      </c>
      <c r="JO23">
        <v>1.50024</v>
      </c>
      <c r="JP23">
        <v>2.2729499999999998</v>
      </c>
      <c r="JQ23">
        <v>1.4477500000000001</v>
      </c>
      <c r="JR23">
        <v>2.3132299999999999</v>
      </c>
      <c r="JS23">
        <v>42.164999999999999</v>
      </c>
      <c r="JT23">
        <v>15.4542</v>
      </c>
      <c r="JU23">
        <v>18</v>
      </c>
      <c r="JV23">
        <v>544.62800000000004</v>
      </c>
      <c r="JW23">
        <v>428.548</v>
      </c>
      <c r="JX23">
        <v>33.387700000000002</v>
      </c>
      <c r="JY23">
        <v>33.881300000000003</v>
      </c>
      <c r="JZ23">
        <v>30.0001</v>
      </c>
      <c r="KA23">
        <v>33.795000000000002</v>
      </c>
      <c r="KB23">
        <v>33.744999999999997</v>
      </c>
      <c r="KC23">
        <v>24.107299999999999</v>
      </c>
      <c r="KD23">
        <v>43.133699999999997</v>
      </c>
      <c r="KE23">
        <v>0</v>
      </c>
      <c r="KF23">
        <v>-999.9</v>
      </c>
      <c r="KG23">
        <v>474.45600000000002</v>
      </c>
      <c r="KH23">
        <v>27.940899999999999</v>
      </c>
      <c r="KI23">
        <v>100.36</v>
      </c>
      <c r="KJ23">
        <v>99.560400000000001</v>
      </c>
    </row>
    <row r="24" spans="1:296" x14ac:dyDescent="0.3">
      <c r="A24">
        <v>8</v>
      </c>
      <c r="B24">
        <v>1782920677.5</v>
      </c>
      <c r="C24">
        <v>1083</v>
      </c>
      <c r="D24" t="s">
        <v>750</v>
      </c>
      <c r="E24" t="s">
        <v>751</v>
      </c>
      <c r="F24">
        <v>15</v>
      </c>
      <c r="H24">
        <v>1782920669.75</v>
      </c>
      <c r="I24">
        <f t="shared" si="0"/>
        <v>5.4696668810979305E-3</v>
      </c>
      <c r="J24">
        <f t="shared" si="1"/>
        <v>5.4696668810979308</v>
      </c>
      <c r="K24">
        <f t="shared" si="2"/>
        <v>36.17900678380294</v>
      </c>
      <c r="L24">
        <f t="shared" si="3"/>
        <v>419.00133333333338</v>
      </c>
      <c r="M24">
        <f t="shared" si="4"/>
        <v>230.54503898821301</v>
      </c>
      <c r="N24">
        <f t="shared" si="5"/>
        <v>22.551303990999926</v>
      </c>
      <c r="O24">
        <f t="shared" si="6"/>
        <v>40.985598658305499</v>
      </c>
      <c r="P24">
        <f t="shared" si="7"/>
        <v>0.34020769429399578</v>
      </c>
      <c r="Q24">
        <f t="shared" si="8"/>
        <v>2.8904178388131361</v>
      </c>
      <c r="R24">
        <f t="shared" si="9"/>
        <v>0.31942438324820949</v>
      </c>
      <c r="S24">
        <f t="shared" si="10"/>
        <v>0.20140164623266638</v>
      </c>
      <c r="T24">
        <f t="shared" si="11"/>
        <v>96.345355932901825</v>
      </c>
      <c r="U24">
        <f t="shared" si="12"/>
        <v>32.687435542252672</v>
      </c>
      <c r="V24">
        <f t="shared" si="13"/>
        <v>32.821883333333339</v>
      </c>
      <c r="W24">
        <f t="shared" si="14"/>
        <v>5.0017648831639701</v>
      </c>
      <c r="X24">
        <f t="shared" si="15"/>
        <v>65.23548200116953</v>
      </c>
      <c r="Y24">
        <f t="shared" si="16"/>
        <v>3.3987113128697399</v>
      </c>
      <c r="Z24">
        <f t="shared" si="17"/>
        <v>5.2099121652980331</v>
      </c>
      <c r="AA24">
        <f t="shared" si="18"/>
        <v>1.6030535702942301</v>
      </c>
      <c r="AB24">
        <f t="shared" si="19"/>
        <v>-241.21230945641872</v>
      </c>
      <c r="AC24">
        <f t="shared" si="20"/>
        <v>113.2273719986338</v>
      </c>
      <c r="AD24">
        <f t="shared" si="21"/>
        <v>8.9878365490103445</v>
      </c>
      <c r="AE24">
        <f t="shared" si="22"/>
        <v>-22.651744975872759</v>
      </c>
      <c r="AF24">
        <f t="shared" si="23"/>
        <v>36.17900678380294</v>
      </c>
      <c r="AG24">
        <f t="shared" si="24"/>
        <v>5.4696668810979308</v>
      </c>
      <c r="AH24">
        <f t="shared" si="25"/>
        <v>34.284010070743371</v>
      </c>
      <c r="AI24">
        <v>477.41706156347078</v>
      </c>
      <c r="AJ24">
        <v>435.56847878787869</v>
      </c>
      <c r="AK24">
        <v>-9.7326066592547125E-2</v>
      </c>
      <c r="AL24">
        <v>67.092787304346587</v>
      </c>
      <c r="AM24">
        <f t="shared" si="26"/>
        <v>5.3785442209948089</v>
      </c>
      <c r="AN24">
        <v>28.444082066344201</v>
      </c>
      <c r="AO24">
        <v>34.68854424242425</v>
      </c>
      <c r="AP24">
        <v>-2.2109648166951548E-3</v>
      </c>
      <c r="AQ24">
        <v>78.256555734377628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50601.524355179616</v>
      </c>
      <c r="AW24" t="s">
        <v>724</v>
      </c>
      <c r="AX24">
        <v>5111.67</v>
      </c>
      <c r="AY24">
        <v>545.84117647058815</v>
      </c>
      <c r="AZ24">
        <v>2426.21</v>
      </c>
      <c r="BA24">
        <f t="shared" si="30"/>
        <v>0.77502311157295201</v>
      </c>
      <c r="BB24">
        <v>-5.2289110739545492</v>
      </c>
      <c r="BC24" t="s">
        <v>752</v>
      </c>
      <c r="BD24">
        <v>5099.8599999999997</v>
      </c>
      <c r="BE24">
        <v>756.11764705882354</v>
      </c>
      <c r="BF24">
        <v>1683.83</v>
      </c>
      <c r="BG24">
        <f t="shared" si="31"/>
        <v>0.55095369065830657</v>
      </c>
      <c r="BH24">
        <v>0.5</v>
      </c>
      <c r="BI24">
        <f t="shared" si="32"/>
        <v>504.3004659548713</v>
      </c>
      <c r="BJ24">
        <f t="shared" si="33"/>
        <v>36.17900678380294</v>
      </c>
      <c r="BK24">
        <f t="shared" si="34"/>
        <v>138.92310145927001</v>
      </c>
      <c r="BL24">
        <f t="shared" si="35"/>
        <v>8.2109616494907209E-2</v>
      </c>
      <c r="BM24">
        <f t="shared" si="36"/>
        <v>0.44088773807332104</v>
      </c>
      <c r="BN24">
        <f t="shared" si="37"/>
        <v>496.58512105294068</v>
      </c>
      <c r="BO24" t="s">
        <v>407</v>
      </c>
      <c r="BP24">
        <v>0</v>
      </c>
      <c r="BQ24">
        <f t="shared" si="38"/>
        <v>496.58512105294068</v>
      </c>
      <c r="BR24">
        <f t="shared" si="39"/>
        <v>0.70508595223214887</v>
      </c>
      <c r="BS24">
        <f t="shared" si="40"/>
        <v>0.78139932998821904</v>
      </c>
      <c r="BT24">
        <f t="shared" si="41"/>
        <v>0.38472762664891397</v>
      </c>
      <c r="BU24">
        <f t="shared" si="42"/>
        <v>0.81522097032897556</v>
      </c>
      <c r="BV24">
        <f t="shared" si="43"/>
        <v>0.39480552469837743</v>
      </c>
      <c r="BW24">
        <f t="shared" si="44"/>
        <v>0.51318902869449745</v>
      </c>
      <c r="BX24">
        <f t="shared" si="45"/>
        <v>0.48681097130550255</v>
      </c>
      <c r="DG24">
        <f t="shared" si="46"/>
        <v>599.99626666666654</v>
      </c>
      <c r="DH24">
        <f t="shared" si="47"/>
        <v>504.3004659548713</v>
      </c>
      <c r="DI24">
        <f t="shared" si="48"/>
        <v>0.84050600640660333</v>
      </c>
      <c r="DJ24">
        <f t="shared" si="49"/>
        <v>0.16057659236474445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1782920669.75</v>
      </c>
      <c r="DQ24">
        <v>419.00133333333338</v>
      </c>
      <c r="DR24">
        <v>465.17243333333329</v>
      </c>
      <c r="DS24">
        <v>34.745486666666672</v>
      </c>
      <c r="DT24">
        <v>28.409099999999999</v>
      </c>
      <c r="DU24">
        <v>423.68169999999998</v>
      </c>
      <c r="DV24">
        <v>34.276809999999998</v>
      </c>
      <c r="DW24">
        <v>499.93356666666659</v>
      </c>
      <c r="DX24">
        <v>97.768053333333327</v>
      </c>
      <c r="DY24">
        <v>4.9293289999999997E-2</v>
      </c>
      <c r="DZ24">
        <v>33.548499999999997</v>
      </c>
      <c r="EA24">
        <v>32.821883333333339</v>
      </c>
      <c r="EB24">
        <v>999.9000000000002</v>
      </c>
      <c r="EC24">
        <v>0</v>
      </c>
      <c r="ED24">
        <v>0</v>
      </c>
      <c r="EE24">
        <v>10001.83333333333</v>
      </c>
      <c r="EF24">
        <v>0</v>
      </c>
      <c r="EG24">
        <v>1045.3031333333331</v>
      </c>
      <c r="EH24">
        <v>-46.171046666666683</v>
      </c>
      <c r="EI24">
        <v>434.08370000000002</v>
      </c>
      <c r="EJ24">
        <v>478.774</v>
      </c>
      <c r="EK24">
        <v>6.336389333333333</v>
      </c>
      <c r="EL24">
        <v>465.17243333333329</v>
      </c>
      <c r="EM24">
        <v>28.409099999999999</v>
      </c>
      <c r="EN24">
        <v>3.396997666666667</v>
      </c>
      <c r="EO24">
        <v>2.777502666666666</v>
      </c>
      <c r="EP24">
        <v>26.11354333333334</v>
      </c>
      <c r="EQ24">
        <v>22.75095</v>
      </c>
      <c r="ER24">
        <v>599.99626666666654</v>
      </c>
      <c r="ES24">
        <v>0.98298579999999991</v>
      </c>
      <c r="ET24">
        <v>1.7014243333333331E-2</v>
      </c>
      <c r="EU24">
        <v>0</v>
      </c>
      <c r="EV24">
        <v>756.2271999999997</v>
      </c>
      <c r="EW24">
        <v>5.0010700000000003</v>
      </c>
      <c r="EX24">
        <v>8521.508333333335</v>
      </c>
      <c r="EY24">
        <v>5415.0466666666644</v>
      </c>
      <c r="EZ24">
        <v>39.803733333333327</v>
      </c>
      <c r="FA24">
        <v>42.754133333333343</v>
      </c>
      <c r="FB24">
        <v>41.436999999999983</v>
      </c>
      <c r="FC24">
        <v>42.316199999999981</v>
      </c>
      <c r="FD24">
        <v>42.182866666666648</v>
      </c>
      <c r="FE24">
        <v>584.87133333333327</v>
      </c>
      <c r="FF24">
        <v>10.119999999999999</v>
      </c>
      <c r="FG24">
        <v>0</v>
      </c>
      <c r="FH24">
        <v>137.39999985694891</v>
      </c>
      <c r="FI24">
        <v>0</v>
      </c>
      <c r="FJ24">
        <v>756.11764705882354</v>
      </c>
      <c r="FK24">
        <v>-2.711519626280726</v>
      </c>
      <c r="FL24">
        <v>-773.24019722852813</v>
      </c>
      <c r="FM24">
        <v>8486.4488235294102</v>
      </c>
      <c r="FN24">
        <v>10</v>
      </c>
      <c r="FO24">
        <v>1782920649.5</v>
      </c>
      <c r="FP24" t="s">
        <v>753</v>
      </c>
      <c r="FQ24">
        <v>1782920643</v>
      </c>
      <c r="FR24">
        <v>1782920649.5</v>
      </c>
      <c r="FS24">
        <v>9</v>
      </c>
      <c r="FT24">
        <v>0.112</v>
      </c>
      <c r="FU24">
        <v>-4.0000000000000001E-3</v>
      </c>
      <c r="FV24">
        <v>-4.68</v>
      </c>
      <c r="FW24">
        <v>0.27600000000000002</v>
      </c>
      <c r="FX24">
        <v>464</v>
      </c>
      <c r="FY24">
        <v>28</v>
      </c>
      <c r="FZ24">
        <v>0.22</v>
      </c>
      <c r="GA24">
        <v>0.05</v>
      </c>
      <c r="GB24">
        <v>-45.672124390243887</v>
      </c>
      <c r="GC24">
        <v>0.67615400696862971</v>
      </c>
      <c r="GD24">
        <v>3.3412153867819612</v>
      </c>
      <c r="GE24">
        <v>1</v>
      </c>
      <c r="GF24">
        <v>756.58632352941186</v>
      </c>
      <c r="GG24">
        <v>-5.7133537104494287</v>
      </c>
      <c r="GH24">
        <v>0.6471308950503929</v>
      </c>
      <c r="GI24">
        <v>1</v>
      </c>
      <c r="GJ24">
        <v>6.3133558536585346</v>
      </c>
      <c r="GK24">
        <v>0.34046195121951811</v>
      </c>
      <c r="GL24">
        <v>0.38294621335993162</v>
      </c>
      <c r="GM24">
        <v>1</v>
      </c>
      <c r="GN24">
        <v>3</v>
      </c>
      <c r="GO24">
        <v>3</v>
      </c>
      <c r="GP24" t="s">
        <v>599</v>
      </c>
      <c r="GQ24">
        <v>3.1333099999999998</v>
      </c>
      <c r="GR24">
        <v>2.7242799999999998</v>
      </c>
      <c r="GS24">
        <v>9.1464599999999993E-2</v>
      </c>
      <c r="GT24">
        <v>9.8233899999999999E-2</v>
      </c>
      <c r="GU24">
        <v>0.143287</v>
      </c>
      <c r="GV24">
        <v>0.126387</v>
      </c>
      <c r="GW24">
        <v>22776.799999999999</v>
      </c>
      <c r="GX24">
        <v>30440.1</v>
      </c>
      <c r="GY24">
        <v>27194.2</v>
      </c>
      <c r="GZ24">
        <v>34711.4</v>
      </c>
      <c r="HA24">
        <v>34114.400000000001</v>
      </c>
      <c r="HB24">
        <v>38728.5</v>
      </c>
      <c r="HC24">
        <v>40151.599999999999</v>
      </c>
      <c r="HD24">
        <v>44413.4</v>
      </c>
      <c r="HE24">
        <v>1.9681999999999999</v>
      </c>
      <c r="HF24">
        <v>1.766</v>
      </c>
      <c r="HG24">
        <v>3.7699900000000001E-2</v>
      </c>
      <c r="HH24">
        <v>0</v>
      </c>
      <c r="HI24">
        <v>32.206200000000003</v>
      </c>
      <c r="HJ24">
        <v>999.9</v>
      </c>
      <c r="HK24">
        <v>60.8</v>
      </c>
      <c r="HL24">
        <v>38.5</v>
      </c>
      <c r="HM24">
        <v>42.533499999999997</v>
      </c>
      <c r="HN24">
        <v>59.49</v>
      </c>
      <c r="HO24">
        <v>5.5328499999999998</v>
      </c>
      <c r="HP24">
        <v>1</v>
      </c>
      <c r="HQ24">
        <v>0.53016300000000005</v>
      </c>
      <c r="HR24">
        <v>0</v>
      </c>
      <c r="HS24">
        <v>20.290099999999999</v>
      </c>
      <c r="HT24">
        <v>5.2112999999999996</v>
      </c>
      <c r="HU24">
        <v>11.9069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1.86304</v>
      </c>
      <c r="ID24">
        <v>1.86249</v>
      </c>
      <c r="IE24">
        <v>1.8620300000000001</v>
      </c>
      <c r="IF24">
        <v>1.8620300000000001</v>
      </c>
      <c r="IG24">
        <v>1.8626400000000001</v>
      </c>
      <c r="IH24">
        <v>1.8635600000000001</v>
      </c>
      <c r="II24">
        <v>1.86154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-4.68</v>
      </c>
      <c r="IX24">
        <v>0.46700000000000003</v>
      </c>
      <c r="IY24">
        <v>-4.6803999999999633</v>
      </c>
      <c r="IZ24">
        <v>0</v>
      </c>
      <c r="JA24">
        <v>0</v>
      </c>
      <c r="JB24">
        <v>0</v>
      </c>
      <c r="JC24">
        <v>-0.22759581088828079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0.6</v>
      </c>
      <c r="JL24">
        <v>0.5</v>
      </c>
      <c r="JM24">
        <v>1.18164</v>
      </c>
      <c r="JN24">
        <v>2.5280800000000001</v>
      </c>
      <c r="JO24">
        <v>1.50024</v>
      </c>
      <c r="JP24">
        <v>2.2729499999999998</v>
      </c>
      <c r="JQ24">
        <v>1.4477500000000001</v>
      </c>
      <c r="JR24">
        <v>2.4609399999999999</v>
      </c>
      <c r="JS24">
        <v>42.271000000000001</v>
      </c>
      <c r="JT24">
        <v>15.4542</v>
      </c>
      <c r="JU24">
        <v>18</v>
      </c>
      <c r="JV24">
        <v>545.06200000000001</v>
      </c>
      <c r="JW24">
        <v>427.45299999999997</v>
      </c>
      <c r="JX24">
        <v>33.324300000000001</v>
      </c>
      <c r="JY24">
        <v>33.893500000000003</v>
      </c>
      <c r="JZ24">
        <v>30.0002</v>
      </c>
      <c r="KA24">
        <v>33.831299999999999</v>
      </c>
      <c r="KB24">
        <v>33.784199999999998</v>
      </c>
      <c r="KC24">
        <v>23.639800000000001</v>
      </c>
      <c r="KD24">
        <v>42.654200000000003</v>
      </c>
      <c r="KE24">
        <v>0</v>
      </c>
      <c r="KF24">
        <v>-999.9</v>
      </c>
      <c r="KG24">
        <v>462.851</v>
      </c>
      <c r="KH24">
        <v>28.470400000000001</v>
      </c>
      <c r="KI24">
        <v>100.35599999999999</v>
      </c>
      <c r="KJ24">
        <v>99.555899999999994</v>
      </c>
    </row>
    <row r="25" spans="1:296" x14ac:dyDescent="0.3">
      <c r="A25">
        <v>9</v>
      </c>
      <c r="B25">
        <v>1782920859.5</v>
      </c>
      <c r="C25">
        <v>1265</v>
      </c>
      <c r="D25" t="s">
        <v>754</v>
      </c>
      <c r="E25" t="s">
        <v>495</v>
      </c>
      <c r="F25">
        <v>15</v>
      </c>
      <c r="H25">
        <v>1782920851.5</v>
      </c>
      <c r="I25">
        <f t="shared" si="0"/>
        <v>4.39882514232557E-3</v>
      </c>
      <c r="J25">
        <f t="shared" si="1"/>
        <v>4.3988251423255704</v>
      </c>
      <c r="K25">
        <f t="shared" si="2"/>
        <v>22.486738279684634</v>
      </c>
      <c r="L25">
        <f t="shared" si="3"/>
        <v>420.04425806451621</v>
      </c>
      <c r="M25">
        <f t="shared" si="4"/>
        <v>269.61788460651906</v>
      </c>
      <c r="N25">
        <f t="shared" si="5"/>
        <v>26.373756769198199</v>
      </c>
      <c r="O25">
        <f t="shared" si="6"/>
        <v>41.088316936613239</v>
      </c>
      <c r="P25">
        <f t="shared" si="7"/>
        <v>0.26646186243304493</v>
      </c>
      <c r="Q25">
        <f t="shared" si="8"/>
        <v>2.8927749852108198</v>
      </c>
      <c r="R25">
        <f t="shared" si="9"/>
        <v>0.25353836154566706</v>
      </c>
      <c r="S25">
        <f t="shared" si="10"/>
        <v>0.15957035534618386</v>
      </c>
      <c r="T25">
        <f t="shared" si="11"/>
        <v>64.413691351547598</v>
      </c>
      <c r="U25">
        <f t="shared" si="12"/>
        <v>32.607023686632807</v>
      </c>
      <c r="V25">
        <f t="shared" si="13"/>
        <v>32.757587096774188</v>
      </c>
      <c r="W25">
        <f t="shared" si="14"/>
        <v>4.9837000110366096</v>
      </c>
      <c r="X25">
        <f t="shared" si="15"/>
        <v>65.095268472368545</v>
      </c>
      <c r="Y25">
        <f t="shared" si="16"/>
        <v>3.358936584837438</v>
      </c>
      <c r="Z25">
        <f t="shared" si="17"/>
        <v>5.1600318481875984</v>
      </c>
      <c r="AA25">
        <f t="shared" si="18"/>
        <v>1.6247634261991717</v>
      </c>
      <c r="AB25">
        <f t="shared" si="19"/>
        <v>-193.98818877655765</v>
      </c>
      <c r="AC25">
        <f t="shared" si="20"/>
        <v>96.554935434549776</v>
      </c>
      <c r="AD25">
        <f t="shared" si="21"/>
        <v>7.6492987219081243</v>
      </c>
      <c r="AE25">
        <f t="shared" si="22"/>
        <v>-25.370263268552151</v>
      </c>
      <c r="AF25">
        <f t="shared" si="23"/>
        <v>22.486738279684634</v>
      </c>
      <c r="AG25">
        <f t="shared" si="24"/>
        <v>4.3988251423255704</v>
      </c>
      <c r="AH25">
        <f t="shared" si="25"/>
        <v>22.472163438733642</v>
      </c>
      <c r="AI25">
        <v>462.90817469550802</v>
      </c>
      <c r="AJ25">
        <v>434.90317575757558</v>
      </c>
      <c r="AK25">
        <v>4.4188219776943927E-2</v>
      </c>
      <c r="AL25">
        <v>67.093521865021927</v>
      </c>
      <c r="AM25">
        <f t="shared" si="26"/>
        <v>4.3810297475782658</v>
      </c>
      <c r="AN25">
        <v>29.233104476506661</v>
      </c>
      <c r="AO25">
        <v>34.315613333333317</v>
      </c>
      <c r="AP25">
        <v>-9.8693996888625382E-4</v>
      </c>
      <c r="AQ25">
        <v>78.259393136213973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50695.693173054409</v>
      </c>
      <c r="AW25" t="s">
        <v>724</v>
      </c>
      <c r="AX25">
        <v>5111.67</v>
      </c>
      <c r="AY25">
        <v>545.84117647058815</v>
      </c>
      <c r="AZ25">
        <v>2426.21</v>
      </c>
      <c r="BA25">
        <f t="shared" si="30"/>
        <v>0.77502311157295201</v>
      </c>
      <c r="BB25">
        <v>-5.2289110739545492</v>
      </c>
      <c r="BC25" t="s">
        <v>755</v>
      </c>
      <c r="BD25">
        <v>5102.25</v>
      </c>
      <c r="BE25">
        <v>730.125</v>
      </c>
      <c r="BF25">
        <v>1810.31</v>
      </c>
      <c r="BG25">
        <f t="shared" si="31"/>
        <v>0.59668509813236403</v>
      </c>
      <c r="BH25">
        <v>0.5</v>
      </c>
      <c r="BI25">
        <f t="shared" si="32"/>
        <v>336.30230625268217</v>
      </c>
      <c r="BJ25">
        <f t="shared" si="33"/>
        <v>22.486738279684634</v>
      </c>
      <c r="BK25">
        <f t="shared" si="34"/>
        <v>100.33328730426101</v>
      </c>
      <c r="BL25">
        <f t="shared" si="35"/>
        <v>8.2412903029023279E-2</v>
      </c>
      <c r="BM25">
        <f t="shared" si="36"/>
        <v>0.34021797371720869</v>
      </c>
      <c r="BN25">
        <f t="shared" si="37"/>
        <v>507.03232356223361</v>
      </c>
      <c r="BO25" t="s">
        <v>407</v>
      </c>
      <c r="BP25">
        <v>0</v>
      </c>
      <c r="BQ25">
        <f t="shared" si="38"/>
        <v>507.03232356223361</v>
      </c>
      <c r="BR25">
        <f t="shared" si="39"/>
        <v>0.71991961400962623</v>
      </c>
      <c r="BS25">
        <f t="shared" si="40"/>
        <v>0.82882183860653313</v>
      </c>
      <c r="BT25">
        <f t="shared" si="41"/>
        <v>0.32091869739918372</v>
      </c>
      <c r="BU25">
        <f t="shared" si="42"/>
        <v>0.85425989150524484</v>
      </c>
      <c r="BV25">
        <f t="shared" si="43"/>
        <v>0.32754212487099688</v>
      </c>
      <c r="BW25">
        <f t="shared" si="44"/>
        <v>0.5755719399387681</v>
      </c>
      <c r="BX25">
        <f t="shared" si="45"/>
        <v>0.4244280600612319</v>
      </c>
      <c r="DG25">
        <f t="shared" si="46"/>
        <v>400.00667741935479</v>
      </c>
      <c r="DH25">
        <f t="shared" si="47"/>
        <v>336.30230625268217</v>
      </c>
      <c r="DI25">
        <f t="shared" si="48"/>
        <v>0.84074173066894353</v>
      </c>
      <c r="DJ25">
        <f t="shared" si="49"/>
        <v>0.161031540191061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1782920851.5</v>
      </c>
      <c r="DQ25">
        <v>420.04425806451621</v>
      </c>
      <c r="DR25">
        <v>449.24416129032272</v>
      </c>
      <c r="DS25">
        <v>34.338277419354839</v>
      </c>
      <c r="DT25">
        <v>29.241193548387098</v>
      </c>
      <c r="DU25">
        <v>424.63177419354838</v>
      </c>
      <c r="DV25">
        <v>33.880925806451607</v>
      </c>
      <c r="DW25">
        <v>500.02438709677409</v>
      </c>
      <c r="DX25">
        <v>97.770177419354837</v>
      </c>
      <c r="DY25">
        <v>4.8840809677419363E-2</v>
      </c>
      <c r="DZ25">
        <v>33.376706451612897</v>
      </c>
      <c r="EA25">
        <v>32.757587096774188</v>
      </c>
      <c r="EB25">
        <v>999.90000000000032</v>
      </c>
      <c r="EC25">
        <v>0</v>
      </c>
      <c r="ED25">
        <v>0</v>
      </c>
      <c r="EE25">
        <v>10015.16129032258</v>
      </c>
      <c r="EF25">
        <v>0</v>
      </c>
      <c r="EG25">
        <v>1577.2322580645159</v>
      </c>
      <c r="EH25">
        <v>-29.199819354838709</v>
      </c>
      <c r="EI25">
        <v>434.98080645161298</v>
      </c>
      <c r="EJ25">
        <v>462.77625806451613</v>
      </c>
      <c r="EK25">
        <v>5.0970809677419346</v>
      </c>
      <c r="EL25">
        <v>449.24416129032272</v>
      </c>
      <c r="EM25">
        <v>29.241193548387098</v>
      </c>
      <c r="EN25">
        <v>3.3572587096774198</v>
      </c>
      <c r="EO25">
        <v>2.858916129032258</v>
      </c>
      <c r="EP25">
        <v>25.91467096774193</v>
      </c>
      <c r="EQ25">
        <v>23.228261290322578</v>
      </c>
      <c r="ER25">
        <v>400.00667741935479</v>
      </c>
      <c r="ES25">
        <v>0.97497116129032246</v>
      </c>
      <c r="ET25">
        <v>2.502913225806451E-2</v>
      </c>
      <c r="EU25">
        <v>0</v>
      </c>
      <c r="EV25">
        <v>730.41341935483877</v>
      </c>
      <c r="EW25">
        <v>5.0010700000000003</v>
      </c>
      <c r="EX25">
        <v>7991.4367741935494</v>
      </c>
      <c r="EY25">
        <v>3583.6935483870971</v>
      </c>
      <c r="EZ25">
        <v>39.084354838709658</v>
      </c>
      <c r="FA25">
        <v>42.366870967741939</v>
      </c>
      <c r="FB25">
        <v>40.916999999999987</v>
      </c>
      <c r="FC25">
        <v>41.941064516129011</v>
      </c>
      <c r="FD25">
        <v>41.625</v>
      </c>
      <c r="FE25">
        <v>385.11935483870963</v>
      </c>
      <c r="FF25">
        <v>9.889999999999997</v>
      </c>
      <c r="FG25">
        <v>0</v>
      </c>
      <c r="FH25">
        <v>181.5999999046326</v>
      </c>
      <c r="FI25">
        <v>0</v>
      </c>
      <c r="FJ25">
        <v>730.125</v>
      </c>
      <c r="FK25">
        <v>-3.455147086391527</v>
      </c>
      <c r="FL25">
        <v>-1519.779418497453</v>
      </c>
      <c r="FM25">
        <v>8042.4864705882346</v>
      </c>
      <c r="FN25">
        <v>10</v>
      </c>
      <c r="FO25">
        <v>1782920818</v>
      </c>
      <c r="FP25" t="s">
        <v>756</v>
      </c>
      <c r="FQ25">
        <v>1782920805</v>
      </c>
      <c r="FR25">
        <v>1782920818</v>
      </c>
      <c r="FS25">
        <v>10</v>
      </c>
      <c r="FT25">
        <v>9.2999999999999999E-2</v>
      </c>
      <c r="FU25">
        <v>1E-3</v>
      </c>
      <c r="FV25">
        <v>-4.5869999999999997</v>
      </c>
      <c r="FW25">
        <v>0.3</v>
      </c>
      <c r="FX25">
        <v>450</v>
      </c>
      <c r="FY25">
        <v>29</v>
      </c>
      <c r="FZ25">
        <v>0.19</v>
      </c>
      <c r="GA25">
        <v>0.05</v>
      </c>
      <c r="GB25">
        <v>-29.314958536585369</v>
      </c>
      <c r="GC25">
        <v>0.89526689895471856</v>
      </c>
      <c r="GD25">
        <v>0.29354004253843852</v>
      </c>
      <c r="GE25">
        <v>1</v>
      </c>
      <c r="GF25">
        <v>730.59452941176482</v>
      </c>
      <c r="GG25">
        <v>-4.052253633953864</v>
      </c>
      <c r="GH25">
        <v>0.45209936669966921</v>
      </c>
      <c r="GI25">
        <v>1</v>
      </c>
      <c r="GJ25">
        <v>5.0836404878048782</v>
      </c>
      <c r="GK25">
        <v>0.21945052264807771</v>
      </c>
      <c r="GL25">
        <v>3.405132230885545E-2</v>
      </c>
      <c r="GM25">
        <v>1</v>
      </c>
      <c r="GN25">
        <v>3</v>
      </c>
      <c r="GO25">
        <v>3</v>
      </c>
      <c r="GP25" t="s">
        <v>599</v>
      </c>
      <c r="GQ25">
        <v>3.1331000000000002</v>
      </c>
      <c r="GR25">
        <v>2.7240799999999998</v>
      </c>
      <c r="GS25">
        <v>9.1351299999999996E-2</v>
      </c>
      <c r="GT25">
        <v>9.6050899999999995E-2</v>
      </c>
      <c r="GU25">
        <v>0.14224100000000001</v>
      </c>
      <c r="GV25">
        <v>0.12881300000000001</v>
      </c>
      <c r="GW25">
        <v>22779.5</v>
      </c>
      <c r="GX25">
        <v>30515</v>
      </c>
      <c r="GY25">
        <v>27194</v>
      </c>
      <c r="GZ25">
        <v>34712.699999999997</v>
      </c>
      <c r="HA25">
        <v>34156.300000000003</v>
      </c>
      <c r="HB25">
        <v>38622.9</v>
      </c>
      <c r="HC25">
        <v>40151.699999999997</v>
      </c>
      <c r="HD25">
        <v>44415.9</v>
      </c>
      <c r="HE25">
        <v>1.9672000000000001</v>
      </c>
      <c r="HF25">
        <v>1.766</v>
      </c>
      <c r="HG25">
        <v>3.7848899999999998E-2</v>
      </c>
      <c r="HH25">
        <v>0</v>
      </c>
      <c r="HI25">
        <v>32.149299999999997</v>
      </c>
      <c r="HJ25">
        <v>999.9</v>
      </c>
      <c r="HK25">
        <v>61</v>
      </c>
      <c r="HL25">
        <v>38.700000000000003</v>
      </c>
      <c r="HM25">
        <v>43.137599999999999</v>
      </c>
      <c r="HN25">
        <v>59.38</v>
      </c>
      <c r="HO25">
        <v>5.4046500000000002</v>
      </c>
      <c r="HP25">
        <v>1</v>
      </c>
      <c r="HQ25">
        <v>0.53024400000000005</v>
      </c>
      <c r="HR25">
        <v>0</v>
      </c>
      <c r="HS25">
        <v>20.291399999999999</v>
      </c>
      <c r="HT25">
        <v>5.2112999999999996</v>
      </c>
      <c r="HU25">
        <v>11.9069</v>
      </c>
      <c r="HV25">
        <v>4.9851999999999999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1.8631</v>
      </c>
      <c r="ID25">
        <v>1.86246</v>
      </c>
      <c r="IE25">
        <v>1.8620000000000001</v>
      </c>
      <c r="IF25">
        <v>1.8620300000000001</v>
      </c>
      <c r="IG25">
        <v>1.8626400000000001</v>
      </c>
      <c r="IH25">
        <v>1.8635600000000001</v>
      </c>
      <c r="II25">
        <v>1.86151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-4.5869999999999997</v>
      </c>
      <c r="IX25">
        <v>0.45679999999999998</v>
      </c>
      <c r="IY25">
        <v>-4.5875000000000004</v>
      </c>
      <c r="IZ25">
        <v>0</v>
      </c>
      <c r="JA25">
        <v>0</v>
      </c>
      <c r="JB25">
        <v>0</v>
      </c>
      <c r="JC25">
        <v>-0.22679644967154891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0.9</v>
      </c>
      <c r="JL25">
        <v>0.7</v>
      </c>
      <c r="JM25">
        <v>1.15479</v>
      </c>
      <c r="JN25">
        <v>2.5293000000000001</v>
      </c>
      <c r="JO25">
        <v>1.50024</v>
      </c>
      <c r="JP25">
        <v>2.2729499999999998</v>
      </c>
      <c r="JQ25">
        <v>1.4477500000000001</v>
      </c>
      <c r="JR25">
        <v>2.4670399999999999</v>
      </c>
      <c r="JS25">
        <v>42.403799999999997</v>
      </c>
      <c r="JT25">
        <v>15.4367</v>
      </c>
      <c r="JU25">
        <v>18</v>
      </c>
      <c r="JV25">
        <v>544.49300000000005</v>
      </c>
      <c r="JW25">
        <v>427.59500000000003</v>
      </c>
      <c r="JX25">
        <v>33.231000000000002</v>
      </c>
      <c r="JY25">
        <v>33.896599999999999</v>
      </c>
      <c r="JZ25">
        <v>30.000299999999999</v>
      </c>
      <c r="KA25">
        <v>33.843400000000003</v>
      </c>
      <c r="KB25">
        <v>33.805300000000003</v>
      </c>
      <c r="KC25">
        <v>23.092099999999999</v>
      </c>
      <c r="KD25">
        <v>42.2196</v>
      </c>
      <c r="KE25">
        <v>0</v>
      </c>
      <c r="KF25">
        <v>-999.9</v>
      </c>
      <c r="KG25">
        <v>449.34300000000002</v>
      </c>
      <c r="KH25">
        <v>29.153300000000002</v>
      </c>
      <c r="KI25">
        <v>100.355</v>
      </c>
      <c r="KJ25">
        <v>99.560699999999997</v>
      </c>
    </row>
    <row r="26" spans="1:296" x14ac:dyDescent="0.3">
      <c r="A26">
        <v>10</v>
      </c>
      <c r="B26">
        <v>1782920982</v>
      </c>
      <c r="C26">
        <v>1387.5</v>
      </c>
      <c r="D26" t="s">
        <v>757</v>
      </c>
      <c r="E26" t="s">
        <v>758</v>
      </c>
      <c r="F26">
        <v>15</v>
      </c>
      <c r="H26">
        <v>1782920974.25</v>
      </c>
      <c r="I26">
        <f t="shared" si="0"/>
        <v>3.6735241562219053E-3</v>
      </c>
      <c r="J26">
        <f t="shared" si="1"/>
        <v>3.6735241562219052</v>
      </c>
      <c r="K26">
        <f t="shared" si="2"/>
        <v>16.825339915093579</v>
      </c>
      <c r="L26">
        <f t="shared" si="3"/>
        <v>420.15909999999991</v>
      </c>
      <c r="M26">
        <f t="shared" si="4"/>
        <v>281.14862950804269</v>
      </c>
      <c r="N26">
        <f t="shared" si="5"/>
        <v>27.501823732226477</v>
      </c>
      <c r="O26">
        <f t="shared" si="6"/>
        <v>41.09976110468773</v>
      </c>
      <c r="P26">
        <f t="shared" si="7"/>
        <v>0.21587134501319596</v>
      </c>
      <c r="Q26">
        <f t="shared" si="8"/>
        <v>2.8903471880620946</v>
      </c>
      <c r="R26">
        <f t="shared" si="9"/>
        <v>0.20729762554313189</v>
      </c>
      <c r="S26">
        <f t="shared" si="10"/>
        <v>0.13030295699048111</v>
      </c>
      <c r="T26">
        <f t="shared" si="11"/>
        <v>48.442521035548758</v>
      </c>
      <c r="U26">
        <f t="shared" si="12"/>
        <v>32.700026270407982</v>
      </c>
      <c r="V26">
        <f t="shared" si="13"/>
        <v>32.805729999999997</v>
      </c>
      <c r="W26">
        <f t="shared" si="14"/>
        <v>4.9972210410869229</v>
      </c>
      <c r="X26">
        <f t="shared" si="15"/>
        <v>64.687779058940478</v>
      </c>
      <c r="Y26">
        <f t="shared" si="16"/>
        <v>3.3376107952212504</v>
      </c>
      <c r="Z26">
        <f t="shared" si="17"/>
        <v>5.1595693093438495</v>
      </c>
      <c r="AA26">
        <f t="shared" si="18"/>
        <v>1.6596102458656725</v>
      </c>
      <c r="AB26">
        <f t="shared" si="19"/>
        <v>-162.00241528938602</v>
      </c>
      <c r="AC26">
        <f t="shared" si="20"/>
        <v>88.72277609242515</v>
      </c>
      <c r="AD26">
        <f t="shared" si="21"/>
        <v>7.036325103285626</v>
      </c>
      <c r="AE26">
        <f t="shared" si="22"/>
        <v>-17.800793058126487</v>
      </c>
      <c r="AF26">
        <f t="shared" si="23"/>
        <v>16.825339915093579</v>
      </c>
      <c r="AG26">
        <f t="shared" si="24"/>
        <v>3.6735241562219052</v>
      </c>
      <c r="AH26">
        <f t="shared" si="25"/>
        <v>16.644327360412895</v>
      </c>
      <c r="AI26">
        <v>455.72774455005822</v>
      </c>
      <c r="AJ26">
        <v>435.11323030302992</v>
      </c>
      <c r="AK26">
        <v>5.3301337565959846E-3</v>
      </c>
      <c r="AL26">
        <v>67.035427098704162</v>
      </c>
      <c r="AM26">
        <f t="shared" si="26"/>
        <v>3.7809939490217759</v>
      </c>
      <c r="AN26">
        <v>29.87112841232376</v>
      </c>
      <c r="AO26">
        <v>34.253690303030282</v>
      </c>
      <c r="AP26">
        <v>-1.6305102963255229E-4</v>
      </c>
      <c r="AQ26">
        <v>78.068666823695096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50628.246129068779</v>
      </c>
      <c r="AW26" t="s">
        <v>724</v>
      </c>
      <c r="AX26">
        <v>5111.67</v>
      </c>
      <c r="AY26">
        <v>545.84117647058815</v>
      </c>
      <c r="AZ26">
        <v>2426.21</v>
      </c>
      <c r="BA26">
        <f t="shared" si="30"/>
        <v>0.77502311157295201</v>
      </c>
      <c r="BB26">
        <v>-5.2289110739545492</v>
      </c>
      <c r="BC26" t="s">
        <v>759</v>
      </c>
      <c r="BD26">
        <v>5103.37</v>
      </c>
      <c r="BE26">
        <v>719.99411764705894</v>
      </c>
      <c r="BF26">
        <v>1893.92</v>
      </c>
      <c r="BG26">
        <f t="shared" si="31"/>
        <v>0.6198392130358944</v>
      </c>
      <c r="BH26">
        <v>0.5</v>
      </c>
      <c r="BI26">
        <f t="shared" si="32"/>
        <v>252.28197011168325</v>
      </c>
      <c r="BJ26">
        <f t="shared" si="33"/>
        <v>16.825339915093579</v>
      </c>
      <c r="BK26">
        <f t="shared" si="34"/>
        <v>78.187128908585393</v>
      </c>
      <c r="BL26">
        <f t="shared" si="35"/>
        <v>8.7419053289003901E-2</v>
      </c>
      <c r="BM26">
        <f t="shared" si="36"/>
        <v>0.28105199797245922</v>
      </c>
      <c r="BN26">
        <f t="shared" si="37"/>
        <v>513.38005111421455</v>
      </c>
      <c r="BO26" t="s">
        <v>407</v>
      </c>
      <c r="BP26">
        <v>0</v>
      </c>
      <c r="BQ26">
        <f t="shared" si="38"/>
        <v>513.38005111421455</v>
      </c>
      <c r="BR26">
        <f t="shared" si="39"/>
        <v>0.72893255728108131</v>
      </c>
      <c r="BS26">
        <f t="shared" si="40"/>
        <v>0.85033821969469292</v>
      </c>
      <c r="BT26">
        <f t="shared" si="41"/>
        <v>0.27827356023469646</v>
      </c>
      <c r="BU26">
        <f t="shared" si="42"/>
        <v>0.87081397753840539</v>
      </c>
      <c r="BV26">
        <f t="shared" si="43"/>
        <v>0.2830774438181245</v>
      </c>
      <c r="BW26">
        <f t="shared" si="44"/>
        <v>0.60631978510861495</v>
      </c>
      <c r="BX26">
        <f t="shared" si="45"/>
        <v>0.39368021489138505</v>
      </c>
      <c r="DG26">
        <f t="shared" si="46"/>
        <v>299.98746666666659</v>
      </c>
      <c r="DH26">
        <f t="shared" si="47"/>
        <v>252.28197011168325</v>
      </c>
      <c r="DI26">
        <f t="shared" si="48"/>
        <v>0.84097503444038324</v>
      </c>
      <c r="DJ26">
        <f t="shared" si="49"/>
        <v>0.16148181646993953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1782920974.25</v>
      </c>
      <c r="DQ26">
        <v>420.15909999999991</v>
      </c>
      <c r="DR26">
        <v>442.20069999999998</v>
      </c>
      <c r="DS26">
        <v>34.120089999999998</v>
      </c>
      <c r="DT26">
        <v>29.86245666666667</v>
      </c>
      <c r="DU26">
        <v>424.74646666666672</v>
      </c>
      <c r="DV26">
        <v>33.795090000000002</v>
      </c>
      <c r="DW26">
        <v>500.02190000000002</v>
      </c>
      <c r="DX26">
        <v>97.770603333333312</v>
      </c>
      <c r="DY26">
        <v>4.8915760000000003E-2</v>
      </c>
      <c r="DZ26">
        <v>33.37510666666666</v>
      </c>
      <c r="EA26">
        <v>32.805729999999997</v>
      </c>
      <c r="EB26">
        <v>999.9000000000002</v>
      </c>
      <c r="EC26">
        <v>0</v>
      </c>
      <c r="ED26">
        <v>0</v>
      </c>
      <c r="EE26">
        <v>10001.16666666667</v>
      </c>
      <c r="EF26">
        <v>0</v>
      </c>
      <c r="EG26">
        <v>1385.026333333333</v>
      </c>
      <c r="EH26">
        <v>-22.041643333333329</v>
      </c>
      <c r="EI26">
        <v>435.05976666666658</v>
      </c>
      <c r="EJ26">
        <v>455.81226666666657</v>
      </c>
      <c r="EK26">
        <v>4.3873596666666668</v>
      </c>
      <c r="EL26">
        <v>442.20069999999998</v>
      </c>
      <c r="EM26">
        <v>29.86245666666667</v>
      </c>
      <c r="EN26">
        <v>3.348624</v>
      </c>
      <c r="EO26">
        <v>2.9196703333333338</v>
      </c>
      <c r="EP26">
        <v>25.871183333333331</v>
      </c>
      <c r="EQ26">
        <v>23.576753333333329</v>
      </c>
      <c r="ER26">
        <v>299.98746666666659</v>
      </c>
      <c r="ES26">
        <v>0.96695373333333301</v>
      </c>
      <c r="ET26">
        <v>3.3046340000000007E-2</v>
      </c>
      <c r="EU26">
        <v>0</v>
      </c>
      <c r="EV26">
        <v>720.08176666666645</v>
      </c>
      <c r="EW26">
        <v>5.0010700000000003</v>
      </c>
      <c r="EX26">
        <v>6791.7966666666671</v>
      </c>
      <c r="EY26">
        <v>2667.8636666666662</v>
      </c>
      <c r="EZ26">
        <v>38.811999999999991</v>
      </c>
      <c r="FA26">
        <v>42.254133333333328</v>
      </c>
      <c r="FB26">
        <v>40.686999999999983</v>
      </c>
      <c r="FC26">
        <v>41.934933333333312</v>
      </c>
      <c r="FD26">
        <v>41.401866666666663</v>
      </c>
      <c r="FE26">
        <v>285.23833333333329</v>
      </c>
      <c r="FF26">
        <v>9.75</v>
      </c>
      <c r="FG26">
        <v>0</v>
      </c>
      <c r="FH26">
        <v>121.7999999523163</v>
      </c>
      <c r="FI26">
        <v>0</v>
      </c>
      <c r="FJ26">
        <v>719.99411764705894</v>
      </c>
      <c r="FK26">
        <v>-2.6882352698828069</v>
      </c>
      <c r="FL26">
        <v>3104.441180440911</v>
      </c>
      <c r="FM26">
        <v>6908.4076470588234</v>
      </c>
      <c r="FN26">
        <v>10</v>
      </c>
      <c r="FO26">
        <v>1782921008</v>
      </c>
      <c r="FP26" t="s">
        <v>760</v>
      </c>
      <c r="FQ26">
        <v>1782920805</v>
      </c>
      <c r="FR26">
        <v>1782921008</v>
      </c>
      <c r="FS26">
        <v>11</v>
      </c>
      <c r="FT26">
        <v>9.2999999999999999E-2</v>
      </c>
      <c r="FU26">
        <v>-3.0000000000000001E-3</v>
      </c>
      <c r="FV26">
        <v>-4.5869999999999997</v>
      </c>
      <c r="FW26">
        <v>0.32500000000000001</v>
      </c>
      <c r="FX26">
        <v>450</v>
      </c>
      <c r="FY26">
        <v>30</v>
      </c>
      <c r="FZ26">
        <v>0.19</v>
      </c>
      <c r="GA26">
        <v>7.0000000000000007E-2</v>
      </c>
      <c r="GB26">
        <v>-22.04467073170732</v>
      </c>
      <c r="GC26">
        <v>0.39946411149820388</v>
      </c>
      <c r="GD26">
        <v>0.1299075811150831</v>
      </c>
      <c r="GE26">
        <v>1</v>
      </c>
      <c r="GF26">
        <v>720.23391176470579</v>
      </c>
      <c r="GG26">
        <v>-3.0310924340368901</v>
      </c>
      <c r="GH26">
        <v>0.3678909978950059</v>
      </c>
      <c r="GI26">
        <v>1</v>
      </c>
      <c r="GJ26">
        <v>4.3961512195121948</v>
      </c>
      <c r="GK26">
        <v>-0.1435685017421631</v>
      </c>
      <c r="GL26">
        <v>2.9269014432157799E-2</v>
      </c>
      <c r="GM26">
        <v>1</v>
      </c>
      <c r="GN26">
        <v>3</v>
      </c>
      <c r="GO26">
        <v>3</v>
      </c>
      <c r="GP26" t="s">
        <v>599</v>
      </c>
      <c r="GQ26">
        <v>3.1320299999999999</v>
      </c>
      <c r="GR26">
        <v>2.7275900000000002</v>
      </c>
      <c r="GS26">
        <v>9.1381500000000004E-2</v>
      </c>
      <c r="GT26">
        <v>9.4873499999999999E-2</v>
      </c>
      <c r="GU26">
        <v>0.142045</v>
      </c>
      <c r="GV26">
        <v>0.130688</v>
      </c>
      <c r="GW26">
        <v>22776.400000000001</v>
      </c>
      <c r="GX26">
        <v>30552.3</v>
      </c>
      <c r="GY26">
        <v>27191.4</v>
      </c>
      <c r="GZ26">
        <v>34710.1</v>
      </c>
      <c r="HA26">
        <v>34161.300000000003</v>
      </c>
      <c r="HB26">
        <v>38536.300000000003</v>
      </c>
      <c r="HC26">
        <v>40148.1</v>
      </c>
      <c r="HD26">
        <v>44412</v>
      </c>
      <c r="HE26">
        <v>1.9661999999999999</v>
      </c>
      <c r="HF26">
        <v>1.7665999999999999</v>
      </c>
      <c r="HG26">
        <v>3.7848899999999998E-2</v>
      </c>
      <c r="HH26">
        <v>0</v>
      </c>
      <c r="HI26">
        <v>32.187899999999999</v>
      </c>
      <c r="HJ26">
        <v>999.9</v>
      </c>
      <c r="HK26">
        <v>61.4</v>
      </c>
      <c r="HL26">
        <v>38.799999999999997</v>
      </c>
      <c r="HM26">
        <v>43.653399999999998</v>
      </c>
      <c r="HN26">
        <v>59.53</v>
      </c>
      <c r="HO26">
        <v>5.3285299999999998</v>
      </c>
      <c r="HP26">
        <v>1</v>
      </c>
      <c r="HQ26">
        <v>0.53398400000000001</v>
      </c>
      <c r="HR26">
        <v>0</v>
      </c>
      <c r="HS26">
        <v>20.292400000000001</v>
      </c>
      <c r="HT26">
        <v>5.2100999999999997</v>
      </c>
      <c r="HU26">
        <v>11.908099999999999</v>
      </c>
      <c r="HV26">
        <v>4.9855999999999998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1.8674599999999999</v>
      </c>
      <c r="IC26">
        <v>1.8631</v>
      </c>
      <c r="ID26">
        <v>1.86249</v>
      </c>
      <c r="IE26">
        <v>1.8620300000000001</v>
      </c>
      <c r="IF26">
        <v>1.8620300000000001</v>
      </c>
      <c r="IG26">
        <v>1.86267</v>
      </c>
      <c r="IH26">
        <v>1.8635600000000001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-4.5869999999999997</v>
      </c>
      <c r="IX26">
        <v>0.32500000000000001</v>
      </c>
      <c r="IY26">
        <v>-4.5875000000000004</v>
      </c>
      <c r="IZ26">
        <v>0</v>
      </c>
      <c r="JA26">
        <v>0</v>
      </c>
      <c r="JB26">
        <v>0</v>
      </c>
      <c r="JC26">
        <v>-0.22679644967154891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3</v>
      </c>
      <c r="JL26">
        <v>2.7</v>
      </c>
      <c r="JM26">
        <v>1.1401399999999999</v>
      </c>
      <c r="JN26">
        <v>2.5341800000000001</v>
      </c>
      <c r="JO26">
        <v>1.50024</v>
      </c>
      <c r="JP26">
        <v>2.2729499999999998</v>
      </c>
      <c r="JQ26">
        <v>1.4477500000000001</v>
      </c>
      <c r="JR26">
        <v>2.4145500000000002</v>
      </c>
      <c r="JS26">
        <v>42.563699999999997</v>
      </c>
      <c r="JT26">
        <v>15.410399999999999</v>
      </c>
      <c r="JU26">
        <v>18</v>
      </c>
      <c r="JV26">
        <v>544.125</v>
      </c>
      <c r="JW26">
        <v>428.23899999999998</v>
      </c>
      <c r="JX26">
        <v>33.231099999999998</v>
      </c>
      <c r="JY26">
        <v>33.933300000000003</v>
      </c>
      <c r="JZ26">
        <v>30.000399999999999</v>
      </c>
      <c r="KA26">
        <v>33.879899999999999</v>
      </c>
      <c r="KB26">
        <v>33.846400000000003</v>
      </c>
      <c r="KC26">
        <v>22.791599999999999</v>
      </c>
      <c r="KD26">
        <v>41.652999999999999</v>
      </c>
      <c r="KE26">
        <v>0</v>
      </c>
      <c r="KF26">
        <v>-999.9</v>
      </c>
      <c r="KG26">
        <v>441.95100000000002</v>
      </c>
      <c r="KH26">
        <v>29.840299999999999</v>
      </c>
      <c r="KI26">
        <v>100.346</v>
      </c>
      <c r="KJ26">
        <v>99.552499999999995</v>
      </c>
    </row>
    <row r="27" spans="1:296" x14ac:dyDescent="0.3">
      <c r="A27">
        <v>11</v>
      </c>
      <c r="B27">
        <v>1782921164.0999999</v>
      </c>
      <c r="C27">
        <v>1569.599999904633</v>
      </c>
      <c r="D27" t="s">
        <v>761</v>
      </c>
      <c r="E27" t="s">
        <v>762</v>
      </c>
      <c r="F27">
        <v>15</v>
      </c>
      <c r="H27">
        <v>1782921156.1387091</v>
      </c>
      <c r="I27">
        <f t="shared" si="0"/>
        <v>2.8156515634714051E-3</v>
      </c>
      <c r="J27">
        <f t="shared" si="1"/>
        <v>2.815651563471405</v>
      </c>
      <c r="K27">
        <f t="shared" si="2"/>
        <v>9.6526961845898196</v>
      </c>
      <c r="L27">
        <f t="shared" si="3"/>
        <v>420.0253225806452</v>
      </c>
      <c r="M27">
        <f t="shared" si="4"/>
        <v>307.98172426710448</v>
      </c>
      <c r="N27">
        <f t="shared" si="5"/>
        <v>30.121987081246512</v>
      </c>
      <c r="O27">
        <f t="shared" si="6"/>
        <v>41.080351019782739</v>
      </c>
      <c r="P27">
        <f t="shared" si="7"/>
        <v>0.15639325988162314</v>
      </c>
      <c r="Q27">
        <f t="shared" si="8"/>
        <v>2.8913259179239823</v>
      </c>
      <c r="R27">
        <f t="shared" si="9"/>
        <v>0.15184110437537601</v>
      </c>
      <c r="S27">
        <f t="shared" si="10"/>
        <v>9.5298646554953986E-2</v>
      </c>
      <c r="T27">
        <f t="shared" si="11"/>
        <v>32.485749382073998</v>
      </c>
      <c r="U27">
        <f t="shared" si="12"/>
        <v>33.048206189095758</v>
      </c>
      <c r="V27">
        <f t="shared" si="13"/>
        <v>33.184190322580648</v>
      </c>
      <c r="W27">
        <f t="shared" si="14"/>
        <v>5.1046288174954864</v>
      </c>
      <c r="X27">
        <f t="shared" si="15"/>
        <v>64.515362138659654</v>
      </c>
      <c r="Y27">
        <f t="shared" si="16"/>
        <v>3.3695710243767159</v>
      </c>
      <c r="Z27">
        <f t="shared" si="17"/>
        <v>5.2228971715832033</v>
      </c>
      <c r="AA27">
        <f t="shared" si="18"/>
        <v>1.7350577931187705</v>
      </c>
      <c r="AB27">
        <f t="shared" si="19"/>
        <v>-124.17023394908897</v>
      </c>
      <c r="AC27">
        <f t="shared" si="20"/>
        <v>63.722081358694744</v>
      </c>
      <c r="AD27">
        <f t="shared" si="21"/>
        <v>5.0666635156132624</v>
      </c>
      <c r="AE27">
        <f t="shared" si="22"/>
        <v>-22.895739692706961</v>
      </c>
      <c r="AF27">
        <f t="shared" si="23"/>
        <v>9.6526961845898196</v>
      </c>
      <c r="AG27">
        <f t="shared" si="24"/>
        <v>2.815651563471405</v>
      </c>
      <c r="AH27">
        <f t="shared" si="25"/>
        <v>9.6688511577418375</v>
      </c>
      <c r="AI27">
        <v>447.10742146545482</v>
      </c>
      <c r="AJ27">
        <v>434.9923757575757</v>
      </c>
      <c r="AK27">
        <v>2.6831406556797058E-2</v>
      </c>
      <c r="AL27">
        <v>67.093250373208221</v>
      </c>
      <c r="AM27">
        <f t="shared" si="26"/>
        <v>2.8451615707890161</v>
      </c>
      <c r="AN27">
        <v>31.219766100193461</v>
      </c>
      <c r="AO27">
        <v>34.480776363636352</v>
      </c>
      <c r="AP27">
        <v>5.9496756638771266E-3</v>
      </c>
      <c r="AQ27">
        <v>78.25933619821906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50619.279453098039</v>
      </c>
      <c r="AW27" t="s">
        <v>724</v>
      </c>
      <c r="AX27">
        <v>5111.67</v>
      </c>
      <c r="AY27">
        <v>545.84117647058815</v>
      </c>
      <c r="AZ27">
        <v>2426.21</v>
      </c>
      <c r="BA27">
        <f t="shared" si="30"/>
        <v>0.77502311157295201</v>
      </c>
      <c r="BB27">
        <v>-5.2289110739545492</v>
      </c>
      <c r="BC27" t="s">
        <v>763</v>
      </c>
      <c r="BD27">
        <v>5106.87</v>
      </c>
      <c r="BE27">
        <v>702.63529411764705</v>
      </c>
      <c r="BF27">
        <v>1976.44</v>
      </c>
      <c r="BG27">
        <f t="shared" si="31"/>
        <v>0.64449449812913773</v>
      </c>
      <c r="BH27">
        <v>0.5</v>
      </c>
      <c r="BI27">
        <f t="shared" si="32"/>
        <v>168.29889968985941</v>
      </c>
      <c r="BJ27">
        <f t="shared" si="33"/>
        <v>9.6526961845898196</v>
      </c>
      <c r="BK27">
        <f t="shared" si="34"/>
        <v>54.233857445651019</v>
      </c>
      <c r="BL27">
        <f t="shared" si="35"/>
        <v>8.8423675294182782E-2</v>
      </c>
      <c r="BM27">
        <f t="shared" si="36"/>
        <v>0.22756572423144641</v>
      </c>
      <c r="BN27">
        <f t="shared" si="37"/>
        <v>519.25677265601348</v>
      </c>
      <c r="BO27" t="s">
        <v>407</v>
      </c>
      <c r="BP27">
        <v>0</v>
      </c>
      <c r="BQ27">
        <f t="shared" si="38"/>
        <v>519.25677265601348</v>
      </c>
      <c r="BR27">
        <f t="shared" si="39"/>
        <v>0.73727673359372736</v>
      </c>
      <c r="BS27">
        <f t="shared" si="40"/>
        <v>0.87415548160276446</v>
      </c>
      <c r="BT27">
        <f t="shared" si="41"/>
        <v>0.23585790860032879</v>
      </c>
      <c r="BU27">
        <f t="shared" si="42"/>
        <v>0.8903996598709385</v>
      </c>
      <c r="BV27">
        <f t="shared" si="43"/>
        <v>0.23919243627736358</v>
      </c>
      <c r="BW27">
        <f t="shared" si="44"/>
        <v>0.64601245906188876</v>
      </c>
      <c r="BX27">
        <f t="shared" si="45"/>
        <v>0.35398754093811124</v>
      </c>
      <c r="DG27">
        <f t="shared" si="46"/>
        <v>200.00761290322569</v>
      </c>
      <c r="DH27">
        <f t="shared" si="47"/>
        <v>168.29889968985941</v>
      </c>
      <c r="DI27">
        <f t="shared" si="48"/>
        <v>0.84146246858759</v>
      </c>
      <c r="DJ27">
        <f t="shared" si="49"/>
        <v>0.16242256437404876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1782921156.1387091</v>
      </c>
      <c r="DQ27">
        <v>420.0253225806452</v>
      </c>
      <c r="DR27">
        <v>433.02867741935478</v>
      </c>
      <c r="DS27">
        <v>34.452119354838707</v>
      </c>
      <c r="DT27">
        <v>31.18950645161291</v>
      </c>
      <c r="DU27">
        <v>424.58225806451611</v>
      </c>
      <c r="DV27">
        <v>34.002322580645163</v>
      </c>
      <c r="DW27">
        <v>499.9636451612904</v>
      </c>
      <c r="DX27">
        <v>97.758145161290315</v>
      </c>
      <c r="DY27">
        <v>4.6317596774193538E-2</v>
      </c>
      <c r="DZ27">
        <v>33.592987096774188</v>
      </c>
      <c r="EA27">
        <v>33.184190322580648</v>
      </c>
      <c r="EB27">
        <v>999.90000000000032</v>
      </c>
      <c r="EC27">
        <v>0</v>
      </c>
      <c r="ED27">
        <v>0</v>
      </c>
      <c r="EE27">
        <v>10008.06451612903</v>
      </c>
      <c r="EF27">
        <v>0</v>
      </c>
      <c r="EG27">
        <v>1491.485161290323</v>
      </c>
      <c r="EH27">
        <v>-13.00323548387097</v>
      </c>
      <c r="EI27">
        <v>435.01254838709679</v>
      </c>
      <c r="EJ27">
        <v>446.96941935483869</v>
      </c>
      <c r="EK27">
        <v>3.2626048387096769</v>
      </c>
      <c r="EL27">
        <v>433.02867741935478</v>
      </c>
      <c r="EM27">
        <v>31.18950645161291</v>
      </c>
      <c r="EN27">
        <v>3.3679741935483878</v>
      </c>
      <c r="EO27">
        <v>3.049028387096774</v>
      </c>
      <c r="EP27">
        <v>25.968493548387102</v>
      </c>
      <c r="EQ27">
        <v>24.298099999999991</v>
      </c>
      <c r="ER27">
        <v>200.00761290322569</v>
      </c>
      <c r="ES27">
        <v>0.94998129032258072</v>
      </c>
      <c r="ET27">
        <v>5.0018354838709672E-2</v>
      </c>
      <c r="EU27">
        <v>0</v>
      </c>
      <c r="EV27">
        <v>702.72454838709689</v>
      </c>
      <c r="EW27">
        <v>5.0010700000000003</v>
      </c>
      <c r="EX27">
        <v>6259.4438709677406</v>
      </c>
      <c r="EY27">
        <v>1751.883870967742</v>
      </c>
      <c r="EZ27">
        <v>38.625</v>
      </c>
      <c r="FA27">
        <v>42.35874193548387</v>
      </c>
      <c r="FB27">
        <v>40.561999999999983</v>
      </c>
      <c r="FC27">
        <v>42.120935483870973</v>
      </c>
      <c r="FD27">
        <v>41.316064516129018</v>
      </c>
      <c r="FE27">
        <v>185.25322580645161</v>
      </c>
      <c r="FF27">
        <v>9.75</v>
      </c>
      <c r="FG27">
        <v>0</v>
      </c>
      <c r="FH27">
        <v>181.5999999046326</v>
      </c>
      <c r="FI27">
        <v>0</v>
      </c>
      <c r="FJ27">
        <v>702.63529411764705</v>
      </c>
      <c r="FK27">
        <v>-1.5100490366283841</v>
      </c>
      <c r="FL27">
        <v>-1414.9803890639089</v>
      </c>
      <c r="FM27">
        <v>6203.6064705882354</v>
      </c>
      <c r="FN27">
        <v>10</v>
      </c>
      <c r="FO27">
        <v>1782921121.5</v>
      </c>
      <c r="FP27" t="s">
        <v>764</v>
      </c>
      <c r="FQ27">
        <v>1782921115</v>
      </c>
      <c r="FR27">
        <v>1782921121.5</v>
      </c>
      <c r="FS27">
        <v>12</v>
      </c>
      <c r="FT27">
        <v>3.1E-2</v>
      </c>
      <c r="FU27">
        <v>-8.0000000000000002E-3</v>
      </c>
      <c r="FV27">
        <v>-4.5570000000000004</v>
      </c>
      <c r="FW27">
        <v>0.33100000000000002</v>
      </c>
      <c r="FX27">
        <v>434</v>
      </c>
      <c r="FY27">
        <v>30</v>
      </c>
      <c r="FZ27">
        <v>0.82</v>
      </c>
      <c r="GA27">
        <v>0.08</v>
      </c>
      <c r="GB27">
        <v>-13.019741463414629</v>
      </c>
      <c r="GC27">
        <v>-0.50613246178011817</v>
      </c>
      <c r="GD27">
        <v>0.18848036188783859</v>
      </c>
      <c r="GE27">
        <v>1</v>
      </c>
      <c r="GF27">
        <v>702.80973529411767</v>
      </c>
      <c r="GG27">
        <v>-1.5773720386087451</v>
      </c>
      <c r="GH27">
        <v>0.23148742931484961</v>
      </c>
      <c r="GI27">
        <v>1</v>
      </c>
      <c r="GJ27">
        <v>3.2921548780487799</v>
      </c>
      <c r="GK27">
        <v>-0.46141757694983848</v>
      </c>
      <c r="GL27">
        <v>5.343505979438061E-2</v>
      </c>
      <c r="GM27">
        <v>1</v>
      </c>
      <c r="GN27">
        <v>3</v>
      </c>
      <c r="GO27">
        <v>3</v>
      </c>
      <c r="GP27" t="s">
        <v>599</v>
      </c>
      <c r="GQ27">
        <v>3.1334200000000001</v>
      </c>
      <c r="GR27">
        <v>2.72431</v>
      </c>
      <c r="GS27">
        <v>9.1299000000000005E-2</v>
      </c>
      <c r="GT27">
        <v>9.3418000000000001E-2</v>
      </c>
      <c r="GU27">
        <v>0.14266300000000001</v>
      </c>
      <c r="GV27">
        <v>0.13464699999999999</v>
      </c>
      <c r="GW27">
        <v>22772.3</v>
      </c>
      <c r="GX27">
        <v>30591.9</v>
      </c>
      <c r="GY27">
        <v>27184.7</v>
      </c>
      <c r="GZ27">
        <v>34700.300000000003</v>
      </c>
      <c r="HA27">
        <v>34130.800000000003</v>
      </c>
      <c r="HB27">
        <v>38352.800000000003</v>
      </c>
      <c r="HC27">
        <v>40139.599999999999</v>
      </c>
      <c r="HD27">
        <v>44402.400000000001</v>
      </c>
      <c r="HE27">
        <v>1.9652000000000001</v>
      </c>
      <c r="HF27">
        <v>1.7609999999999999</v>
      </c>
      <c r="HG27">
        <v>3.5613800000000001E-2</v>
      </c>
      <c r="HH27">
        <v>0</v>
      </c>
      <c r="HI27">
        <v>32.604900000000001</v>
      </c>
      <c r="HJ27">
        <v>999.9</v>
      </c>
      <c r="HK27">
        <v>61.8</v>
      </c>
      <c r="HL27">
        <v>39</v>
      </c>
      <c r="HM27">
        <v>44.423200000000001</v>
      </c>
      <c r="HN27">
        <v>59.447299999999998</v>
      </c>
      <c r="HO27">
        <v>5.4006400000000001</v>
      </c>
      <c r="HP27">
        <v>1</v>
      </c>
      <c r="HQ27">
        <v>0.54963399999999996</v>
      </c>
      <c r="HR27">
        <v>0</v>
      </c>
      <c r="HS27">
        <v>20.293199999999999</v>
      </c>
      <c r="HT27">
        <v>5.2100999999999997</v>
      </c>
      <c r="HU27">
        <v>11.908099999999999</v>
      </c>
      <c r="HV27">
        <v>4.9847999999999999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1.8673999999999999</v>
      </c>
      <c r="IC27">
        <v>1.8631</v>
      </c>
      <c r="ID27">
        <v>1.86249</v>
      </c>
      <c r="IE27">
        <v>1.8620300000000001</v>
      </c>
      <c r="IF27">
        <v>1.8620300000000001</v>
      </c>
      <c r="IG27">
        <v>1.8626400000000001</v>
      </c>
      <c r="IH27">
        <v>1.8635600000000001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-4.5570000000000004</v>
      </c>
      <c r="IX27">
        <v>0.45090000000000002</v>
      </c>
      <c r="IY27">
        <v>-4.5569499999998584</v>
      </c>
      <c r="IZ27">
        <v>0</v>
      </c>
      <c r="JA27">
        <v>0</v>
      </c>
      <c r="JB27">
        <v>0</v>
      </c>
      <c r="JC27">
        <v>-0.2380809597658935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0.8</v>
      </c>
      <c r="JL27">
        <v>0.7</v>
      </c>
      <c r="JM27">
        <v>1.1206100000000001</v>
      </c>
      <c r="JN27">
        <v>2.5268600000000001</v>
      </c>
      <c r="JO27">
        <v>1.50024</v>
      </c>
      <c r="JP27">
        <v>2.2729499999999998</v>
      </c>
      <c r="JQ27">
        <v>1.4477500000000001</v>
      </c>
      <c r="JR27">
        <v>2.3889200000000002</v>
      </c>
      <c r="JS27">
        <v>42.912100000000002</v>
      </c>
      <c r="JT27">
        <v>15.392899999999999</v>
      </c>
      <c r="JU27">
        <v>18</v>
      </c>
      <c r="JV27">
        <v>544.71199999999999</v>
      </c>
      <c r="JW27">
        <v>425.79199999999997</v>
      </c>
      <c r="JX27">
        <v>33.418799999999997</v>
      </c>
      <c r="JY27">
        <v>34.105200000000004</v>
      </c>
      <c r="JZ27">
        <v>30.000599999999999</v>
      </c>
      <c r="KA27">
        <v>34.032200000000003</v>
      </c>
      <c r="KB27">
        <v>33.996200000000002</v>
      </c>
      <c r="KC27">
        <v>22.428100000000001</v>
      </c>
      <c r="KD27">
        <v>40.493299999999998</v>
      </c>
      <c r="KE27">
        <v>0</v>
      </c>
      <c r="KF27">
        <v>-999.9</v>
      </c>
      <c r="KG27">
        <v>433.15199999999999</v>
      </c>
      <c r="KH27">
        <v>31.286899999999999</v>
      </c>
      <c r="KI27">
        <v>100.324</v>
      </c>
      <c r="KJ27">
        <v>99.528099999999995</v>
      </c>
    </row>
    <row r="28" spans="1:296" x14ac:dyDescent="0.3">
      <c r="A28">
        <v>12</v>
      </c>
      <c r="B28">
        <v>1782921340.0999999</v>
      </c>
      <c r="C28">
        <v>1745.599999904633</v>
      </c>
      <c r="D28" t="s">
        <v>765</v>
      </c>
      <c r="E28" t="s">
        <v>766</v>
      </c>
      <c r="F28">
        <v>15</v>
      </c>
      <c r="H28">
        <v>1782921332.349999</v>
      </c>
      <c r="I28">
        <f t="shared" si="0"/>
        <v>1.9743974763575E-3</v>
      </c>
      <c r="J28">
        <f t="shared" si="1"/>
        <v>1.9743974763575001</v>
      </c>
      <c r="K28">
        <f t="shared" si="2"/>
        <v>2.5721554252666587</v>
      </c>
      <c r="L28">
        <f t="shared" si="3"/>
        <v>419.97996666666671</v>
      </c>
      <c r="M28">
        <f t="shared" si="4"/>
        <v>369.76685291543134</v>
      </c>
      <c r="N28">
        <f t="shared" si="5"/>
        <v>36.164984306121603</v>
      </c>
      <c r="O28">
        <f t="shared" si="6"/>
        <v>41.076069376232653</v>
      </c>
      <c r="P28">
        <f t="shared" si="7"/>
        <v>0.10871026664816906</v>
      </c>
      <c r="Q28">
        <f t="shared" si="8"/>
        <v>2.8904005348117447</v>
      </c>
      <c r="R28">
        <f t="shared" si="9"/>
        <v>0.10648885237029393</v>
      </c>
      <c r="S28">
        <f t="shared" si="10"/>
        <v>6.6751337223263152E-2</v>
      </c>
      <c r="T28">
        <f t="shared" si="11"/>
        <v>16.507924502490059</v>
      </c>
      <c r="U28">
        <f t="shared" si="12"/>
        <v>33.242617598900267</v>
      </c>
      <c r="V28">
        <f t="shared" si="13"/>
        <v>33.278183333333331</v>
      </c>
      <c r="W28">
        <f t="shared" si="14"/>
        <v>5.1316134884325582</v>
      </c>
      <c r="X28">
        <f t="shared" si="15"/>
        <v>64.79552989601865</v>
      </c>
      <c r="Y28">
        <f t="shared" si="16"/>
        <v>3.3972921850942499</v>
      </c>
      <c r="Z28">
        <f t="shared" si="17"/>
        <v>5.2430965385206241</v>
      </c>
      <c r="AA28">
        <f t="shared" si="18"/>
        <v>1.7343213033383083</v>
      </c>
      <c r="AB28">
        <f t="shared" si="19"/>
        <v>-87.070928707365752</v>
      </c>
      <c r="AC28">
        <f t="shared" si="20"/>
        <v>59.809104741484859</v>
      </c>
      <c r="AD28">
        <f t="shared" si="21"/>
        <v>4.7608549024000615</v>
      </c>
      <c r="AE28">
        <f t="shared" si="22"/>
        <v>-5.9930445609907679</v>
      </c>
      <c r="AF28">
        <f t="shared" si="23"/>
        <v>2.5721554252666587</v>
      </c>
      <c r="AG28">
        <f t="shared" si="24"/>
        <v>1.9743974763575001</v>
      </c>
      <c r="AH28">
        <f t="shared" si="25"/>
        <v>2.51534721597536</v>
      </c>
      <c r="AI28">
        <v>438.29560472028942</v>
      </c>
      <c r="AJ28">
        <v>435.05700000000002</v>
      </c>
      <c r="AK28">
        <v>2.3127322095549581E-2</v>
      </c>
      <c r="AL28">
        <v>67.093852348753956</v>
      </c>
      <c r="AM28">
        <f t="shared" si="26"/>
        <v>1.9726454765405992</v>
      </c>
      <c r="AN28">
        <v>32.49125984421336</v>
      </c>
      <c r="AO28">
        <v>34.739070303030303</v>
      </c>
      <c r="AP28">
        <v>6.1935527207175531E-3</v>
      </c>
      <c r="AQ28">
        <v>78.251082460795672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50582.120857795649</v>
      </c>
      <c r="AW28" t="s">
        <v>724</v>
      </c>
      <c r="AX28">
        <v>5111.67</v>
      </c>
      <c r="AY28">
        <v>545.84117647058815</v>
      </c>
      <c r="AZ28">
        <v>2426.21</v>
      </c>
      <c r="BA28">
        <f t="shared" si="30"/>
        <v>0.77502311157295201</v>
      </c>
      <c r="BB28">
        <v>-5.2289110739545492</v>
      </c>
      <c r="BC28" t="s">
        <v>767</v>
      </c>
      <c r="BD28">
        <v>5110.18</v>
      </c>
      <c r="BE28">
        <v>691.13876470588241</v>
      </c>
      <c r="BF28">
        <v>2204.2800000000002</v>
      </c>
      <c r="BG28">
        <f t="shared" si="31"/>
        <v>0.68645600163959108</v>
      </c>
      <c r="BH28">
        <v>0.5</v>
      </c>
      <c r="BI28">
        <f t="shared" si="32"/>
        <v>84.271736376419724</v>
      </c>
      <c r="BJ28">
        <f t="shared" si="33"/>
        <v>2.5721554252666587</v>
      </c>
      <c r="BK28">
        <f t="shared" si="34"/>
        <v>28.924419602091383</v>
      </c>
      <c r="BL28">
        <f t="shared" si="35"/>
        <v>9.2570378096588538E-2</v>
      </c>
      <c r="BM28">
        <f t="shared" si="36"/>
        <v>0.10068140163681556</v>
      </c>
      <c r="BN28">
        <f t="shared" si="37"/>
        <v>533.75118454743847</v>
      </c>
      <c r="BO28" t="s">
        <v>407</v>
      </c>
      <c r="BP28">
        <v>0</v>
      </c>
      <c r="BQ28">
        <f t="shared" si="38"/>
        <v>533.75118454743847</v>
      </c>
      <c r="BR28">
        <f t="shared" si="39"/>
        <v>0.75785690359326474</v>
      </c>
      <c r="BS28">
        <f t="shared" si="40"/>
        <v>0.90578577352117928</v>
      </c>
      <c r="BT28">
        <f t="shared" si="41"/>
        <v>0.11727071584748205</v>
      </c>
      <c r="BU28">
        <f t="shared" si="42"/>
        <v>0.91238893700879564</v>
      </c>
      <c r="BV28">
        <f t="shared" si="43"/>
        <v>0.1180247179292422</v>
      </c>
      <c r="BW28">
        <f t="shared" si="44"/>
        <v>0.69951832287816751</v>
      </c>
      <c r="BX28">
        <f t="shared" si="45"/>
        <v>0.30048167712183249</v>
      </c>
      <c r="DG28">
        <f t="shared" si="46"/>
        <v>99.983940000000018</v>
      </c>
      <c r="DH28">
        <f t="shared" si="47"/>
        <v>84.271736376419724</v>
      </c>
      <c r="DI28">
        <f t="shared" si="48"/>
        <v>0.84285272591197857</v>
      </c>
      <c r="DJ28">
        <f t="shared" si="49"/>
        <v>0.16510576101011878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1782921332.349999</v>
      </c>
      <c r="DQ28">
        <v>419.97996666666671</v>
      </c>
      <c r="DR28">
        <v>424.0616333333333</v>
      </c>
      <c r="DS28">
        <v>34.73542333333333</v>
      </c>
      <c r="DT28">
        <v>32.44842666666667</v>
      </c>
      <c r="DU28">
        <v>424.60469999999998</v>
      </c>
      <c r="DV28">
        <v>34.290669999999999</v>
      </c>
      <c r="DW28">
        <v>499.99616666666668</v>
      </c>
      <c r="DX28">
        <v>97.758936666666656</v>
      </c>
      <c r="DY28">
        <v>4.5893650000000001E-2</v>
      </c>
      <c r="DZ28">
        <v>33.661999999999999</v>
      </c>
      <c r="EA28">
        <v>33.278183333333331</v>
      </c>
      <c r="EB28">
        <v>999.9000000000002</v>
      </c>
      <c r="EC28">
        <v>0</v>
      </c>
      <c r="ED28">
        <v>0</v>
      </c>
      <c r="EE28">
        <v>10002.66666666667</v>
      </c>
      <c r="EF28">
        <v>0</v>
      </c>
      <c r="EG28">
        <v>1397.1356666666661</v>
      </c>
      <c r="EH28">
        <v>-4.0817603333333334</v>
      </c>
      <c r="EI28">
        <v>435.09316666666672</v>
      </c>
      <c r="EJ28">
        <v>438.28323333333333</v>
      </c>
      <c r="EK28">
        <v>2.2869943333333329</v>
      </c>
      <c r="EL28">
        <v>424.0616333333333</v>
      </c>
      <c r="EM28">
        <v>32.44842666666667</v>
      </c>
      <c r="EN28">
        <v>3.3956973333333331</v>
      </c>
      <c r="EO28">
        <v>3.172124333333334</v>
      </c>
      <c r="EP28">
        <v>26.10707</v>
      </c>
      <c r="EQ28">
        <v>24.960103333333329</v>
      </c>
      <c r="ER28">
        <v>99.983940000000018</v>
      </c>
      <c r="ES28">
        <v>0.89990786666666644</v>
      </c>
      <c r="ET28">
        <v>0.10009219</v>
      </c>
      <c r="EU28">
        <v>0</v>
      </c>
      <c r="EV28">
        <v>691.00539999999978</v>
      </c>
      <c r="EW28">
        <v>5.0010700000000003</v>
      </c>
      <c r="EX28">
        <v>5318.1873333333333</v>
      </c>
      <c r="EY28">
        <v>836.39839999999992</v>
      </c>
      <c r="EZ28">
        <v>38.375</v>
      </c>
      <c r="FA28">
        <v>42.283066666666663</v>
      </c>
      <c r="FB28">
        <v>40.432866666666648</v>
      </c>
      <c r="FC28">
        <v>42.033000000000001</v>
      </c>
      <c r="FD28">
        <v>41.170466666666648</v>
      </c>
      <c r="FE28">
        <v>85.476333333333315</v>
      </c>
      <c r="FF28">
        <v>9.5076666666666654</v>
      </c>
      <c r="FG28">
        <v>0</v>
      </c>
      <c r="FH28">
        <v>175.5999999046326</v>
      </c>
      <c r="FI28">
        <v>0</v>
      </c>
      <c r="FJ28">
        <v>691.13876470588241</v>
      </c>
      <c r="FK28">
        <v>3.000245063394686</v>
      </c>
      <c r="FL28">
        <v>34.602939380760397</v>
      </c>
      <c r="FM28">
        <v>5409.9447058823534</v>
      </c>
      <c r="FN28">
        <v>10</v>
      </c>
      <c r="FO28">
        <v>1782921301.0999999</v>
      </c>
      <c r="FP28" t="s">
        <v>768</v>
      </c>
      <c r="FQ28">
        <v>1782921301.0999999</v>
      </c>
      <c r="FR28">
        <v>1782921297.0999999</v>
      </c>
      <c r="FS28">
        <v>13</v>
      </c>
      <c r="FT28">
        <v>-6.8000000000000005E-2</v>
      </c>
      <c r="FU28">
        <v>-1.4E-2</v>
      </c>
      <c r="FV28">
        <v>-4.625</v>
      </c>
      <c r="FW28">
        <v>0.35899999999999999</v>
      </c>
      <c r="FX28">
        <v>424</v>
      </c>
      <c r="FY28">
        <v>32</v>
      </c>
      <c r="FZ28">
        <v>1.1399999999999999</v>
      </c>
      <c r="GA28">
        <v>0.09</v>
      </c>
      <c r="GB28">
        <v>-4.1149017499999996</v>
      </c>
      <c r="GC28">
        <v>0.13296709193246961</v>
      </c>
      <c r="GD28">
        <v>0.1503426076148659</v>
      </c>
      <c r="GE28">
        <v>1</v>
      </c>
      <c r="GF28">
        <v>690.9348235294118</v>
      </c>
      <c r="GG28">
        <v>1.8504507194254829</v>
      </c>
      <c r="GH28">
        <v>0.28246472664619238</v>
      </c>
      <c r="GI28">
        <v>1</v>
      </c>
      <c r="GJ28">
        <v>2.30885075</v>
      </c>
      <c r="GK28">
        <v>-0.47733579737336002</v>
      </c>
      <c r="GL28">
        <v>4.8268372221750969E-2</v>
      </c>
      <c r="GM28">
        <v>1</v>
      </c>
      <c r="GN28">
        <v>3</v>
      </c>
      <c r="GO28">
        <v>3</v>
      </c>
      <c r="GP28" t="s">
        <v>599</v>
      </c>
      <c r="GQ28">
        <v>3.1336300000000001</v>
      </c>
      <c r="GR28">
        <v>2.7215799999999999</v>
      </c>
      <c r="GS28">
        <v>9.1247300000000003E-2</v>
      </c>
      <c r="GT28">
        <v>9.1919299999999995E-2</v>
      </c>
      <c r="GU28">
        <v>0.143349</v>
      </c>
      <c r="GV28">
        <v>0.138265</v>
      </c>
      <c r="GW28">
        <v>22768.1</v>
      </c>
      <c r="GX28">
        <v>30633.599999999999</v>
      </c>
      <c r="GY28">
        <v>27178.9</v>
      </c>
      <c r="GZ28">
        <v>34691.1</v>
      </c>
      <c r="HA28">
        <v>34097.4</v>
      </c>
      <c r="HB28">
        <v>38184.1</v>
      </c>
      <c r="HC28">
        <v>40131.199999999997</v>
      </c>
      <c r="HD28">
        <v>44392.5</v>
      </c>
      <c r="HE28">
        <v>1.9621999999999999</v>
      </c>
      <c r="HF28">
        <v>1.7592000000000001</v>
      </c>
      <c r="HG28">
        <v>3.6358799999999997E-2</v>
      </c>
      <c r="HH28">
        <v>0</v>
      </c>
      <c r="HI28">
        <v>32.689599999999999</v>
      </c>
      <c r="HJ28">
        <v>999.9</v>
      </c>
      <c r="HK28">
        <v>61.9</v>
      </c>
      <c r="HL28">
        <v>39.200000000000003</v>
      </c>
      <c r="HM28">
        <v>44.973799999999997</v>
      </c>
      <c r="HN28">
        <v>60.027299999999997</v>
      </c>
      <c r="HO28">
        <v>5.15625</v>
      </c>
      <c r="HP28">
        <v>1</v>
      </c>
      <c r="HQ28">
        <v>0.56117899999999998</v>
      </c>
      <c r="HR28">
        <v>0</v>
      </c>
      <c r="HS28">
        <v>20.293800000000001</v>
      </c>
      <c r="HT28">
        <v>5.2100999999999997</v>
      </c>
      <c r="HU28">
        <v>11.908099999999999</v>
      </c>
      <c r="HV28">
        <v>4.9847999999999999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1.8674299999999999</v>
      </c>
      <c r="IC28">
        <v>1.8631</v>
      </c>
      <c r="ID28">
        <v>1.86249</v>
      </c>
      <c r="IE28">
        <v>1.8620300000000001</v>
      </c>
      <c r="IF28">
        <v>1.86206</v>
      </c>
      <c r="IG28">
        <v>1.86273</v>
      </c>
      <c r="IH28">
        <v>1.8635600000000001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-4.625</v>
      </c>
      <c r="IX28">
        <v>0.44479999999999997</v>
      </c>
      <c r="IY28">
        <v>-4.6247499999999491</v>
      </c>
      <c r="IZ28">
        <v>0</v>
      </c>
      <c r="JA28">
        <v>0</v>
      </c>
      <c r="JB28">
        <v>0</v>
      </c>
      <c r="JC28">
        <v>-0.25194504671916529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0.7</v>
      </c>
      <c r="JL28">
        <v>0.7</v>
      </c>
      <c r="JM28">
        <v>1.1035200000000001</v>
      </c>
      <c r="JN28">
        <v>2.5317400000000001</v>
      </c>
      <c r="JO28">
        <v>1.50024</v>
      </c>
      <c r="JP28">
        <v>2.2729499999999998</v>
      </c>
      <c r="JQ28">
        <v>1.4477500000000001</v>
      </c>
      <c r="JR28">
        <v>2.4487299999999999</v>
      </c>
      <c r="JS28">
        <v>43.182000000000002</v>
      </c>
      <c r="JT28">
        <v>15.375400000000001</v>
      </c>
      <c r="JU28">
        <v>18</v>
      </c>
      <c r="JV28">
        <v>543.79100000000005</v>
      </c>
      <c r="JW28">
        <v>425.51499999999999</v>
      </c>
      <c r="JX28">
        <v>33.586799999999997</v>
      </c>
      <c r="JY28">
        <v>34.253500000000003</v>
      </c>
      <c r="JZ28">
        <v>30.0001</v>
      </c>
      <c r="KA28">
        <v>34.164000000000001</v>
      </c>
      <c r="KB28">
        <v>34.121299999999998</v>
      </c>
      <c r="KC28">
        <v>22.069199999999999</v>
      </c>
      <c r="KD28">
        <v>39.2896</v>
      </c>
      <c r="KE28">
        <v>0</v>
      </c>
      <c r="KF28">
        <v>-999.9</v>
      </c>
      <c r="KG28">
        <v>424.35300000000001</v>
      </c>
      <c r="KH28">
        <v>32.586199999999998</v>
      </c>
      <c r="KI28">
        <v>100.30200000000001</v>
      </c>
      <c r="KJ28">
        <v>99.503900000000002</v>
      </c>
    </row>
    <row r="29" spans="1:296" x14ac:dyDescent="0.3">
      <c r="A29">
        <v>13</v>
      </c>
      <c r="B29">
        <v>1782921474.0999999</v>
      </c>
      <c r="C29">
        <v>1879.599999904633</v>
      </c>
      <c r="D29" t="s">
        <v>769</v>
      </c>
      <c r="E29" t="s">
        <v>770</v>
      </c>
      <c r="F29">
        <v>15</v>
      </c>
      <c r="H29">
        <v>1782921466.099999</v>
      </c>
      <c r="I29">
        <f t="shared" si="0"/>
        <v>1.5466713477823087E-3</v>
      </c>
      <c r="J29">
        <f t="shared" si="1"/>
        <v>1.5466713477823086</v>
      </c>
      <c r="K29">
        <f t="shared" si="2"/>
        <v>-0.65941664748606132</v>
      </c>
      <c r="L29">
        <f t="shared" si="3"/>
        <v>419.93229032258068</v>
      </c>
      <c r="M29">
        <f t="shared" si="4"/>
        <v>420.1172893543295</v>
      </c>
      <c r="N29">
        <f t="shared" si="5"/>
        <v>41.088155385111229</v>
      </c>
      <c r="O29">
        <f t="shared" si="6"/>
        <v>41.070062178392043</v>
      </c>
      <c r="P29">
        <f t="shared" si="7"/>
        <v>8.5744663243304833E-2</v>
      </c>
      <c r="Q29">
        <f t="shared" si="8"/>
        <v>2.8897908054249202</v>
      </c>
      <c r="R29">
        <f t="shared" si="9"/>
        <v>8.4355932072992301E-2</v>
      </c>
      <c r="S29">
        <f t="shared" si="10"/>
        <v>5.2845355957932078E-2</v>
      </c>
      <c r="T29">
        <f t="shared" si="11"/>
        <v>8.2376697282419613</v>
      </c>
      <c r="U29">
        <f t="shared" si="12"/>
        <v>33.160804410781907</v>
      </c>
      <c r="V29">
        <f t="shared" si="13"/>
        <v>33.129238709677423</v>
      </c>
      <c r="W29">
        <f t="shared" si="14"/>
        <v>5.0889098860469781</v>
      </c>
      <c r="X29">
        <f t="shared" si="15"/>
        <v>64.860532929268771</v>
      </c>
      <c r="Y29">
        <f t="shared" si="16"/>
        <v>3.3732882993721502</v>
      </c>
      <c r="Z29">
        <f t="shared" si="17"/>
        <v>5.2008334606975311</v>
      </c>
      <c r="AA29">
        <f t="shared" si="18"/>
        <v>1.7156215866748279</v>
      </c>
      <c r="AB29">
        <f t="shared" si="19"/>
        <v>-68.20820643719982</v>
      </c>
      <c r="AC29">
        <f t="shared" si="20"/>
        <v>60.463807378191824</v>
      </c>
      <c r="AD29">
        <f t="shared" si="21"/>
        <v>4.8070707728394924</v>
      </c>
      <c r="AE29">
        <f t="shared" si="22"/>
        <v>5.3003414420734529</v>
      </c>
      <c r="AF29">
        <f t="shared" si="23"/>
        <v>-0.65941664748606132</v>
      </c>
      <c r="AG29">
        <f t="shared" si="24"/>
        <v>1.5466713477823086</v>
      </c>
      <c r="AH29">
        <f t="shared" si="25"/>
        <v>-0.73914509934834205</v>
      </c>
      <c r="AI29">
        <v>434.17719640942528</v>
      </c>
      <c r="AJ29">
        <v>434.97330303030287</v>
      </c>
      <c r="AK29">
        <v>2.350992400552156E-2</v>
      </c>
      <c r="AL29">
        <v>67.035595242281303</v>
      </c>
      <c r="AM29">
        <f t="shared" si="26"/>
        <v>1.545226146152096</v>
      </c>
      <c r="AN29">
        <v>32.701672563761768</v>
      </c>
      <c r="AO29">
        <v>34.492696363636362</v>
      </c>
      <c r="AP29">
        <v>-1.203568961191264E-4</v>
      </c>
      <c r="AQ29">
        <v>78.068555540006102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50588.859710925666</v>
      </c>
      <c r="AW29" t="s">
        <v>724</v>
      </c>
      <c r="AX29">
        <v>5111.67</v>
      </c>
      <c r="AY29">
        <v>545.84117647058815</v>
      </c>
      <c r="AZ29">
        <v>2426.21</v>
      </c>
      <c r="BA29">
        <f t="shared" si="30"/>
        <v>0.77502311157295201</v>
      </c>
      <c r="BB29">
        <v>-5.2289110739545492</v>
      </c>
      <c r="BC29" t="s">
        <v>771</v>
      </c>
      <c r="BD29">
        <v>5105.68</v>
      </c>
      <c r="BE29">
        <v>681.71429411764711</v>
      </c>
      <c r="BF29">
        <v>2323.41</v>
      </c>
      <c r="BG29">
        <f t="shared" si="31"/>
        <v>0.70658889558121585</v>
      </c>
      <c r="BH29">
        <v>0.5</v>
      </c>
      <c r="BI29">
        <f t="shared" si="32"/>
        <v>42.120225466413181</v>
      </c>
      <c r="BJ29">
        <f t="shared" si="33"/>
        <v>-0.65941664748606132</v>
      </c>
      <c r="BK29">
        <f t="shared" si="34"/>
        <v>14.880841796972346</v>
      </c>
      <c r="BL29">
        <f t="shared" si="35"/>
        <v>0.10848694127034574</v>
      </c>
      <c r="BM29">
        <f t="shared" si="36"/>
        <v>4.4245311847672254E-2</v>
      </c>
      <c r="BN29">
        <f t="shared" si="37"/>
        <v>540.46133110419157</v>
      </c>
      <c r="BO29" t="s">
        <v>407</v>
      </c>
      <c r="BP29">
        <v>0</v>
      </c>
      <c r="BQ29">
        <f t="shared" si="38"/>
        <v>540.46133110419157</v>
      </c>
      <c r="BR29">
        <f t="shared" si="39"/>
        <v>0.76738443447166382</v>
      </c>
      <c r="BS29">
        <f t="shared" si="40"/>
        <v>0.92077564235153542</v>
      </c>
      <c r="BT29">
        <f t="shared" si="41"/>
        <v>5.4514157530968464E-2</v>
      </c>
      <c r="BU29">
        <f t="shared" si="42"/>
        <v>0.92356238709380645</v>
      </c>
      <c r="BV29">
        <f t="shared" si="43"/>
        <v>5.467012572940174E-2</v>
      </c>
      <c r="BW29">
        <f t="shared" si="44"/>
        <v>0.72998855034679211</v>
      </c>
      <c r="BX29">
        <f t="shared" si="45"/>
        <v>0.27001144965320789</v>
      </c>
      <c r="DG29">
        <f t="shared" si="46"/>
        <v>49.982461290322583</v>
      </c>
      <c r="DH29">
        <f t="shared" si="47"/>
        <v>42.120225466413181</v>
      </c>
      <c r="DI29">
        <f t="shared" si="48"/>
        <v>0.84270010677862195</v>
      </c>
      <c r="DJ29">
        <f t="shared" si="49"/>
        <v>0.16481120608274064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1782921466.099999</v>
      </c>
      <c r="DQ29">
        <v>419.93229032258068</v>
      </c>
      <c r="DR29">
        <v>419.92038709677411</v>
      </c>
      <c r="DS29">
        <v>34.491125806451613</v>
      </c>
      <c r="DT29">
        <v>32.699145161290318</v>
      </c>
      <c r="DU29">
        <v>424.53600000000012</v>
      </c>
      <c r="DV29">
        <v>34.058025806451617</v>
      </c>
      <c r="DW29">
        <v>500.0025806451614</v>
      </c>
      <c r="DX29">
        <v>97.752345161290307</v>
      </c>
      <c r="DY29">
        <v>4.9284112903225819E-2</v>
      </c>
      <c r="DZ29">
        <v>33.517338709677418</v>
      </c>
      <c r="EA29">
        <v>33.129238709677423</v>
      </c>
      <c r="EB29">
        <v>999.90000000000032</v>
      </c>
      <c r="EC29">
        <v>0</v>
      </c>
      <c r="ED29">
        <v>0</v>
      </c>
      <c r="EE29">
        <v>9999.8387096774186</v>
      </c>
      <c r="EF29">
        <v>0</v>
      </c>
      <c r="EG29">
        <v>1118.3964516129031</v>
      </c>
      <c r="EH29">
        <v>1.1890045806451619E-2</v>
      </c>
      <c r="EI29">
        <v>434.93367741935481</v>
      </c>
      <c r="EJ29">
        <v>434.11558064516117</v>
      </c>
      <c r="EK29">
        <v>1.791980322580645</v>
      </c>
      <c r="EL29">
        <v>419.92038709677411</v>
      </c>
      <c r="EM29">
        <v>32.699145161290318</v>
      </c>
      <c r="EN29">
        <v>3.3715883870967742</v>
      </c>
      <c r="EO29">
        <v>3.196418064516128</v>
      </c>
      <c r="EP29">
        <v>25.986629032258069</v>
      </c>
      <c r="EQ29">
        <v>25.088096774193549</v>
      </c>
      <c r="ER29">
        <v>49.982461290322583</v>
      </c>
      <c r="ES29">
        <v>0.89993193548387074</v>
      </c>
      <c r="ET29">
        <v>0.1000684612903226</v>
      </c>
      <c r="EU29">
        <v>0</v>
      </c>
      <c r="EV29">
        <v>681.70793548387087</v>
      </c>
      <c r="EW29">
        <v>5.0010700000000003</v>
      </c>
      <c r="EX29">
        <v>4205.0403225806449</v>
      </c>
      <c r="EY29">
        <v>396.10022580645159</v>
      </c>
      <c r="EZ29">
        <v>38</v>
      </c>
      <c r="FA29">
        <v>41.928999999999988</v>
      </c>
      <c r="FB29">
        <v>40.146999999999991</v>
      </c>
      <c r="FC29">
        <v>41.686999999999983</v>
      </c>
      <c r="FD29">
        <v>40.753999999999998</v>
      </c>
      <c r="FE29">
        <v>40.480645161290333</v>
      </c>
      <c r="FF29">
        <v>4.4983870967741932</v>
      </c>
      <c r="FG29">
        <v>0</v>
      </c>
      <c r="FH29">
        <v>133.20000004768369</v>
      </c>
      <c r="FI29">
        <v>0</v>
      </c>
      <c r="FJ29">
        <v>681.71429411764711</v>
      </c>
      <c r="FK29">
        <v>1.497303921141238</v>
      </c>
      <c r="FL29">
        <v>-93.990196123003514</v>
      </c>
      <c r="FM29">
        <v>4200.0023529411774</v>
      </c>
      <c r="FN29">
        <v>10</v>
      </c>
      <c r="FO29">
        <v>1782921437.5999999</v>
      </c>
      <c r="FP29" t="s">
        <v>772</v>
      </c>
      <c r="FQ29">
        <v>1782921434.0999999</v>
      </c>
      <c r="FR29">
        <v>1782921437.5999999</v>
      </c>
      <c r="FS29">
        <v>14</v>
      </c>
      <c r="FT29">
        <v>2.1000000000000001E-2</v>
      </c>
      <c r="FU29">
        <v>-5.0000000000000001E-3</v>
      </c>
      <c r="FV29">
        <v>-4.6040000000000001</v>
      </c>
      <c r="FW29">
        <v>0.377</v>
      </c>
      <c r="FX29">
        <v>419</v>
      </c>
      <c r="FY29">
        <v>33</v>
      </c>
      <c r="FZ29">
        <v>1.72</v>
      </c>
      <c r="GA29">
        <v>0.22</v>
      </c>
      <c r="GB29">
        <v>2.1871976499999991E-2</v>
      </c>
      <c r="GC29">
        <v>-0.48106892285178271</v>
      </c>
      <c r="GD29">
        <v>0.1212040064557604</v>
      </c>
      <c r="GE29">
        <v>1</v>
      </c>
      <c r="GF29">
        <v>681.74208823529409</v>
      </c>
      <c r="GG29">
        <v>-0.26666157112799221</v>
      </c>
      <c r="GH29">
        <v>0.21159010980542189</v>
      </c>
      <c r="GI29">
        <v>1</v>
      </c>
      <c r="GJ29">
        <v>1.82045575</v>
      </c>
      <c r="GK29">
        <v>-0.40652499061913883</v>
      </c>
      <c r="GL29">
        <v>5.1143270568448203E-2</v>
      </c>
      <c r="GM29">
        <v>1</v>
      </c>
      <c r="GN29">
        <v>3</v>
      </c>
      <c r="GO29">
        <v>3</v>
      </c>
      <c r="GP29" t="s">
        <v>599</v>
      </c>
      <c r="GQ29">
        <v>3.1338900000000001</v>
      </c>
      <c r="GR29">
        <v>2.7258100000000001</v>
      </c>
      <c r="GS29">
        <v>9.12438E-2</v>
      </c>
      <c r="GT29">
        <v>9.1240000000000002E-2</v>
      </c>
      <c r="GU29">
        <v>0.14265900000000001</v>
      </c>
      <c r="GV29">
        <v>0.13885</v>
      </c>
      <c r="GW29">
        <v>22769.5</v>
      </c>
      <c r="GX29">
        <v>30656.5</v>
      </c>
      <c r="GY29">
        <v>27180.400000000001</v>
      </c>
      <c r="GZ29">
        <v>34691</v>
      </c>
      <c r="HA29">
        <v>34126.6</v>
      </c>
      <c r="HB29">
        <v>38157.5</v>
      </c>
      <c r="HC29">
        <v>40133.300000000003</v>
      </c>
      <c r="HD29">
        <v>44391.8</v>
      </c>
      <c r="HE29">
        <v>1.9628000000000001</v>
      </c>
      <c r="HF29">
        <v>1.7564</v>
      </c>
      <c r="HG29">
        <v>3.9339100000000002E-2</v>
      </c>
      <c r="HH29">
        <v>0</v>
      </c>
      <c r="HI29">
        <v>32.500900000000001</v>
      </c>
      <c r="HJ29">
        <v>999.9</v>
      </c>
      <c r="HK29">
        <v>61.6</v>
      </c>
      <c r="HL29">
        <v>39.4</v>
      </c>
      <c r="HM29">
        <v>45.244500000000002</v>
      </c>
      <c r="HN29">
        <v>59.647300000000001</v>
      </c>
      <c r="HO29">
        <v>5.4727600000000001</v>
      </c>
      <c r="HP29">
        <v>1</v>
      </c>
      <c r="HQ29">
        <v>0.56054899999999996</v>
      </c>
      <c r="HR29">
        <v>0</v>
      </c>
      <c r="HS29">
        <v>20.2942</v>
      </c>
      <c r="HT29">
        <v>5.2100999999999997</v>
      </c>
      <c r="HU29">
        <v>11.9069</v>
      </c>
      <c r="HV29">
        <v>4.9832000000000001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1.8675200000000001</v>
      </c>
      <c r="IC29">
        <v>1.86313</v>
      </c>
      <c r="ID29">
        <v>1.8625499999999999</v>
      </c>
      <c r="IE29">
        <v>1.86206</v>
      </c>
      <c r="IF29">
        <v>1.86212</v>
      </c>
      <c r="IG29">
        <v>1.8626400000000001</v>
      </c>
      <c r="IH29">
        <v>1.8635600000000001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-4.6029999999999998</v>
      </c>
      <c r="IX29">
        <v>0.43309999999999998</v>
      </c>
      <c r="IY29">
        <v>-4.6036666666667543</v>
      </c>
      <c r="IZ29">
        <v>0</v>
      </c>
      <c r="JA29">
        <v>0</v>
      </c>
      <c r="JB29">
        <v>0</v>
      </c>
      <c r="JC29">
        <v>-0.2564739032192539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0.7</v>
      </c>
      <c r="JL29">
        <v>0.6</v>
      </c>
      <c r="JM29">
        <v>1.09375</v>
      </c>
      <c r="JN29">
        <v>2.5341800000000001</v>
      </c>
      <c r="JO29">
        <v>1.50024</v>
      </c>
      <c r="JP29">
        <v>2.2729499999999998</v>
      </c>
      <c r="JQ29">
        <v>1.4477500000000001</v>
      </c>
      <c r="JR29">
        <v>2.36572</v>
      </c>
      <c r="JS29">
        <v>43.263300000000001</v>
      </c>
      <c r="JT29">
        <v>15.357900000000001</v>
      </c>
      <c r="JU29">
        <v>18</v>
      </c>
      <c r="JV29">
        <v>544.31600000000003</v>
      </c>
      <c r="JW29">
        <v>423.89600000000002</v>
      </c>
      <c r="JX29">
        <v>33.484499999999997</v>
      </c>
      <c r="JY29">
        <v>34.247300000000003</v>
      </c>
      <c r="JZ29">
        <v>30.0001</v>
      </c>
      <c r="KA29">
        <v>34.179400000000001</v>
      </c>
      <c r="KB29">
        <v>34.136499999999998</v>
      </c>
      <c r="KC29">
        <v>21.892600000000002</v>
      </c>
      <c r="KD29">
        <v>38.973799999999997</v>
      </c>
      <c r="KE29">
        <v>0</v>
      </c>
      <c r="KF29">
        <v>-999.9</v>
      </c>
      <c r="KG29">
        <v>420.10300000000001</v>
      </c>
      <c r="KH29">
        <v>32.700600000000001</v>
      </c>
      <c r="KI29">
        <v>100.30800000000001</v>
      </c>
      <c r="KJ29">
        <v>99.503</v>
      </c>
    </row>
    <row r="30" spans="1:296" x14ac:dyDescent="0.3">
      <c r="A30">
        <v>14</v>
      </c>
      <c r="B30">
        <v>1782921602.5999999</v>
      </c>
      <c r="C30">
        <v>2008.099999904633</v>
      </c>
      <c r="D30" t="s">
        <v>773</v>
      </c>
      <c r="E30" t="s">
        <v>774</v>
      </c>
      <c r="F30">
        <v>15</v>
      </c>
      <c r="H30">
        <v>1782921594.599999</v>
      </c>
      <c r="I30">
        <f t="shared" si="0"/>
        <v>1.2470280498556687E-3</v>
      </c>
      <c r="J30">
        <f t="shared" si="1"/>
        <v>1.2470280498556687</v>
      </c>
      <c r="K30">
        <f t="shared" si="2"/>
        <v>-2.2728214384438545</v>
      </c>
      <c r="L30">
        <f t="shared" si="3"/>
        <v>419.99512903225809</v>
      </c>
      <c r="M30">
        <f t="shared" si="4"/>
        <v>460.54204037814901</v>
      </c>
      <c r="N30">
        <f t="shared" si="5"/>
        <v>45.042096134401774</v>
      </c>
      <c r="O30">
        <f t="shared" si="6"/>
        <v>41.076512716012644</v>
      </c>
      <c r="P30">
        <f t="shared" si="7"/>
        <v>6.879113210785559E-2</v>
      </c>
      <c r="Q30">
        <f t="shared" si="8"/>
        <v>2.8904090144986201</v>
      </c>
      <c r="R30">
        <f t="shared" si="9"/>
        <v>6.7894365211660909E-2</v>
      </c>
      <c r="S30">
        <f t="shared" si="10"/>
        <v>4.2513575180638273E-2</v>
      </c>
      <c r="T30">
        <f t="shared" si="11"/>
        <v>4.9363056734177952</v>
      </c>
      <c r="U30">
        <f t="shared" si="12"/>
        <v>33.316450173867686</v>
      </c>
      <c r="V30">
        <f t="shared" si="13"/>
        <v>33.233980645161289</v>
      </c>
      <c r="W30">
        <f t="shared" si="14"/>
        <v>5.1189078187995651</v>
      </c>
      <c r="X30">
        <f t="shared" si="15"/>
        <v>65.036816535071637</v>
      </c>
      <c r="Y30">
        <f t="shared" si="16"/>
        <v>3.4007957929002499</v>
      </c>
      <c r="Z30">
        <f t="shared" si="17"/>
        <v>5.2290317609047525</v>
      </c>
      <c r="AA30">
        <f t="shared" si="18"/>
        <v>1.7181120258993152</v>
      </c>
      <c r="AB30">
        <f t="shared" si="19"/>
        <v>-54.993936998634993</v>
      </c>
      <c r="AC30">
        <f t="shared" si="20"/>
        <v>59.213029689767907</v>
      </c>
      <c r="AD30">
        <f t="shared" si="21"/>
        <v>4.711265551528939</v>
      </c>
      <c r="AE30">
        <f t="shared" si="22"/>
        <v>13.866663916079645</v>
      </c>
      <c r="AF30">
        <f t="shared" si="23"/>
        <v>-2.2728214384438545</v>
      </c>
      <c r="AG30">
        <f t="shared" si="24"/>
        <v>1.2470280498556687</v>
      </c>
      <c r="AH30">
        <f t="shared" si="25"/>
        <v>-2.1554359759342248</v>
      </c>
      <c r="AI30">
        <v>432.4109108393817</v>
      </c>
      <c r="AJ30">
        <v>435.01864242424239</v>
      </c>
      <c r="AK30">
        <v>1.32504036938866E-2</v>
      </c>
      <c r="AL30">
        <v>67.086504085809551</v>
      </c>
      <c r="AM30">
        <f t="shared" si="26"/>
        <v>1.21241728511465</v>
      </c>
      <c r="AN30">
        <v>33.329307808529506</v>
      </c>
      <c r="AO30">
        <v>34.739035757575763</v>
      </c>
      <c r="AP30">
        <v>-8.7944685828317065E-4</v>
      </c>
      <c r="AQ30">
        <v>78.232847842055961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50590.174794264101</v>
      </c>
      <c r="AW30" t="s">
        <v>724</v>
      </c>
      <c r="AX30">
        <v>5111.67</v>
      </c>
      <c r="AY30">
        <v>545.84117647058815</v>
      </c>
      <c r="AZ30">
        <v>2426.21</v>
      </c>
      <c r="BA30">
        <f t="shared" si="30"/>
        <v>0.77502311157295201</v>
      </c>
      <c r="BB30">
        <v>-5.2289110739545492</v>
      </c>
      <c r="BC30" t="s">
        <v>775</v>
      </c>
      <c r="BD30">
        <v>5103.9399999999996</v>
      </c>
      <c r="BE30">
        <v>675.61688235294116</v>
      </c>
      <c r="BF30">
        <v>2385.44</v>
      </c>
      <c r="BG30">
        <f t="shared" si="31"/>
        <v>0.71677473239614442</v>
      </c>
      <c r="BH30">
        <v>0.5</v>
      </c>
      <c r="BI30">
        <f t="shared" si="32"/>
        <v>25.293622746380606</v>
      </c>
      <c r="BJ30">
        <f t="shared" si="33"/>
        <v>-2.2728214384438545</v>
      </c>
      <c r="BK30">
        <f t="shared" si="34"/>
        <v>9.0649148376829949</v>
      </c>
      <c r="BL30">
        <f t="shared" si="35"/>
        <v>0.11687094668689549</v>
      </c>
      <c r="BM30">
        <f t="shared" si="36"/>
        <v>1.7091186531625186E-2</v>
      </c>
      <c r="BN30">
        <f t="shared" si="37"/>
        <v>543.75038990267251</v>
      </c>
      <c r="BO30" t="s">
        <v>407</v>
      </c>
      <c r="BP30">
        <v>0</v>
      </c>
      <c r="BQ30">
        <f t="shared" si="38"/>
        <v>543.75038990267251</v>
      </c>
      <c r="BR30">
        <f t="shared" si="39"/>
        <v>0.77205446797962951</v>
      </c>
      <c r="BS30">
        <f t="shared" si="40"/>
        <v>0.92839917664339766</v>
      </c>
      <c r="BT30">
        <f t="shared" si="41"/>
        <v>2.1657835196736079E-2</v>
      </c>
      <c r="BU30">
        <f t="shared" si="42"/>
        <v>0.92945434394583482</v>
      </c>
      <c r="BV30">
        <f t="shared" si="43"/>
        <v>2.1681916595211129E-2</v>
      </c>
      <c r="BW30">
        <f t="shared" si="44"/>
        <v>0.74719478963737884</v>
      </c>
      <c r="BX30">
        <f t="shared" si="45"/>
        <v>0.25280521036262116</v>
      </c>
      <c r="DG30">
        <f t="shared" si="46"/>
        <v>30.02215806451613</v>
      </c>
      <c r="DH30">
        <f t="shared" si="47"/>
        <v>25.293622746380606</v>
      </c>
      <c r="DI30">
        <f t="shared" si="48"/>
        <v>0.84249848701835039</v>
      </c>
      <c r="DJ30">
        <f t="shared" si="49"/>
        <v>0.16442207994541627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1782921594.599999</v>
      </c>
      <c r="DQ30">
        <v>419.99512903225809</v>
      </c>
      <c r="DR30">
        <v>417.8960967741935</v>
      </c>
      <c r="DS30">
        <v>34.772125806451612</v>
      </c>
      <c r="DT30">
        <v>33.327629032258073</v>
      </c>
      <c r="DU30">
        <v>424.55554838709668</v>
      </c>
      <c r="DV30">
        <v>34.334316129032253</v>
      </c>
      <c r="DW30">
        <v>499.96632258064511</v>
      </c>
      <c r="DX30">
        <v>97.753948387096756</v>
      </c>
      <c r="DY30">
        <v>4.8406632258064519E-2</v>
      </c>
      <c r="DZ30">
        <v>33.613970967741928</v>
      </c>
      <c r="EA30">
        <v>33.233980645161289</v>
      </c>
      <c r="EB30">
        <v>999.90000000000032</v>
      </c>
      <c r="EC30">
        <v>0</v>
      </c>
      <c r="ED30">
        <v>0</v>
      </c>
      <c r="EE30">
        <v>10003.22580645161</v>
      </c>
      <c r="EF30">
        <v>0</v>
      </c>
      <c r="EG30">
        <v>1155.722903225806</v>
      </c>
      <c r="EH30">
        <v>2.0989832258064509</v>
      </c>
      <c r="EI30">
        <v>435.12535483870971</v>
      </c>
      <c r="EJ30">
        <v>432.30374193548391</v>
      </c>
      <c r="EK30">
        <v>1.444498387096774</v>
      </c>
      <c r="EL30">
        <v>417.8960967741935</v>
      </c>
      <c r="EM30">
        <v>33.327629032258073</v>
      </c>
      <c r="EN30">
        <v>3.3991129032258072</v>
      </c>
      <c r="EO30">
        <v>3.2579074193548379</v>
      </c>
      <c r="EP30">
        <v>26.12407741935484</v>
      </c>
      <c r="EQ30">
        <v>25.4082935483871</v>
      </c>
      <c r="ER30">
        <v>30.02215806451613</v>
      </c>
      <c r="ES30">
        <v>0.89992270967741939</v>
      </c>
      <c r="ET30">
        <v>0.1000772387096774</v>
      </c>
      <c r="EU30">
        <v>0</v>
      </c>
      <c r="EV30">
        <v>675.71435483870982</v>
      </c>
      <c r="EW30">
        <v>5.0010700000000003</v>
      </c>
      <c r="EX30">
        <v>4249.9874193548394</v>
      </c>
      <c r="EY30">
        <v>220.33187096774191</v>
      </c>
      <c r="EZ30">
        <v>37.936999999999983</v>
      </c>
      <c r="FA30">
        <v>41.811999999999983</v>
      </c>
      <c r="FB30">
        <v>40</v>
      </c>
      <c r="FC30">
        <v>41.686999999999983</v>
      </c>
      <c r="FD30">
        <v>40.758000000000003</v>
      </c>
      <c r="FE30">
        <v>22.517096774193551</v>
      </c>
      <c r="FF30">
        <v>2.5</v>
      </c>
      <c r="FG30">
        <v>0</v>
      </c>
      <c r="FH30">
        <v>128</v>
      </c>
      <c r="FI30">
        <v>0</v>
      </c>
      <c r="FJ30">
        <v>675.61688235294116</v>
      </c>
      <c r="FK30">
        <v>-0.9615196370630259</v>
      </c>
      <c r="FL30">
        <v>-175.66176379166649</v>
      </c>
      <c r="FM30">
        <v>4236.2264705882353</v>
      </c>
      <c r="FN30">
        <v>10</v>
      </c>
      <c r="FO30">
        <v>1782921572.0999999</v>
      </c>
      <c r="FP30" t="s">
        <v>776</v>
      </c>
      <c r="FQ30">
        <v>1782921570.5999999</v>
      </c>
      <c r="FR30">
        <v>1782921572.0999999</v>
      </c>
      <c r="FS30">
        <v>15</v>
      </c>
      <c r="FT30">
        <v>4.2999999999999997E-2</v>
      </c>
      <c r="FU30">
        <v>-4.0000000000000001E-3</v>
      </c>
      <c r="FV30">
        <v>-4.5609999999999999</v>
      </c>
      <c r="FW30">
        <v>0.39200000000000002</v>
      </c>
      <c r="FX30">
        <v>417</v>
      </c>
      <c r="FY30">
        <v>33</v>
      </c>
      <c r="FZ30">
        <v>2.02</v>
      </c>
      <c r="GA30">
        <v>0.23</v>
      </c>
      <c r="GB30">
        <v>2.0231402439024389</v>
      </c>
      <c r="GC30">
        <v>0.33144919860627109</v>
      </c>
      <c r="GD30">
        <v>0.2981600207900138</v>
      </c>
      <c r="GE30">
        <v>1</v>
      </c>
      <c r="GF30">
        <v>675.75844117647068</v>
      </c>
      <c r="GG30">
        <v>-1.0145607317976371</v>
      </c>
      <c r="GH30">
        <v>0.2406702883952645</v>
      </c>
      <c r="GI30">
        <v>1</v>
      </c>
      <c r="GJ30">
        <v>1.441838048780488</v>
      </c>
      <c r="GK30">
        <v>-3.2647108013934799E-2</v>
      </c>
      <c r="GL30">
        <v>5.8833656835866867E-2</v>
      </c>
      <c r="GM30">
        <v>1</v>
      </c>
      <c r="GN30">
        <v>3</v>
      </c>
      <c r="GO30">
        <v>3</v>
      </c>
      <c r="GP30" t="s">
        <v>599</v>
      </c>
      <c r="GQ30">
        <v>3.13408</v>
      </c>
      <c r="GR30">
        <v>2.7239100000000001</v>
      </c>
      <c r="GS30">
        <v>9.1243900000000003E-2</v>
      </c>
      <c r="GT30">
        <v>9.0920500000000001E-2</v>
      </c>
      <c r="GU30">
        <v>0.143342</v>
      </c>
      <c r="GV30">
        <v>0.14065</v>
      </c>
      <c r="GW30">
        <v>22766.9</v>
      </c>
      <c r="GX30">
        <v>30663.8</v>
      </c>
      <c r="GY30">
        <v>27177.599999999999</v>
      </c>
      <c r="GZ30">
        <v>34687.4</v>
      </c>
      <c r="HA30">
        <v>34096.800000000003</v>
      </c>
      <c r="HB30">
        <v>38075.199999999997</v>
      </c>
      <c r="HC30">
        <v>40129.800000000003</v>
      </c>
      <c r="HD30">
        <v>44388.800000000003</v>
      </c>
      <c r="HE30">
        <v>1.9610000000000001</v>
      </c>
      <c r="HF30">
        <v>1.7572000000000001</v>
      </c>
      <c r="HG30">
        <v>3.9637100000000001E-2</v>
      </c>
      <c r="HH30">
        <v>0</v>
      </c>
      <c r="HI30">
        <v>32.596800000000002</v>
      </c>
      <c r="HJ30">
        <v>999.9</v>
      </c>
      <c r="HK30">
        <v>61.3</v>
      </c>
      <c r="HL30">
        <v>39.5</v>
      </c>
      <c r="HM30">
        <v>45.2637</v>
      </c>
      <c r="HN30">
        <v>59.5672</v>
      </c>
      <c r="HO30">
        <v>5.5568900000000001</v>
      </c>
      <c r="HP30">
        <v>1</v>
      </c>
      <c r="HQ30">
        <v>0.56467500000000004</v>
      </c>
      <c r="HR30">
        <v>0</v>
      </c>
      <c r="HS30">
        <v>20.2942</v>
      </c>
      <c r="HT30">
        <v>5.2088999999999999</v>
      </c>
      <c r="HU30">
        <v>11.908099999999999</v>
      </c>
      <c r="HV30">
        <v>4.9836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1.8675200000000001</v>
      </c>
      <c r="IC30">
        <v>1.8631</v>
      </c>
      <c r="ID30">
        <v>1.86252</v>
      </c>
      <c r="IE30">
        <v>1.8620300000000001</v>
      </c>
      <c r="IF30">
        <v>1.8620300000000001</v>
      </c>
      <c r="IG30">
        <v>1.8626400000000001</v>
      </c>
      <c r="IH30">
        <v>1.8635600000000001</v>
      </c>
      <c r="II30">
        <v>1.8615699999999999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-4.5609999999999999</v>
      </c>
      <c r="IX30">
        <v>0.43669999999999998</v>
      </c>
      <c r="IY30">
        <v>-4.5605000000000473</v>
      </c>
      <c r="IZ30">
        <v>0</v>
      </c>
      <c r="JA30">
        <v>0</v>
      </c>
      <c r="JB30">
        <v>0</v>
      </c>
      <c r="JC30">
        <v>-0.26023226436762298</v>
      </c>
      <c r="JD30">
        <v>2.7492919904454862E-4</v>
      </c>
      <c r="JE30">
        <v>8.6739513355948885E-4</v>
      </c>
      <c r="JF30">
        <v>-8.2500691715147318E-6</v>
      </c>
      <c r="JG30">
        <v>-1</v>
      </c>
      <c r="JH30">
        <v>-1</v>
      </c>
      <c r="JI30">
        <v>2</v>
      </c>
      <c r="JJ30">
        <v>37</v>
      </c>
      <c r="JK30">
        <v>0.5</v>
      </c>
      <c r="JL30">
        <v>0.5</v>
      </c>
      <c r="JM30">
        <v>1.09131</v>
      </c>
      <c r="JN30">
        <v>2.5463900000000002</v>
      </c>
      <c r="JO30">
        <v>1.50024</v>
      </c>
      <c r="JP30">
        <v>2.2717299999999998</v>
      </c>
      <c r="JQ30">
        <v>1.4477500000000001</v>
      </c>
      <c r="JR30">
        <v>2.3327599999999999</v>
      </c>
      <c r="JS30">
        <v>43.371899999999997</v>
      </c>
      <c r="JT30">
        <v>15.340400000000001</v>
      </c>
      <c r="JU30">
        <v>18</v>
      </c>
      <c r="JV30">
        <v>543.48900000000003</v>
      </c>
      <c r="JW30">
        <v>424.71199999999999</v>
      </c>
      <c r="JX30">
        <v>33.565600000000003</v>
      </c>
      <c r="JY30">
        <v>34.293900000000001</v>
      </c>
      <c r="JZ30">
        <v>30.000299999999999</v>
      </c>
      <c r="KA30">
        <v>34.2256</v>
      </c>
      <c r="KB30">
        <v>34.185600000000001</v>
      </c>
      <c r="KC30">
        <v>21.831099999999999</v>
      </c>
      <c r="KD30">
        <v>38.2239</v>
      </c>
      <c r="KE30">
        <v>0</v>
      </c>
      <c r="KF30">
        <v>-999.9</v>
      </c>
      <c r="KG30">
        <v>418.08199999999999</v>
      </c>
      <c r="KH30">
        <v>33.368400000000001</v>
      </c>
      <c r="KI30">
        <v>100.298</v>
      </c>
      <c r="KJ30">
        <v>99.494600000000005</v>
      </c>
    </row>
    <row r="31" spans="1:296" x14ac:dyDescent="0.3">
      <c r="A31">
        <v>15</v>
      </c>
      <c r="B31">
        <v>1782921765.0999999</v>
      </c>
      <c r="C31">
        <v>2170.599999904633</v>
      </c>
      <c r="D31" t="s">
        <v>777</v>
      </c>
      <c r="E31" t="s">
        <v>778</v>
      </c>
      <c r="F31">
        <v>15</v>
      </c>
      <c r="H31">
        <v>1782921757.349999</v>
      </c>
      <c r="I31">
        <f t="shared" si="0"/>
        <v>1.0820267451324751E-3</v>
      </c>
      <c r="J31">
        <f t="shared" si="1"/>
        <v>1.082026745132475</v>
      </c>
      <c r="K31">
        <f t="shared" si="2"/>
        <v>-5.1695636961488836</v>
      </c>
      <c r="L31">
        <f t="shared" si="3"/>
        <v>420.01283333333328</v>
      </c>
      <c r="M31">
        <f t="shared" si="4"/>
        <v>547.07948390222191</v>
      </c>
      <c r="N31">
        <f t="shared" si="5"/>
        <v>53.506063410396735</v>
      </c>
      <c r="O31">
        <f t="shared" si="6"/>
        <v>41.078552486041147</v>
      </c>
      <c r="P31">
        <f t="shared" si="7"/>
        <v>5.9075067200758329E-2</v>
      </c>
      <c r="Q31">
        <f t="shared" si="8"/>
        <v>2.8870990593337922</v>
      </c>
      <c r="R31">
        <f t="shared" si="9"/>
        <v>5.8411663273958345E-2</v>
      </c>
      <c r="S31">
        <f t="shared" si="10"/>
        <v>3.6566272890772238E-2</v>
      </c>
      <c r="T31">
        <f t="shared" si="11"/>
        <v>1.5966703903835998E-4</v>
      </c>
      <c r="U31">
        <f t="shared" si="12"/>
        <v>33.276467477196256</v>
      </c>
      <c r="V31">
        <f t="shared" si="13"/>
        <v>33.223883333333333</v>
      </c>
      <c r="W31">
        <f t="shared" si="14"/>
        <v>5.1160092792534586</v>
      </c>
      <c r="X31">
        <f t="shared" si="15"/>
        <v>64.890881946314622</v>
      </c>
      <c r="Y31">
        <f t="shared" si="16"/>
        <v>3.3830081937222078</v>
      </c>
      <c r="Z31">
        <f t="shared" si="17"/>
        <v>5.2133798959937554</v>
      </c>
      <c r="AA31">
        <f t="shared" si="18"/>
        <v>1.7330010855312508</v>
      </c>
      <c r="AB31">
        <f t="shared" si="19"/>
        <v>-47.717379460342151</v>
      </c>
      <c r="AC31">
        <f t="shared" si="20"/>
        <v>52.377021891707869</v>
      </c>
      <c r="AD31">
        <f t="shared" si="21"/>
        <v>4.1708377965833705</v>
      </c>
      <c r="AE31">
        <f t="shared" si="22"/>
        <v>8.8306398949881242</v>
      </c>
      <c r="AF31">
        <f t="shared" si="23"/>
        <v>-5.1695636961488836</v>
      </c>
      <c r="AG31">
        <f t="shared" si="24"/>
        <v>1.082026745132475</v>
      </c>
      <c r="AH31">
        <f t="shared" si="25"/>
        <v>-4.9301907299004464</v>
      </c>
      <c r="AI31">
        <v>428.66353503212252</v>
      </c>
      <c r="AJ31">
        <v>434.95832727272722</v>
      </c>
      <c r="AK31">
        <v>-3.4048512639767881E-2</v>
      </c>
      <c r="AL31">
        <v>67.035586610019905</v>
      </c>
      <c r="AM31">
        <f t="shared" si="26"/>
        <v>1.0738816224859709</v>
      </c>
      <c r="AN31">
        <v>33.340026664387523</v>
      </c>
      <c r="AO31">
        <v>34.580260606060598</v>
      </c>
      <c r="AP31">
        <v>6.2987065677565604E-4</v>
      </c>
      <c r="AQ31">
        <v>78.068455285868879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50506.849333316808</v>
      </c>
      <c r="AW31" t="s">
        <v>663</v>
      </c>
      <c r="AX31">
        <v>5099.1499999999996</v>
      </c>
      <c r="AY31">
        <v>561.92941176470595</v>
      </c>
      <c r="AZ31">
        <v>2562.2800000000002</v>
      </c>
      <c r="BA31">
        <f t="shared" si="30"/>
        <v>0.78069164503305422</v>
      </c>
      <c r="BB31">
        <v>-5.1695636961489324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-5.1695636961488836</v>
      </c>
      <c r="BK31" t="e">
        <f t="shared" si="34"/>
        <v>#DIV/0!</v>
      </c>
      <c r="BL31">
        <f t="shared" si="35"/>
        <v>5.8130122170277349E-11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1.2809154630541235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1782921757.349999</v>
      </c>
      <c r="DQ31">
        <v>420.01283333333328</v>
      </c>
      <c r="DR31">
        <v>414.3551333333333</v>
      </c>
      <c r="DS31">
        <v>34.589993333333332</v>
      </c>
      <c r="DT31">
        <v>33.336566666666663</v>
      </c>
      <c r="DU31">
        <v>424.55756666666667</v>
      </c>
      <c r="DV31">
        <v>34.15997333333334</v>
      </c>
      <c r="DW31">
        <v>500.03696666666667</v>
      </c>
      <c r="DX31">
        <v>97.756126666666688</v>
      </c>
      <c r="DY31">
        <v>4.6962253333333343E-2</v>
      </c>
      <c r="DZ31">
        <v>33.560390000000012</v>
      </c>
      <c r="EA31">
        <v>33.223883333333333</v>
      </c>
      <c r="EB31">
        <v>999.9000000000002</v>
      </c>
      <c r="EC31">
        <v>0</v>
      </c>
      <c r="ED31">
        <v>0</v>
      </c>
      <c r="EE31">
        <v>9984</v>
      </c>
      <c r="EF31">
        <v>0</v>
      </c>
      <c r="EG31">
        <v>1159.6676666666669</v>
      </c>
      <c r="EH31">
        <v>5.6577276666666672</v>
      </c>
      <c r="EI31">
        <v>435.06170000000009</v>
      </c>
      <c r="EJ31">
        <v>428.6447</v>
      </c>
      <c r="EK31">
        <v>1.2534149999999999</v>
      </c>
      <c r="EL31">
        <v>414.3551333333333</v>
      </c>
      <c r="EM31">
        <v>33.336566666666663</v>
      </c>
      <c r="EN31">
        <v>3.381383</v>
      </c>
      <c r="EO31">
        <v>3.2588546666666658</v>
      </c>
      <c r="EP31">
        <v>26.035653333333329</v>
      </c>
      <c r="EQ31">
        <v>25.413186666666672</v>
      </c>
      <c r="ER31">
        <v>1.00021E-2</v>
      </c>
      <c r="ES31">
        <v>0</v>
      </c>
      <c r="ET31">
        <v>0</v>
      </c>
      <c r="EU31">
        <v>0</v>
      </c>
      <c r="EV31">
        <v>562.12166666666667</v>
      </c>
      <c r="EW31">
        <v>1.00021E-2</v>
      </c>
      <c r="EX31">
        <v>3953.56</v>
      </c>
      <c r="EY31">
        <v>4.0483333333333338</v>
      </c>
      <c r="EZ31">
        <v>37.633266666666671</v>
      </c>
      <c r="FA31">
        <v>41.557866666666648</v>
      </c>
      <c r="FB31">
        <v>39.75</v>
      </c>
      <c r="FC31">
        <v>41.270666666666664</v>
      </c>
      <c r="FD31">
        <v>40.29546666666667</v>
      </c>
      <c r="FE31">
        <v>0</v>
      </c>
      <c r="FF31">
        <v>0</v>
      </c>
      <c r="FG31">
        <v>0</v>
      </c>
      <c r="FH31">
        <v>161.9000000953674</v>
      </c>
      <c r="FI31">
        <v>0</v>
      </c>
      <c r="FJ31">
        <v>561.92941176470595</v>
      </c>
      <c r="FK31">
        <v>12.058823386243949</v>
      </c>
      <c r="FL31">
        <v>2703.5661674956682</v>
      </c>
      <c r="FM31">
        <v>4078.714705882353</v>
      </c>
      <c r="FN31">
        <v>10</v>
      </c>
      <c r="FO31">
        <v>1782921719.0999999</v>
      </c>
      <c r="FP31" t="s">
        <v>779</v>
      </c>
      <c r="FQ31">
        <v>1782921719.0999999</v>
      </c>
      <c r="FR31">
        <v>1782921715.0999999</v>
      </c>
      <c r="FS31">
        <v>16</v>
      </c>
      <c r="FT31">
        <v>1.6E-2</v>
      </c>
      <c r="FU31">
        <v>-2E-3</v>
      </c>
      <c r="FV31">
        <v>-4.5449999999999999</v>
      </c>
      <c r="FW31">
        <v>0.39700000000000002</v>
      </c>
      <c r="FX31">
        <v>414</v>
      </c>
      <c r="FY31">
        <v>33</v>
      </c>
      <c r="FZ31">
        <v>1.44</v>
      </c>
      <c r="GA31">
        <v>0.33</v>
      </c>
      <c r="GB31">
        <v>5.6401732500000001</v>
      </c>
      <c r="GC31">
        <v>0.36045039399624351</v>
      </c>
      <c r="GD31">
        <v>0.1119364081607834</v>
      </c>
      <c r="GE31">
        <v>1</v>
      </c>
      <c r="GF31">
        <v>561.52499999999998</v>
      </c>
      <c r="GG31">
        <v>7.1252864454882836</v>
      </c>
      <c r="GH31">
        <v>3.2808770796487798</v>
      </c>
      <c r="GI31">
        <v>1</v>
      </c>
      <c r="GJ31">
        <v>1.2820687500000001</v>
      </c>
      <c r="GK31">
        <v>-0.44432296435272051</v>
      </c>
      <c r="GL31">
        <v>4.8322909276423957E-2</v>
      </c>
      <c r="GM31">
        <v>1</v>
      </c>
      <c r="GN31">
        <v>3</v>
      </c>
      <c r="GO31">
        <v>3</v>
      </c>
      <c r="GP31" t="s">
        <v>599</v>
      </c>
      <c r="GQ31">
        <v>3.1342400000000001</v>
      </c>
      <c r="GR31">
        <v>2.7198799999999999</v>
      </c>
      <c r="GS31">
        <v>9.1263700000000003E-2</v>
      </c>
      <c r="GT31">
        <v>9.0291899999999994E-2</v>
      </c>
      <c r="GU31">
        <v>0.142926</v>
      </c>
      <c r="GV31">
        <v>0.140649</v>
      </c>
      <c r="GW31">
        <v>22766.3</v>
      </c>
      <c r="GX31">
        <v>30684.6</v>
      </c>
      <c r="GY31">
        <v>27177.5</v>
      </c>
      <c r="GZ31">
        <v>34687</v>
      </c>
      <c r="HA31">
        <v>34112.5</v>
      </c>
      <c r="HB31">
        <v>38075</v>
      </c>
      <c r="HC31">
        <v>40128.699999999997</v>
      </c>
      <c r="HD31">
        <v>44388.4</v>
      </c>
      <c r="HE31">
        <v>1.9614</v>
      </c>
      <c r="HF31">
        <v>1.7554000000000001</v>
      </c>
      <c r="HG31">
        <v>3.60906E-2</v>
      </c>
      <c r="HH31">
        <v>0</v>
      </c>
      <c r="HI31">
        <v>32.640300000000003</v>
      </c>
      <c r="HJ31">
        <v>999.9</v>
      </c>
      <c r="HK31">
        <v>61</v>
      </c>
      <c r="HL31">
        <v>39.700000000000003</v>
      </c>
      <c r="HM31">
        <v>45.525599999999997</v>
      </c>
      <c r="HN31">
        <v>59.827300000000001</v>
      </c>
      <c r="HO31">
        <v>5.3004800000000003</v>
      </c>
      <c r="HP31">
        <v>1</v>
      </c>
      <c r="HQ31">
        <v>0.56621999999999995</v>
      </c>
      <c r="HR31">
        <v>0</v>
      </c>
      <c r="HS31">
        <v>20.295400000000001</v>
      </c>
      <c r="HT31">
        <v>5.2100999999999997</v>
      </c>
      <c r="HU31">
        <v>11.908099999999999</v>
      </c>
      <c r="HV31">
        <v>4.9847999999999999</v>
      </c>
      <c r="HW31">
        <v>3.2707999999999999</v>
      </c>
      <c r="HX31">
        <v>9999</v>
      </c>
      <c r="HY31">
        <v>9999</v>
      </c>
      <c r="HZ31">
        <v>9999</v>
      </c>
      <c r="IA31">
        <v>999.9</v>
      </c>
      <c r="IB31">
        <v>1.8674599999999999</v>
      </c>
      <c r="IC31">
        <v>1.8631</v>
      </c>
      <c r="ID31">
        <v>1.86249</v>
      </c>
      <c r="IE31">
        <v>1.86206</v>
      </c>
      <c r="IF31">
        <v>1.86212</v>
      </c>
      <c r="IG31">
        <v>1.86267</v>
      </c>
      <c r="IH31">
        <v>1.8635600000000001</v>
      </c>
      <c r="II31">
        <v>1.8615699999999999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-4.5449999999999999</v>
      </c>
      <c r="IX31">
        <v>0.42980000000000002</v>
      </c>
      <c r="IY31">
        <v>-4.5447500000000218</v>
      </c>
      <c r="IZ31">
        <v>0</v>
      </c>
      <c r="JA31">
        <v>0</v>
      </c>
      <c r="JB31">
        <v>0</v>
      </c>
      <c r="JC31">
        <v>-0.26268455757044801</v>
      </c>
      <c r="JD31">
        <v>2.7492919904454862E-4</v>
      </c>
      <c r="JE31">
        <v>8.6739513355948885E-4</v>
      </c>
      <c r="JF31">
        <v>-8.2500691715147318E-6</v>
      </c>
      <c r="JG31">
        <v>-1</v>
      </c>
      <c r="JH31">
        <v>-1</v>
      </c>
      <c r="JI31">
        <v>2</v>
      </c>
      <c r="JJ31">
        <v>37</v>
      </c>
      <c r="JK31">
        <v>0.8</v>
      </c>
      <c r="JL31">
        <v>0.8</v>
      </c>
      <c r="JM31">
        <v>1.0839799999999999</v>
      </c>
      <c r="JN31">
        <v>2.5366200000000001</v>
      </c>
      <c r="JO31">
        <v>1.50024</v>
      </c>
      <c r="JP31">
        <v>2.2717299999999998</v>
      </c>
      <c r="JQ31">
        <v>1.4477500000000001</v>
      </c>
      <c r="JR31">
        <v>2.4072300000000002</v>
      </c>
      <c r="JS31">
        <v>43.344799999999999</v>
      </c>
      <c r="JT31">
        <v>15.3316</v>
      </c>
      <c r="JU31">
        <v>18</v>
      </c>
      <c r="JV31">
        <v>543.96</v>
      </c>
      <c r="JW31">
        <v>423.76799999999997</v>
      </c>
      <c r="JX31">
        <v>33.550600000000003</v>
      </c>
      <c r="JY31">
        <v>34.3125</v>
      </c>
      <c r="JZ31">
        <v>30.0002</v>
      </c>
      <c r="KA31">
        <v>34.2502</v>
      </c>
      <c r="KB31">
        <v>34.210099999999997</v>
      </c>
      <c r="KC31">
        <v>21.680800000000001</v>
      </c>
      <c r="KD31">
        <v>38.0976</v>
      </c>
      <c r="KE31">
        <v>0</v>
      </c>
      <c r="KF31">
        <v>-999.9</v>
      </c>
      <c r="KG31">
        <v>414.27300000000002</v>
      </c>
      <c r="KH31">
        <v>33.414200000000001</v>
      </c>
      <c r="KI31">
        <v>100.297</v>
      </c>
      <c r="KJ31">
        <v>99.493799999999993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8EE7-E9EE-41F4-8C2C-C57EAA812160}">
  <dimension ref="A2:KJ31"/>
  <sheetViews>
    <sheetView tabSelected="1" workbookViewId="0">
      <selection activeCell="S8" sqref="S8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780</v>
      </c>
      <c r="G13" t="s">
        <v>781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1736193821</v>
      </c>
      <c r="C17">
        <v>0</v>
      </c>
      <c r="D17" t="s">
        <v>782</v>
      </c>
      <c r="E17" t="s">
        <v>783</v>
      </c>
      <c r="F17">
        <v>15</v>
      </c>
      <c r="H17">
        <v>1736193813</v>
      </c>
      <c r="I17">
        <f t="shared" ref="I17:I31" si="0">(J17)/1000</f>
        <v>5.6326205191317338E-3</v>
      </c>
      <c r="J17">
        <f t="shared" ref="J17:J31" si="1">IF(DO17, AM17, AG17)</f>
        <v>5.6326205191317333</v>
      </c>
      <c r="K17">
        <f t="shared" ref="K17:K31" si="2">IF(DO17, AH17, AF17)</f>
        <v>52.868667772386409</v>
      </c>
      <c r="L17">
        <f t="shared" ref="L17:L31" si="3">DQ17 - IF(AT17&gt;1, K17*DK17*100/(AV17), 0)</f>
        <v>418.762870967742</v>
      </c>
      <c r="M17">
        <f t="shared" ref="M17:M31" si="4">((S17-I17/2)*L17-K17)/(S17+I17/2)</f>
        <v>124.15978482111875</v>
      </c>
      <c r="N17">
        <f t="shared" ref="N17:N31" si="5">M17*(DX17+DY17)/1000</f>
        <v>12.113849542433726</v>
      </c>
      <c r="O17">
        <f t="shared" ref="O17:O31" si="6">(DQ17 - IF(AT17&gt;1, K17*DK17*100/(AV17), 0))*(DX17+DY17)/1000</f>
        <v>40.85727452064625</v>
      </c>
      <c r="P17">
        <f t="shared" ref="P17:P31" si="7">2/((1/R17-1/Q17)+SIGN(R17)*SQRT((1/R17-1/Q17)*(1/R17-1/Q17) + 4*DL17/((DL17+1)*(DL17+1))*(2*1/R17*1/Q17-1/Q17*1/Q17)))</f>
        <v>0.31050244091811713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2.8849004909767197</v>
      </c>
      <c r="R17">
        <f t="shared" ref="R17:R31" si="9">I17*(1000-(1000*0.61365*EXP(17.502*V17/(240.97+V17))/(DX17+DY17)+DS17)/2)/(1000*0.61365*EXP(17.502*V17/(240.97+V17))/(DX17+DY17)-DS17)</f>
        <v>0.29305909833117605</v>
      </c>
      <c r="S17">
        <f t="shared" ref="S17:S31" si="10">1/((DL17+1)/(P17/1.6)+1/(Q17/1.37)) + DL17/((DL17+1)/(P17/1.6) + DL17/(Q17/1.37))</f>
        <v>0.18464744252869675</v>
      </c>
      <c r="T17">
        <f t="shared" ref="T17:T31" si="11">(DG17*DJ17)</f>
        <v>319.76952743340274</v>
      </c>
      <c r="U17">
        <f t="shared" ref="U17:U31" si="12">(DZ17+(T17+2*0.95*0.0000000567*(((DZ17+$B$7)+273)^4-(DZ17+273)^4)-44100*I17)/(1.84*29.3*Q17+8*0.95*0.0000000567*(DZ17+273)^3))</f>
        <v>34.963882208437113</v>
      </c>
      <c r="V17">
        <f t="shared" ref="V17:V31" si="13">($C$7*EA17+$D$7*EB17+$E$7*U17)</f>
        <v>34.157438709677407</v>
      </c>
      <c r="W17">
        <f t="shared" ref="W17:W31" si="14">0.61365*EXP(17.502*V17/(240.97+V17))</f>
        <v>5.3901117243713923</v>
      </c>
      <c r="X17">
        <f t="shared" ref="X17:X31" si="15">(Y17/Z17*100)</f>
        <v>65.408466252899672</v>
      </c>
      <c r="Y17">
        <f t="shared" ref="Y17:Y31" si="16">DS17*(DX17+DY17)/1000</f>
        <v>3.601280898062436</v>
      </c>
      <c r="Z17">
        <f t="shared" ref="Z17:Z31" si="17">0.61365*EXP(17.502*DZ17/(240.97+DZ17))</f>
        <v>5.5058329668489749</v>
      </c>
      <c r="AA17">
        <f t="shared" ref="AA17:AA31" si="18">(W17-DS17*(DX17+DY17)/1000)</f>
        <v>1.7888308263089563</v>
      </c>
      <c r="AB17">
        <f t="shared" ref="AB17:AB31" si="19">(-I17*44100)</f>
        <v>-248.39856489370945</v>
      </c>
      <c r="AC17">
        <f t="shared" ref="AC17:AC31" si="20">2*29.3*Q17*0.92*(DZ17-V17)</f>
        <v>59.378632089227985</v>
      </c>
      <c r="AD17">
        <f t="shared" ref="AD17:AD31" si="21">2*0.95*0.0000000567*(((DZ17+$B$7)+273)^4-(V17+273)^4)</f>
        <v>4.7764286558737625</v>
      </c>
      <c r="AE17">
        <f t="shared" ref="AE17:AE31" si="22">T17+AD17+AB17+AC17</f>
        <v>135.52602328479503</v>
      </c>
      <c r="AF17">
        <f t="shared" ref="AF17:AF31" si="23">DW17*AT17*(DR17-DQ17*(1000-AT17*DT17)/(1000-AT17*DS17))/(100*DK17)</f>
        <v>52.868667772386409</v>
      </c>
      <c r="AG17">
        <f t="shared" ref="AG17:AG31" si="24">1000*DW17*AT17*(DS17-DT17)/(100*DK17*(1000-AT17*DS17))</f>
        <v>5.6326205191317333</v>
      </c>
      <c r="AH17">
        <f t="shared" ref="AH17:AH31" si="25">(AI17 - AJ17 - DX17*1000/(8.314*(DZ17+273.15)) * AL17/DW17 * AK17) * DW17/(100*DK17) * (1000 - DT17)/1000</f>
        <v>53.478720734527585</v>
      </c>
      <c r="AI17">
        <v>500.73070916782558</v>
      </c>
      <c r="AJ17">
        <v>434.83729090909083</v>
      </c>
      <c r="AK17">
        <v>-5.7598388379697663E-2</v>
      </c>
      <c r="AL17">
        <v>67.035667549876479</v>
      </c>
      <c r="AM17">
        <f t="shared" ref="AM17:AM31" si="26">(AO17 - AN17 + DX17*1000/(8.314*(DZ17+273.15)) * AQ17/DW17 * AP17) * DW17/(100*DK17) * 1000/(1000 - AO17)</f>
        <v>5.9302934589513097</v>
      </c>
      <c r="AN17">
        <v>30.259972597001759</v>
      </c>
      <c r="AO17">
        <v>37.148944242424207</v>
      </c>
      <c r="AP17">
        <v>-6.1930100012990317E-3</v>
      </c>
      <c r="AQ17">
        <v>78.069229265771042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50280.09858281866</v>
      </c>
      <c r="AW17" t="s">
        <v>784</v>
      </c>
      <c r="AX17">
        <v>5111.59</v>
      </c>
      <c r="AY17">
        <v>546.33823529411768</v>
      </c>
      <c r="AZ17">
        <v>2461.83</v>
      </c>
      <c r="BA17">
        <f t="shared" ref="BA17:BA31" si="30">1-AY17/AZ17</f>
        <v>0.77807637599098323</v>
      </c>
      <c r="BB17">
        <v>-4.5166359946861352</v>
      </c>
      <c r="BC17" t="s">
        <v>785</v>
      </c>
      <c r="BD17">
        <v>5109.6099999999997</v>
      </c>
      <c r="BE17">
        <v>741.73464705882361</v>
      </c>
      <c r="BF17">
        <v>906.24</v>
      </c>
      <c r="BG17">
        <f t="shared" ref="BG17:BG31" si="31">1-BE17/BF17</f>
        <v>0.18152515110917244</v>
      </c>
      <c r="BH17">
        <v>0.5</v>
      </c>
      <c r="BI17">
        <f t="shared" ref="BI17:BI31" si="32">DH17</f>
        <v>1680.261135324009</v>
      </c>
      <c r="BJ17">
        <f t="shared" ref="BJ17:BJ31" si="33">K17</f>
        <v>52.868667772386409</v>
      </c>
      <c r="BK17">
        <f t="shared" ref="BK17:BK31" si="34">BG17*BH17*BI17</f>
        <v>152.5048282462802</v>
      </c>
      <c r="BL17">
        <f t="shared" ref="BL17:BL31" si="35">(BJ17-BB17)/BI17</f>
        <v>3.4152610306020549E-2</v>
      </c>
      <c r="BM17">
        <f t="shared" ref="BM17:BM31" si="36">(AZ17-BF17)/BF17</f>
        <v>1.7165320444915253</v>
      </c>
      <c r="BN17">
        <f t="shared" ref="BN17:BN31" si="37">AY17/(BA17+AY17/BF17)</f>
        <v>395.62806940081668</v>
      </c>
      <c r="BO17" t="s">
        <v>407</v>
      </c>
      <c r="BP17">
        <v>0</v>
      </c>
      <c r="BQ17">
        <f t="shared" ref="BQ17:BQ31" si="38">IF(BP17&lt;&gt;0, BP17, BN17)</f>
        <v>395.62806940081668</v>
      </c>
      <c r="BR17">
        <f t="shared" ref="BR17:BR31" si="39">1-BQ17/BF17</f>
        <v>0.56344007172402821</v>
      </c>
      <c r="BS17">
        <f t="shared" ref="BS17:BS31" si="40">(BF17-BE17)/(BF17-BQ17)</f>
        <v>0.32217295186999595</v>
      </c>
      <c r="BT17">
        <f t="shared" ref="BT17:BT31" si="41">(AZ17-BF17)/(AZ17-BQ17)</f>
        <v>0.75287413924199087</v>
      </c>
      <c r="BU17">
        <f t="shared" ref="BU17:BU31" si="42">(BF17-BE17)/(BF17-AY17)</f>
        <v>0.45708404090658711</v>
      </c>
      <c r="BV17">
        <f t="shared" ref="BV17:BV31" si="43">(AZ17-BF17)/(AZ17-AY17)</f>
        <v>0.81210999110656878</v>
      </c>
      <c r="BW17">
        <f t="shared" ref="BW17:BW31" si="44">(BS17*BQ17/BE17)</f>
        <v>0.17184132285973747</v>
      </c>
      <c r="BX17">
        <f t="shared" ref="BX17:BX31" si="45">(1-BW17)</f>
        <v>0.82815867714026248</v>
      </c>
      <c r="DG17">
        <f t="shared" ref="DG17:DG31" si="46">$B$11*EF17+$C$11*EG17+$F$11*ER17*(1-EU17)</f>
        <v>1999.9551612903219</v>
      </c>
      <c r="DH17">
        <f t="shared" ref="DH17:DH31" si="47">DG17*DI17</f>
        <v>1680.261135324009</v>
      </c>
      <c r="DI17">
        <f t="shared" ref="DI17:DI31" si="48">($B$11*$D$9+$C$11*$D$9+$F$11*((FE17+EW17)/MAX(FE17+EW17+FF17, 0.1)*$I$9+FF17/MAX(FE17+EW17+FF17, 0.1)*$J$9))/($B$11+$C$11+$F$11)</f>
        <v>0.8401494032695942</v>
      </c>
      <c r="DJ17">
        <f t="shared" ref="DJ17:DJ31" si="49">($B$11*$K$9+$C$11*$K$9+$F$11*((FE17+EW17)/MAX(FE17+EW17+FF17, 0.1)*$P$9+FF17/MAX(FE17+EW17+FF17, 0.1)*$Q$9))/($B$11+$C$11+$F$11)</f>
        <v>0.15988834831031676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1736193813</v>
      </c>
      <c r="DQ17">
        <v>418.762870967742</v>
      </c>
      <c r="DR17">
        <v>485.03693548387088</v>
      </c>
      <c r="DS17">
        <v>36.910996774193549</v>
      </c>
      <c r="DT17">
        <v>30.401222580645161</v>
      </c>
      <c r="DU17">
        <v>423.3895483870968</v>
      </c>
      <c r="DV17">
        <v>36.62699677419355</v>
      </c>
      <c r="DW17">
        <v>499.99106451612897</v>
      </c>
      <c r="DX17">
        <v>97.517348387096774</v>
      </c>
      <c r="DY17">
        <v>4.926353870967741E-2</v>
      </c>
      <c r="DZ17">
        <v>34.539219354838707</v>
      </c>
      <c r="EA17">
        <v>34.157438709677407</v>
      </c>
      <c r="EB17">
        <v>999.90000000000032</v>
      </c>
      <c r="EC17">
        <v>0</v>
      </c>
      <c r="ED17">
        <v>0</v>
      </c>
      <c r="EE17">
        <v>9995.8064516129034</v>
      </c>
      <c r="EF17">
        <v>0</v>
      </c>
      <c r="EG17">
        <v>657.31935483870984</v>
      </c>
      <c r="EH17">
        <v>-66.274022580645166</v>
      </c>
      <c r="EI17">
        <v>434.91122580645168</v>
      </c>
      <c r="EJ17">
        <v>500.24496774193551</v>
      </c>
      <c r="EK17">
        <v>6.7288812903225814</v>
      </c>
      <c r="EL17">
        <v>485.03693548387088</v>
      </c>
      <c r="EM17">
        <v>30.401222580645161</v>
      </c>
      <c r="EN17">
        <v>3.6208296774193549</v>
      </c>
      <c r="EO17">
        <v>2.9646480645161288</v>
      </c>
      <c r="EP17">
        <v>27.197225806451609</v>
      </c>
      <c r="EQ17">
        <v>23.830606451612901</v>
      </c>
      <c r="ER17">
        <v>1999.9551612903219</v>
      </c>
      <c r="ES17">
        <v>0.99500622580645171</v>
      </c>
      <c r="ET17">
        <v>4.9934900000000006E-3</v>
      </c>
      <c r="EU17">
        <v>0</v>
      </c>
      <c r="EV17">
        <v>741.38141935483873</v>
      </c>
      <c r="EW17">
        <v>5.0010700000000003</v>
      </c>
      <c r="EX17">
        <v>19159.354838709682</v>
      </c>
      <c r="EY17">
        <v>18241.26774193548</v>
      </c>
      <c r="EZ17">
        <v>41.165064516129021</v>
      </c>
      <c r="FA17">
        <v>42.463451612903228</v>
      </c>
      <c r="FB17">
        <v>41.580451612903232</v>
      </c>
      <c r="FC17">
        <v>42.298129032258053</v>
      </c>
      <c r="FD17">
        <v>42.919129032258063</v>
      </c>
      <c r="FE17">
        <v>1984.9951612903219</v>
      </c>
      <c r="FF17">
        <v>9.9599999999999973</v>
      </c>
      <c r="FG17">
        <v>0</v>
      </c>
      <c r="FH17">
        <v>1201.6000001430509</v>
      </c>
      <c r="FI17">
        <v>0</v>
      </c>
      <c r="FJ17">
        <v>741.73464705882361</v>
      </c>
      <c r="FK17">
        <v>5.1210784375612306</v>
      </c>
      <c r="FL17">
        <v>3658.0392092110351</v>
      </c>
      <c r="FM17">
        <v>19229.482352941181</v>
      </c>
      <c r="FN17">
        <v>10</v>
      </c>
      <c r="FO17">
        <v>1736193845</v>
      </c>
      <c r="FP17" t="s">
        <v>786</v>
      </c>
      <c r="FQ17">
        <v>1736192563.5999999</v>
      </c>
      <c r="FR17">
        <v>1736193845</v>
      </c>
      <c r="FS17">
        <v>35</v>
      </c>
      <c r="FT17">
        <v>-0.01</v>
      </c>
      <c r="FU17">
        <v>-1.7000000000000001E-2</v>
      </c>
      <c r="FV17">
        <v>-4.6269999999999998</v>
      </c>
      <c r="FW17">
        <v>0.28399999999999997</v>
      </c>
      <c r="FX17">
        <v>417</v>
      </c>
      <c r="FY17">
        <v>30</v>
      </c>
      <c r="FZ17">
        <v>1.29</v>
      </c>
      <c r="GA17">
        <v>0.05</v>
      </c>
      <c r="GB17">
        <v>-65.946119512195125</v>
      </c>
      <c r="GC17">
        <v>-5.3396508710801509</v>
      </c>
      <c r="GD17">
        <v>0.53840193265133274</v>
      </c>
      <c r="GE17">
        <v>0</v>
      </c>
      <c r="GF17">
        <v>741.05344117647064</v>
      </c>
      <c r="GG17">
        <v>5.931596646241192</v>
      </c>
      <c r="GH17">
        <v>0.61751995400846882</v>
      </c>
      <c r="GI17">
        <v>1</v>
      </c>
      <c r="GJ17">
        <v>6.6753873170731701</v>
      </c>
      <c r="GK17">
        <v>1.076875191637644</v>
      </c>
      <c r="GL17">
        <v>0.1145533850629795</v>
      </c>
      <c r="GM17">
        <v>0</v>
      </c>
      <c r="GN17">
        <v>1</v>
      </c>
      <c r="GO17">
        <v>3</v>
      </c>
      <c r="GP17" t="s">
        <v>597</v>
      </c>
      <c r="GQ17">
        <v>3.13401</v>
      </c>
      <c r="GR17">
        <v>2.7243400000000002</v>
      </c>
      <c r="GS17">
        <v>9.0819999999999998E-2</v>
      </c>
      <c r="GT17">
        <v>0.10137500000000001</v>
      </c>
      <c r="GU17">
        <v>0.14946499999999999</v>
      </c>
      <c r="GV17">
        <v>0.13139600000000001</v>
      </c>
      <c r="GW17">
        <v>22771.3</v>
      </c>
      <c r="GX17">
        <v>30297</v>
      </c>
      <c r="GY17">
        <v>27171.599999999999</v>
      </c>
      <c r="GZ17">
        <v>34673.9</v>
      </c>
      <c r="HA17">
        <v>33850.1</v>
      </c>
      <c r="HB17">
        <v>38469.1</v>
      </c>
      <c r="HC17">
        <v>40123.5</v>
      </c>
      <c r="HD17">
        <v>44367.6</v>
      </c>
      <c r="HE17">
        <v>1.9634</v>
      </c>
      <c r="HF17">
        <v>1.7470000000000001</v>
      </c>
      <c r="HG17">
        <v>5.6445599999999999E-2</v>
      </c>
      <c r="HH17">
        <v>0</v>
      </c>
      <c r="HI17">
        <v>33.275399999999998</v>
      </c>
      <c r="HJ17">
        <v>999.9</v>
      </c>
      <c r="HK17">
        <v>57.9</v>
      </c>
      <c r="HL17">
        <v>38.700000000000003</v>
      </c>
      <c r="HM17">
        <v>41.050899999999999</v>
      </c>
      <c r="HN17">
        <v>59.661099999999998</v>
      </c>
      <c r="HO17">
        <v>7.6602600000000001</v>
      </c>
      <c r="HP17">
        <v>1</v>
      </c>
      <c r="HQ17">
        <v>0.59916700000000001</v>
      </c>
      <c r="HR17">
        <v>0</v>
      </c>
      <c r="HS17">
        <v>20.277799999999999</v>
      </c>
      <c r="HT17">
        <v>5.2088999999999999</v>
      </c>
      <c r="HU17">
        <v>11.908099999999999</v>
      </c>
      <c r="HV17">
        <v>4.9836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1.8673999999999999</v>
      </c>
      <c r="IC17">
        <v>1.86304</v>
      </c>
      <c r="ID17">
        <v>1.86249</v>
      </c>
      <c r="IE17">
        <v>1.8620300000000001</v>
      </c>
      <c r="IF17">
        <v>1.8620300000000001</v>
      </c>
      <c r="IG17">
        <v>1.8626400000000001</v>
      </c>
      <c r="IH17">
        <v>1.8635600000000001</v>
      </c>
      <c r="II17">
        <v>1.8615699999999999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-4.6269999999999998</v>
      </c>
      <c r="IX17">
        <v>0.28399999999999997</v>
      </c>
      <c r="IY17">
        <v>-4.626666666666722</v>
      </c>
      <c r="IZ17">
        <v>0</v>
      </c>
      <c r="JA17">
        <v>0</v>
      </c>
      <c r="JB17">
        <v>0</v>
      </c>
      <c r="JC17">
        <v>-0.26522177005211017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21</v>
      </c>
      <c r="JL17">
        <v>20.7</v>
      </c>
      <c r="JM17">
        <v>1.22681</v>
      </c>
      <c r="JN17">
        <v>2.5366200000000001</v>
      </c>
      <c r="JO17">
        <v>1.50024</v>
      </c>
      <c r="JP17">
        <v>2.2741699999999998</v>
      </c>
      <c r="JQ17">
        <v>1.4477500000000001</v>
      </c>
      <c r="JR17">
        <v>2.3999000000000001</v>
      </c>
      <c r="JS17">
        <v>42.3506</v>
      </c>
      <c r="JT17">
        <v>14.8675</v>
      </c>
      <c r="JU17">
        <v>18</v>
      </c>
      <c r="JV17">
        <v>547.62800000000004</v>
      </c>
      <c r="JW17">
        <v>420.46499999999997</v>
      </c>
      <c r="JX17">
        <v>33.728000000000002</v>
      </c>
      <c r="JY17">
        <v>34.625300000000003</v>
      </c>
      <c r="JZ17">
        <v>30.000699999999998</v>
      </c>
      <c r="KA17">
        <v>34.532699999999998</v>
      </c>
      <c r="KB17">
        <v>34.491199999999999</v>
      </c>
      <c r="KC17">
        <v>24.5383</v>
      </c>
      <c r="KD17">
        <v>36.422400000000003</v>
      </c>
      <c r="KE17">
        <v>44.656999999999996</v>
      </c>
      <c r="KF17">
        <v>-999.9</v>
      </c>
      <c r="KG17">
        <v>486.04199999999997</v>
      </c>
      <c r="KH17">
        <v>30.445699999999999</v>
      </c>
      <c r="KI17">
        <v>100.28</v>
      </c>
      <c r="KJ17">
        <v>99.451099999999997</v>
      </c>
    </row>
    <row r="18" spans="1:296" x14ac:dyDescent="0.3">
      <c r="A18">
        <v>2</v>
      </c>
      <c r="B18">
        <v>1736193984</v>
      </c>
      <c r="C18">
        <v>163</v>
      </c>
      <c r="D18" t="s">
        <v>787</v>
      </c>
      <c r="E18" t="s">
        <v>788</v>
      </c>
      <c r="F18">
        <v>15</v>
      </c>
      <c r="H18">
        <v>1736193976</v>
      </c>
      <c r="I18">
        <f t="shared" si="0"/>
        <v>6.4603675982206499E-3</v>
      </c>
      <c r="J18">
        <f t="shared" si="1"/>
        <v>6.4603675982206497</v>
      </c>
      <c r="K18">
        <f t="shared" si="2"/>
        <v>56.968174706437786</v>
      </c>
      <c r="L18">
        <f t="shared" si="3"/>
        <v>419.69964516129028</v>
      </c>
      <c r="M18">
        <f t="shared" si="4"/>
        <v>138.02169354184122</v>
      </c>
      <c r="N18">
        <f t="shared" si="5"/>
        <v>13.467209221571805</v>
      </c>
      <c r="O18">
        <f t="shared" si="6"/>
        <v>40.951409786122397</v>
      </c>
      <c r="P18">
        <f t="shared" si="7"/>
        <v>0.35317867563893562</v>
      </c>
      <c r="Q18">
        <f t="shared" si="8"/>
        <v>2.8851920096946908</v>
      </c>
      <c r="R18">
        <f t="shared" si="9"/>
        <v>0.33079846956257247</v>
      </c>
      <c r="S18">
        <f t="shared" si="10"/>
        <v>0.20864152412799952</v>
      </c>
      <c r="T18">
        <f t="shared" si="11"/>
        <v>271.90910004873075</v>
      </c>
      <c r="U18">
        <f t="shared" si="12"/>
        <v>34.982581348325873</v>
      </c>
      <c r="V18">
        <f t="shared" si="13"/>
        <v>34.559025806451608</v>
      </c>
      <c r="W18">
        <f t="shared" si="14"/>
        <v>5.5118949656477332</v>
      </c>
      <c r="X18">
        <f t="shared" si="15"/>
        <v>65.222627227860883</v>
      </c>
      <c r="Y18">
        <f t="shared" si="16"/>
        <v>3.6962446947851855</v>
      </c>
      <c r="Z18">
        <f t="shared" si="17"/>
        <v>5.6671202186812177</v>
      </c>
      <c r="AA18">
        <f t="shared" si="18"/>
        <v>1.8156502708625477</v>
      </c>
      <c r="AB18">
        <f t="shared" si="19"/>
        <v>-284.90221108153065</v>
      </c>
      <c r="AC18">
        <f t="shared" si="20"/>
        <v>77.90218885593832</v>
      </c>
      <c r="AD18">
        <f t="shared" si="21"/>
        <v>6.2940797386238856</v>
      </c>
      <c r="AE18">
        <f t="shared" si="22"/>
        <v>71.203157561762325</v>
      </c>
      <c r="AF18">
        <f t="shared" si="23"/>
        <v>56.968174706437786</v>
      </c>
      <c r="AG18">
        <f t="shared" si="24"/>
        <v>6.4603675982206497</v>
      </c>
      <c r="AH18">
        <f t="shared" si="25"/>
        <v>56.861288228617411</v>
      </c>
      <c r="AI18">
        <v>506.76829744751581</v>
      </c>
      <c r="AJ18">
        <v>436.38896363636348</v>
      </c>
      <c r="AK18">
        <v>1.587291920768666E-3</v>
      </c>
      <c r="AL18">
        <v>67.095442423693569</v>
      </c>
      <c r="AM18">
        <f t="shared" si="26"/>
        <v>6.7532788144963343</v>
      </c>
      <c r="AN18">
        <v>30.415283150150501</v>
      </c>
      <c r="AO18">
        <v>38.169876969696958</v>
      </c>
      <c r="AP18">
        <v>6.6556925641864263E-3</v>
      </c>
      <c r="AQ18">
        <v>78.255155521684543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50203.337935257652</v>
      </c>
      <c r="AW18" t="s">
        <v>784</v>
      </c>
      <c r="AX18">
        <v>5111.59</v>
      </c>
      <c r="AY18">
        <v>546.33823529411768</v>
      </c>
      <c r="AZ18">
        <v>2461.83</v>
      </c>
      <c r="BA18">
        <f t="shared" si="30"/>
        <v>0.77807637599098323</v>
      </c>
      <c r="BB18">
        <v>-4.5166359946861352</v>
      </c>
      <c r="BC18" t="s">
        <v>789</v>
      </c>
      <c r="BD18">
        <v>5107.82</v>
      </c>
      <c r="BE18">
        <v>755.90111764705887</v>
      </c>
      <c r="BF18">
        <v>1007.68</v>
      </c>
      <c r="BG18">
        <f t="shared" si="31"/>
        <v>0.24985995787644999</v>
      </c>
      <c r="BH18">
        <v>0.5</v>
      </c>
      <c r="BI18">
        <f t="shared" si="32"/>
        <v>1428.3064546466767</v>
      </c>
      <c r="BJ18">
        <f t="shared" si="33"/>
        <v>56.968174706437786</v>
      </c>
      <c r="BK18">
        <f t="shared" si="34"/>
        <v>178.43829529634013</v>
      </c>
      <c r="BL18">
        <f t="shared" si="35"/>
        <v>4.3047351988851408E-2</v>
      </c>
      <c r="BM18">
        <f t="shared" si="36"/>
        <v>1.4430672435693872</v>
      </c>
      <c r="BN18">
        <f t="shared" si="37"/>
        <v>413.81400530250016</v>
      </c>
      <c r="BO18" t="s">
        <v>407</v>
      </c>
      <c r="BP18">
        <v>0</v>
      </c>
      <c r="BQ18">
        <f t="shared" si="38"/>
        <v>413.81400530250016</v>
      </c>
      <c r="BR18">
        <f t="shared" si="39"/>
        <v>0.58933986453784915</v>
      </c>
      <c r="BS18">
        <f t="shared" si="40"/>
        <v>0.4239658182166009</v>
      </c>
      <c r="BT18">
        <f t="shared" si="41"/>
        <v>0.71002863442713682</v>
      </c>
      <c r="BU18">
        <f t="shared" si="42"/>
        <v>0.54575349906474835</v>
      </c>
      <c r="BV18">
        <f t="shared" si="43"/>
        <v>0.75915231106372316</v>
      </c>
      <c r="BW18">
        <f t="shared" si="44"/>
        <v>0.23209780916011316</v>
      </c>
      <c r="BX18">
        <f t="shared" si="45"/>
        <v>0.76790219083988687</v>
      </c>
      <c r="DG18">
        <f t="shared" si="46"/>
        <v>1700.001612903226</v>
      </c>
      <c r="DH18">
        <f t="shared" si="47"/>
        <v>1428.3064546466767</v>
      </c>
      <c r="DI18">
        <f t="shared" si="48"/>
        <v>0.84017947030499918</v>
      </c>
      <c r="DJ18">
        <f t="shared" si="49"/>
        <v>0.15994637768864833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1736193976</v>
      </c>
      <c r="DQ18">
        <v>419.69964516129028</v>
      </c>
      <c r="DR18">
        <v>491.31174193548378</v>
      </c>
      <c r="DS18">
        <v>37.881787096774197</v>
      </c>
      <c r="DT18">
        <v>30.423377419354839</v>
      </c>
      <c r="DU18">
        <v>424.32622580645159</v>
      </c>
      <c r="DV18">
        <v>37.608787096774201</v>
      </c>
      <c r="DW18">
        <v>500.02380645161293</v>
      </c>
      <c r="DX18">
        <v>97.524251612903242</v>
      </c>
      <c r="DY18">
        <v>4.8882551612903218E-2</v>
      </c>
      <c r="DZ18">
        <v>35.059854838709683</v>
      </c>
      <c r="EA18">
        <v>34.559025806451608</v>
      </c>
      <c r="EB18">
        <v>999.90000000000032</v>
      </c>
      <c r="EC18">
        <v>0</v>
      </c>
      <c r="ED18">
        <v>0</v>
      </c>
      <c r="EE18">
        <v>9996.7741935483864</v>
      </c>
      <c r="EF18">
        <v>0</v>
      </c>
      <c r="EG18">
        <v>1562.1637096774191</v>
      </c>
      <c r="EH18">
        <v>-71.612251612903208</v>
      </c>
      <c r="EI18">
        <v>436.33458064516128</v>
      </c>
      <c r="EJ18">
        <v>506.72812903225821</v>
      </c>
      <c r="EK18">
        <v>7.701185806451611</v>
      </c>
      <c r="EL18">
        <v>491.31174193548378</v>
      </c>
      <c r="EM18">
        <v>30.423377419354839</v>
      </c>
      <c r="EN18">
        <v>3.718070322580644</v>
      </c>
      <c r="EO18">
        <v>2.9670180645161288</v>
      </c>
      <c r="EP18">
        <v>27.649867741935481</v>
      </c>
      <c r="EQ18">
        <v>23.84396774193549</v>
      </c>
      <c r="ER18">
        <v>1700.001612903226</v>
      </c>
      <c r="ES18">
        <v>0.9939983548387098</v>
      </c>
      <c r="ET18">
        <v>6.0012916129032262E-3</v>
      </c>
      <c r="EU18">
        <v>0</v>
      </c>
      <c r="EV18">
        <v>755.79929032258065</v>
      </c>
      <c r="EW18">
        <v>5.0010700000000003</v>
      </c>
      <c r="EX18">
        <v>17363.651612903221</v>
      </c>
      <c r="EY18">
        <v>15492.52903225806</v>
      </c>
      <c r="EZ18">
        <v>42.306193548387093</v>
      </c>
      <c r="FA18">
        <v>43.781999999999982</v>
      </c>
      <c r="FB18">
        <v>42.902999999999977</v>
      </c>
      <c r="FC18">
        <v>43.544129032258063</v>
      </c>
      <c r="FD18">
        <v>44.114645161290312</v>
      </c>
      <c r="FE18">
        <v>1684.831612903226</v>
      </c>
      <c r="FF18">
        <v>10.17</v>
      </c>
      <c r="FG18">
        <v>0</v>
      </c>
      <c r="FH18">
        <v>162.39999985694891</v>
      </c>
      <c r="FI18">
        <v>0</v>
      </c>
      <c r="FJ18">
        <v>755.90111764705887</v>
      </c>
      <c r="FK18">
        <v>3.2602940650445191</v>
      </c>
      <c r="FL18">
        <v>-1090.5637293952971</v>
      </c>
      <c r="FM18">
        <v>17397.094117647059</v>
      </c>
      <c r="FN18">
        <v>10</v>
      </c>
      <c r="FO18">
        <v>1736194007</v>
      </c>
      <c r="FP18" t="s">
        <v>790</v>
      </c>
      <c r="FQ18">
        <v>1736192563.5999999</v>
      </c>
      <c r="FR18">
        <v>1736194007</v>
      </c>
      <c r="FS18">
        <v>36</v>
      </c>
      <c r="FT18">
        <v>-0.01</v>
      </c>
      <c r="FU18">
        <v>-1.4999999999999999E-2</v>
      </c>
      <c r="FV18">
        <v>-4.6269999999999998</v>
      </c>
      <c r="FW18">
        <v>0.27300000000000002</v>
      </c>
      <c r="FX18">
        <v>417</v>
      </c>
      <c r="FY18">
        <v>30</v>
      </c>
      <c r="FZ18">
        <v>1.29</v>
      </c>
      <c r="GA18">
        <v>0.04</v>
      </c>
      <c r="GB18">
        <v>-71.562664999999996</v>
      </c>
      <c r="GC18">
        <v>-0.84708067542209409</v>
      </c>
      <c r="GD18">
        <v>0.16981241496133229</v>
      </c>
      <c r="GE18">
        <v>1</v>
      </c>
      <c r="GF18">
        <v>755.72297058823517</v>
      </c>
      <c r="GG18">
        <v>1.8730786791736589</v>
      </c>
      <c r="GH18">
        <v>0.29864029960256611</v>
      </c>
      <c r="GI18">
        <v>1</v>
      </c>
      <c r="GJ18">
        <v>7.6790789999999989</v>
      </c>
      <c r="GK18">
        <v>0.49597283302061101</v>
      </c>
      <c r="GL18">
        <v>5.1479423889550277E-2</v>
      </c>
      <c r="GM18">
        <v>1</v>
      </c>
      <c r="GN18">
        <v>3</v>
      </c>
      <c r="GO18">
        <v>3</v>
      </c>
      <c r="GP18" t="s">
        <v>599</v>
      </c>
      <c r="GQ18">
        <v>3.1333099999999998</v>
      </c>
      <c r="GR18">
        <v>2.7216200000000002</v>
      </c>
      <c r="GS18">
        <v>9.0905899999999998E-2</v>
      </c>
      <c r="GT18">
        <v>0.102196</v>
      </c>
      <c r="GU18">
        <v>0.15218000000000001</v>
      </c>
      <c r="GV18">
        <v>0.13170299999999999</v>
      </c>
      <c r="GW18">
        <v>22755.3</v>
      </c>
      <c r="GX18">
        <v>30248.799999999999</v>
      </c>
      <c r="GY18">
        <v>27156.6</v>
      </c>
      <c r="GZ18">
        <v>34653</v>
      </c>
      <c r="HA18">
        <v>33728</v>
      </c>
      <c r="HB18">
        <v>38438.1</v>
      </c>
      <c r="HC18">
        <v>40103</v>
      </c>
      <c r="HD18">
        <v>44346.2</v>
      </c>
      <c r="HE18">
        <v>1.9598</v>
      </c>
      <c r="HF18">
        <v>1.7422</v>
      </c>
      <c r="HG18">
        <v>3.7699900000000001E-2</v>
      </c>
      <c r="HH18">
        <v>0</v>
      </c>
      <c r="HI18">
        <v>33.9771</v>
      </c>
      <c r="HJ18">
        <v>999.9</v>
      </c>
      <c r="HK18">
        <v>57</v>
      </c>
      <c r="HL18">
        <v>38.799999999999997</v>
      </c>
      <c r="HM18">
        <v>40.6297</v>
      </c>
      <c r="HN18">
        <v>59.801099999999998</v>
      </c>
      <c r="HO18">
        <v>7.7484000000000002</v>
      </c>
      <c r="HP18">
        <v>1</v>
      </c>
      <c r="HQ18">
        <v>0.63152399999999997</v>
      </c>
      <c r="HR18">
        <v>0</v>
      </c>
      <c r="HS18">
        <v>20.277899999999999</v>
      </c>
      <c r="HT18">
        <v>5.1933299999999996</v>
      </c>
      <c r="HU18">
        <v>11.908099999999999</v>
      </c>
      <c r="HV18">
        <v>4.9791999999999996</v>
      </c>
      <c r="HW18">
        <v>3.2673999999999999</v>
      </c>
      <c r="HX18">
        <v>9999</v>
      </c>
      <c r="HY18">
        <v>9999</v>
      </c>
      <c r="HZ18">
        <v>9999</v>
      </c>
      <c r="IA18">
        <v>999.9</v>
      </c>
      <c r="IB18">
        <v>1.8673999999999999</v>
      </c>
      <c r="IC18">
        <v>1.8631</v>
      </c>
      <c r="ID18">
        <v>1.86249</v>
      </c>
      <c r="IE18">
        <v>1.8620300000000001</v>
      </c>
      <c r="IF18">
        <v>1.8620300000000001</v>
      </c>
      <c r="IG18">
        <v>1.8626400000000001</v>
      </c>
      <c r="IH18">
        <v>1.8635600000000001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-4.6269999999999998</v>
      </c>
      <c r="IX18">
        <v>0.27300000000000002</v>
      </c>
      <c r="IY18">
        <v>-4.626666666666722</v>
      </c>
      <c r="IZ18">
        <v>0</v>
      </c>
      <c r="JA18">
        <v>0</v>
      </c>
      <c r="JB18">
        <v>0</v>
      </c>
      <c r="JC18">
        <v>-0.28256951234037148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23.7</v>
      </c>
      <c r="JL18">
        <v>2.2999999999999998</v>
      </c>
      <c r="JM18">
        <v>1.2377899999999999</v>
      </c>
      <c r="JN18">
        <v>2.5524900000000001</v>
      </c>
      <c r="JO18">
        <v>1.50024</v>
      </c>
      <c r="JP18">
        <v>2.2741699999999998</v>
      </c>
      <c r="JQ18">
        <v>1.4477500000000001</v>
      </c>
      <c r="JR18">
        <v>2.34375</v>
      </c>
      <c r="JS18">
        <v>42.750999999999998</v>
      </c>
      <c r="JT18">
        <v>14.8413</v>
      </c>
      <c r="JU18">
        <v>18</v>
      </c>
      <c r="JV18">
        <v>547.70000000000005</v>
      </c>
      <c r="JW18">
        <v>419.517</v>
      </c>
      <c r="JX18">
        <v>34.227400000000003</v>
      </c>
      <c r="JY18">
        <v>34.9818</v>
      </c>
      <c r="JZ18">
        <v>30.001200000000001</v>
      </c>
      <c r="KA18">
        <v>34.837400000000002</v>
      </c>
      <c r="KB18">
        <v>34.797499999999999</v>
      </c>
      <c r="KC18">
        <v>24.7681</v>
      </c>
      <c r="KD18">
        <v>35.616900000000001</v>
      </c>
      <c r="KE18">
        <v>40.291499999999999</v>
      </c>
      <c r="KF18">
        <v>-999.9</v>
      </c>
      <c r="KG18">
        <v>491.60399999999998</v>
      </c>
      <c r="KH18">
        <v>30.365400000000001</v>
      </c>
      <c r="KI18">
        <v>100.227</v>
      </c>
      <c r="KJ18">
        <v>99.397800000000004</v>
      </c>
    </row>
    <row r="19" spans="1:296" x14ac:dyDescent="0.3">
      <c r="A19">
        <v>3</v>
      </c>
      <c r="B19">
        <v>1736194130.5</v>
      </c>
      <c r="C19">
        <v>309.5</v>
      </c>
      <c r="D19" t="s">
        <v>791</v>
      </c>
      <c r="E19" t="s">
        <v>792</v>
      </c>
      <c r="F19">
        <v>15</v>
      </c>
      <c r="H19">
        <v>1736194122.5</v>
      </c>
      <c r="I19">
        <f t="shared" si="0"/>
        <v>6.8272099325152793E-3</v>
      </c>
      <c r="J19">
        <f t="shared" si="1"/>
        <v>6.8272099325152791</v>
      </c>
      <c r="K19">
        <f t="shared" si="2"/>
        <v>56.798802405382531</v>
      </c>
      <c r="L19">
        <f t="shared" si="3"/>
        <v>419.68812903225808</v>
      </c>
      <c r="M19">
        <f t="shared" si="4"/>
        <v>156.82640180788084</v>
      </c>
      <c r="N19">
        <f t="shared" si="5"/>
        <v>15.302975737471336</v>
      </c>
      <c r="O19">
        <f t="shared" si="6"/>
        <v>40.952780793588559</v>
      </c>
      <c r="P19">
        <f t="shared" si="7"/>
        <v>0.37999153625263232</v>
      </c>
      <c r="Q19">
        <f t="shared" si="8"/>
        <v>2.8873651470753652</v>
      </c>
      <c r="R19">
        <f t="shared" si="9"/>
        <v>0.35423515485900603</v>
      </c>
      <c r="S19">
        <f t="shared" si="10"/>
        <v>0.22356543073619514</v>
      </c>
      <c r="T19">
        <f t="shared" si="11"/>
        <v>255.91240366169939</v>
      </c>
      <c r="U19">
        <f t="shared" si="12"/>
        <v>35.132298072710867</v>
      </c>
      <c r="V19">
        <f t="shared" si="13"/>
        <v>34.778677419354842</v>
      </c>
      <c r="W19">
        <f t="shared" si="14"/>
        <v>5.5795119067695449</v>
      </c>
      <c r="X19">
        <f t="shared" si="15"/>
        <v>65.613866851138837</v>
      </c>
      <c r="Y19">
        <f t="shared" si="16"/>
        <v>3.7891419780043472</v>
      </c>
      <c r="Z19">
        <f t="shared" si="17"/>
        <v>5.7749103350377835</v>
      </c>
      <c r="AA19">
        <f t="shared" si="18"/>
        <v>1.7903699287651977</v>
      </c>
      <c r="AB19">
        <f t="shared" si="19"/>
        <v>-301.07995802392384</v>
      </c>
      <c r="AC19">
        <f t="shared" si="20"/>
        <v>96.821271319051704</v>
      </c>
      <c r="AD19">
        <f t="shared" si="21"/>
        <v>7.838124243947763</v>
      </c>
      <c r="AE19">
        <f t="shared" si="22"/>
        <v>59.491841200775042</v>
      </c>
      <c r="AF19">
        <f t="shared" si="23"/>
        <v>56.798802405382531</v>
      </c>
      <c r="AG19">
        <f t="shared" si="24"/>
        <v>6.8272099325152791</v>
      </c>
      <c r="AH19">
        <f t="shared" si="25"/>
        <v>56.72023631966524</v>
      </c>
      <c r="AI19">
        <v>506.98739468449611</v>
      </c>
      <c r="AJ19">
        <v>436.76804848484841</v>
      </c>
      <c r="AK19">
        <v>-1.7968813246500061E-3</v>
      </c>
      <c r="AL19">
        <v>67.034781697052026</v>
      </c>
      <c r="AM19">
        <f t="shared" si="26"/>
        <v>6.8609931668464386</v>
      </c>
      <c r="AN19">
        <v>31.033813328740731</v>
      </c>
      <c r="AO19">
        <v>38.884087272727278</v>
      </c>
      <c r="AP19">
        <v>1.038309669086733E-2</v>
      </c>
      <c r="AQ19">
        <v>78.065054014439667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50208.08217023989</v>
      </c>
      <c r="AW19" t="s">
        <v>784</v>
      </c>
      <c r="AX19">
        <v>5111.59</v>
      </c>
      <c r="AY19">
        <v>546.33823529411768</v>
      </c>
      <c r="AZ19">
        <v>2461.83</v>
      </c>
      <c r="BA19">
        <f t="shared" si="30"/>
        <v>0.77807637599098323</v>
      </c>
      <c r="BB19">
        <v>-4.5166359946861352</v>
      </c>
      <c r="BC19" t="s">
        <v>793</v>
      </c>
      <c r="BD19">
        <v>5105.3100000000004</v>
      </c>
      <c r="BE19">
        <v>755.99405882352937</v>
      </c>
      <c r="BF19">
        <v>1041.3599999999999</v>
      </c>
      <c r="BG19">
        <f t="shared" si="31"/>
        <v>0.27403197854389505</v>
      </c>
      <c r="BH19">
        <v>0.5</v>
      </c>
      <c r="BI19">
        <f t="shared" si="32"/>
        <v>1344.2781578725162</v>
      </c>
      <c r="BJ19">
        <f t="shared" si="33"/>
        <v>56.798802405382531</v>
      </c>
      <c r="BK19">
        <f t="shared" si="34"/>
        <v>184.18760165757405</v>
      </c>
      <c r="BL19">
        <f t="shared" si="35"/>
        <v>4.5612165935291105E-2</v>
      </c>
      <c r="BM19">
        <f t="shared" si="36"/>
        <v>1.3640527771375894</v>
      </c>
      <c r="BN19">
        <f t="shared" si="37"/>
        <v>419.38414054830417</v>
      </c>
      <c r="BO19" t="s">
        <v>407</v>
      </c>
      <c r="BP19">
        <v>0</v>
      </c>
      <c r="BQ19">
        <f t="shared" si="38"/>
        <v>419.38414054830417</v>
      </c>
      <c r="BR19">
        <f t="shared" si="39"/>
        <v>0.59727266214536356</v>
      </c>
      <c r="BS19">
        <f t="shared" si="40"/>
        <v>0.4588054935573152</v>
      </c>
      <c r="BT19">
        <f t="shared" si="41"/>
        <v>0.69547498330326951</v>
      </c>
      <c r="BU19">
        <f t="shared" si="42"/>
        <v>0.57647150392674362</v>
      </c>
      <c r="BV19">
        <f t="shared" si="43"/>
        <v>0.7415693589359329</v>
      </c>
      <c r="BW19">
        <f t="shared" si="44"/>
        <v>0.25452018484617545</v>
      </c>
      <c r="BX19">
        <f t="shared" si="45"/>
        <v>0.74547981515382455</v>
      </c>
      <c r="DG19">
        <f t="shared" si="46"/>
        <v>1599.989354838709</v>
      </c>
      <c r="DH19">
        <f t="shared" si="47"/>
        <v>1344.2781578725162</v>
      </c>
      <c r="DI19">
        <f t="shared" si="48"/>
        <v>0.8401794385738458</v>
      </c>
      <c r="DJ19">
        <f t="shared" si="49"/>
        <v>0.15994631644752241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1736194122.5</v>
      </c>
      <c r="DQ19">
        <v>419.68812903225808</v>
      </c>
      <c r="DR19">
        <v>491.27461290322577</v>
      </c>
      <c r="DS19">
        <v>38.831499999999998</v>
      </c>
      <c r="DT19">
        <v>30.958129032258061</v>
      </c>
      <c r="DU19">
        <v>424.637870967742</v>
      </c>
      <c r="DV19">
        <v>38.315383870967743</v>
      </c>
      <c r="DW19">
        <v>500.07290322580639</v>
      </c>
      <c r="DX19">
        <v>97.529696774193567</v>
      </c>
      <c r="DY19">
        <v>4.9381499999999988E-2</v>
      </c>
      <c r="DZ19">
        <v>35.400667741935479</v>
      </c>
      <c r="EA19">
        <v>34.778677419354842</v>
      </c>
      <c r="EB19">
        <v>999.90000000000032</v>
      </c>
      <c r="EC19">
        <v>0</v>
      </c>
      <c r="ED19">
        <v>0</v>
      </c>
      <c r="EE19">
        <v>10008.709677419351</v>
      </c>
      <c r="EF19">
        <v>0</v>
      </c>
      <c r="EG19">
        <v>1453.205483870968</v>
      </c>
      <c r="EH19">
        <v>-71.586658064516129</v>
      </c>
      <c r="EI19">
        <v>436.64354838709681</v>
      </c>
      <c r="EJ19">
        <v>506.9694516129033</v>
      </c>
      <c r="EK19">
        <v>7.8733648387096764</v>
      </c>
      <c r="EL19">
        <v>491.27461290322577</v>
      </c>
      <c r="EM19">
        <v>30.958129032258061</v>
      </c>
      <c r="EN19">
        <v>3.7872241935483868</v>
      </c>
      <c r="EO19">
        <v>3.019336451612904</v>
      </c>
      <c r="EP19">
        <v>27.965548387096771</v>
      </c>
      <c r="EQ19">
        <v>24.13489677419355</v>
      </c>
      <c r="ER19">
        <v>1599.989354838709</v>
      </c>
      <c r="ES19">
        <v>0.99400158064516142</v>
      </c>
      <c r="ET19">
        <v>5.9982754838709684E-3</v>
      </c>
      <c r="EU19">
        <v>0</v>
      </c>
      <c r="EV19">
        <v>756.16112903225815</v>
      </c>
      <c r="EW19">
        <v>5.0010700000000003</v>
      </c>
      <c r="EX19">
        <v>16058.10322580645</v>
      </c>
      <c r="EY19">
        <v>14578.416129032261</v>
      </c>
      <c r="EZ19">
        <v>42.924999999999983</v>
      </c>
      <c r="FA19">
        <v>44.541999999999973</v>
      </c>
      <c r="FB19">
        <v>43.608741935483877</v>
      </c>
      <c r="FC19">
        <v>44.338419354838699</v>
      </c>
      <c r="FD19">
        <v>44.807999999999971</v>
      </c>
      <c r="FE19">
        <v>1585.41935483871</v>
      </c>
      <c r="FF19">
        <v>9.5699999999999985</v>
      </c>
      <c r="FG19">
        <v>0</v>
      </c>
      <c r="FH19">
        <v>146.20000004768369</v>
      </c>
      <c r="FI19">
        <v>0</v>
      </c>
      <c r="FJ19">
        <v>755.99405882352937</v>
      </c>
      <c r="FK19">
        <v>-2.9955882212708849</v>
      </c>
      <c r="FL19">
        <v>-316.49509848596568</v>
      </c>
      <c r="FM19">
        <v>16037.052941176469</v>
      </c>
      <c r="FN19">
        <v>10</v>
      </c>
      <c r="FO19">
        <v>1736194075</v>
      </c>
      <c r="FP19" t="s">
        <v>794</v>
      </c>
      <c r="FQ19">
        <v>1736194075</v>
      </c>
      <c r="FR19">
        <v>1736194069</v>
      </c>
      <c r="FS19">
        <v>37</v>
      </c>
      <c r="FT19">
        <v>-0.32300000000000001</v>
      </c>
      <c r="FU19">
        <v>-6.0000000000000001E-3</v>
      </c>
      <c r="FV19">
        <v>-4.95</v>
      </c>
      <c r="FW19">
        <v>0.27300000000000002</v>
      </c>
      <c r="FX19">
        <v>491</v>
      </c>
      <c r="FY19">
        <v>31</v>
      </c>
      <c r="FZ19">
        <v>0.08</v>
      </c>
      <c r="GA19">
        <v>0.06</v>
      </c>
      <c r="GB19">
        <v>-71.495521951219516</v>
      </c>
      <c r="GC19">
        <v>-0.59635191637639051</v>
      </c>
      <c r="GD19">
        <v>0.2409553085899041</v>
      </c>
      <c r="GE19">
        <v>1</v>
      </c>
      <c r="GF19">
        <v>756.18552941176483</v>
      </c>
      <c r="GG19">
        <v>-1.5246753150788479</v>
      </c>
      <c r="GH19">
        <v>0.25814544866093753</v>
      </c>
      <c r="GI19">
        <v>1</v>
      </c>
      <c r="GJ19">
        <v>7.8777926829268301</v>
      </c>
      <c r="GK19">
        <v>-0.19490738675956601</v>
      </c>
      <c r="GL19">
        <v>4.8958587727936952E-2</v>
      </c>
      <c r="GM19">
        <v>1</v>
      </c>
      <c r="GN19">
        <v>3</v>
      </c>
      <c r="GO19">
        <v>3</v>
      </c>
      <c r="GP19" t="s">
        <v>599</v>
      </c>
      <c r="GQ19">
        <v>3.1337100000000002</v>
      </c>
      <c r="GR19">
        <v>2.7259899999999999</v>
      </c>
      <c r="GS19">
        <v>9.0899499999999994E-2</v>
      </c>
      <c r="GT19">
        <v>0.10209600000000001</v>
      </c>
      <c r="GU19">
        <v>0.154001</v>
      </c>
      <c r="GV19">
        <v>0.133632</v>
      </c>
      <c r="GW19">
        <v>22743.8</v>
      </c>
      <c r="GX19">
        <v>30234.3</v>
      </c>
      <c r="GY19">
        <v>27144.1</v>
      </c>
      <c r="GZ19">
        <v>34634.699999999997</v>
      </c>
      <c r="HA19">
        <v>33644.1</v>
      </c>
      <c r="HB19">
        <v>38337.1</v>
      </c>
      <c r="HC19">
        <v>40085.599999999999</v>
      </c>
      <c r="HD19">
        <v>44326.8</v>
      </c>
      <c r="HE19">
        <v>1.9565999999999999</v>
      </c>
      <c r="HF19">
        <v>1.7367999999999999</v>
      </c>
      <c r="HG19">
        <v>3.7848899999999998E-2</v>
      </c>
      <c r="HH19">
        <v>0</v>
      </c>
      <c r="HI19">
        <v>34.217100000000002</v>
      </c>
      <c r="HJ19">
        <v>999.9</v>
      </c>
      <c r="HK19">
        <v>56.4</v>
      </c>
      <c r="HL19">
        <v>38.9</v>
      </c>
      <c r="HM19">
        <v>40.411799999999999</v>
      </c>
      <c r="HN19">
        <v>59.661099999999998</v>
      </c>
      <c r="HO19">
        <v>7.2556099999999999</v>
      </c>
      <c r="HP19">
        <v>1</v>
      </c>
      <c r="HQ19">
        <v>0.658049</v>
      </c>
      <c r="HR19">
        <v>0</v>
      </c>
      <c r="HS19">
        <v>20.280899999999999</v>
      </c>
      <c r="HT19">
        <v>5.2077099999999996</v>
      </c>
      <c r="HU19">
        <v>11.908099999999999</v>
      </c>
      <c r="HV19">
        <v>4.9824000000000002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1.8631</v>
      </c>
      <c r="ID19">
        <v>1.86249</v>
      </c>
      <c r="IE19">
        <v>1.8620300000000001</v>
      </c>
      <c r="IF19">
        <v>1.8620300000000001</v>
      </c>
      <c r="IG19">
        <v>1.8626400000000001</v>
      </c>
      <c r="IH19">
        <v>1.8635600000000001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-4.95</v>
      </c>
      <c r="IX19">
        <v>0.51770000000000005</v>
      </c>
      <c r="IY19">
        <v>-4.9498571428571267</v>
      </c>
      <c r="IZ19">
        <v>0</v>
      </c>
      <c r="JA19">
        <v>0</v>
      </c>
      <c r="JB19">
        <v>0</v>
      </c>
      <c r="JC19">
        <v>-0.30374854369871163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0.9</v>
      </c>
      <c r="JL19">
        <v>1</v>
      </c>
      <c r="JM19">
        <v>1.2377899999999999</v>
      </c>
      <c r="JN19">
        <v>2.5451700000000002</v>
      </c>
      <c r="JO19">
        <v>1.50024</v>
      </c>
      <c r="JP19">
        <v>2.2729499999999998</v>
      </c>
      <c r="JQ19">
        <v>1.4477500000000001</v>
      </c>
      <c r="JR19">
        <v>2.4609399999999999</v>
      </c>
      <c r="JS19">
        <v>43.100900000000003</v>
      </c>
      <c r="JT19">
        <v>14.8238</v>
      </c>
      <c r="JU19">
        <v>18</v>
      </c>
      <c r="JV19">
        <v>548.07100000000003</v>
      </c>
      <c r="JW19">
        <v>418.11</v>
      </c>
      <c r="JX19">
        <v>34.656199999999998</v>
      </c>
      <c r="JY19">
        <v>35.328200000000002</v>
      </c>
      <c r="JZ19">
        <v>30.001000000000001</v>
      </c>
      <c r="KA19">
        <v>35.148699999999998</v>
      </c>
      <c r="KB19">
        <v>35.091999999999999</v>
      </c>
      <c r="KC19">
        <v>24.762799999999999</v>
      </c>
      <c r="KD19">
        <v>34.204599999999999</v>
      </c>
      <c r="KE19">
        <v>38.602200000000003</v>
      </c>
      <c r="KF19">
        <v>-999.9</v>
      </c>
      <c r="KG19">
        <v>491.44499999999999</v>
      </c>
      <c r="KH19">
        <v>31.006799999999998</v>
      </c>
      <c r="KI19">
        <v>100.18300000000001</v>
      </c>
      <c r="KJ19">
        <v>99.350499999999997</v>
      </c>
    </row>
    <row r="20" spans="1:296" x14ac:dyDescent="0.3">
      <c r="A20">
        <v>4</v>
      </c>
      <c r="B20">
        <v>1736194263</v>
      </c>
      <c r="C20">
        <v>442</v>
      </c>
      <c r="D20" t="s">
        <v>795</v>
      </c>
      <c r="E20" t="s">
        <v>796</v>
      </c>
      <c r="F20">
        <v>15</v>
      </c>
      <c r="H20">
        <v>1736194255.25</v>
      </c>
      <c r="I20">
        <f t="shared" si="0"/>
        <v>6.6979559463153241E-3</v>
      </c>
      <c r="J20">
        <f t="shared" si="1"/>
        <v>6.6979559463153242</v>
      </c>
      <c r="K20">
        <f t="shared" si="2"/>
        <v>54.336052343716624</v>
      </c>
      <c r="L20">
        <f t="shared" si="3"/>
        <v>419.82880000000011</v>
      </c>
      <c r="M20">
        <f t="shared" si="4"/>
        <v>161.12663307724304</v>
      </c>
      <c r="N20">
        <f t="shared" si="5"/>
        <v>15.722037901770307</v>
      </c>
      <c r="O20">
        <f t="shared" si="6"/>
        <v>40.965073121651344</v>
      </c>
      <c r="P20">
        <f t="shared" si="7"/>
        <v>0.3691532480667572</v>
      </c>
      <c r="Q20">
        <f t="shared" si="8"/>
        <v>2.8880099873660634</v>
      </c>
      <c r="R20">
        <f t="shared" si="9"/>
        <v>0.34479974004698283</v>
      </c>
      <c r="S20">
        <f t="shared" si="10"/>
        <v>0.21755387657530939</v>
      </c>
      <c r="T20">
        <f t="shared" si="11"/>
        <v>224.00647436721491</v>
      </c>
      <c r="U20">
        <f t="shared" si="12"/>
        <v>35.238103110656041</v>
      </c>
      <c r="V20">
        <f t="shared" si="13"/>
        <v>35.006360000000001</v>
      </c>
      <c r="W20">
        <f t="shared" si="14"/>
        <v>5.6503609883689947</v>
      </c>
      <c r="X20">
        <f t="shared" si="15"/>
        <v>65.66463083973612</v>
      </c>
      <c r="Y20">
        <f t="shared" si="16"/>
        <v>3.8471387218662771</v>
      </c>
      <c r="Z20">
        <f t="shared" si="17"/>
        <v>5.8587685222136816</v>
      </c>
      <c r="AA20">
        <f t="shared" si="18"/>
        <v>1.8032222665027176</v>
      </c>
      <c r="AB20">
        <f t="shared" si="19"/>
        <v>-295.3798572325058</v>
      </c>
      <c r="AC20">
        <f t="shared" si="20"/>
        <v>102.08365231385139</v>
      </c>
      <c r="AD20">
        <f t="shared" si="21"/>
        <v>8.2819812030400062</v>
      </c>
      <c r="AE20">
        <f t="shared" si="22"/>
        <v>38.9922506516005</v>
      </c>
      <c r="AF20">
        <f t="shared" si="23"/>
        <v>54.336052343716624</v>
      </c>
      <c r="AG20">
        <f t="shared" si="24"/>
        <v>6.6979559463153242</v>
      </c>
      <c r="AH20">
        <f t="shared" si="25"/>
        <v>54.345474495967203</v>
      </c>
      <c r="AI20">
        <v>504.44635798532119</v>
      </c>
      <c r="AJ20">
        <v>437.11638181818148</v>
      </c>
      <c r="AK20">
        <v>-2.0083411624585582E-3</v>
      </c>
      <c r="AL20">
        <v>67.087640726755964</v>
      </c>
      <c r="AM20">
        <f t="shared" si="26"/>
        <v>6.705422387003618</v>
      </c>
      <c r="AN20">
        <v>31.709693455055021</v>
      </c>
      <c r="AO20">
        <v>39.436029696969698</v>
      </c>
      <c r="AP20">
        <v>2.8856026625398608E-4</v>
      </c>
      <c r="AQ20">
        <v>78.238240443194599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50183.312356048838</v>
      </c>
      <c r="AW20" t="s">
        <v>784</v>
      </c>
      <c r="AX20">
        <v>5111.59</v>
      </c>
      <c r="AY20">
        <v>546.33823529411768</v>
      </c>
      <c r="AZ20">
        <v>2461.83</v>
      </c>
      <c r="BA20">
        <f t="shared" si="30"/>
        <v>0.77807637599098323</v>
      </c>
      <c r="BB20">
        <v>-4.5166359946861352</v>
      </c>
      <c r="BC20" t="s">
        <v>797</v>
      </c>
      <c r="BD20">
        <v>5106.38</v>
      </c>
      <c r="BE20">
        <v>753.73811764705874</v>
      </c>
      <c r="BF20">
        <v>1104.95</v>
      </c>
      <c r="BG20">
        <f t="shared" si="31"/>
        <v>0.31785319005651047</v>
      </c>
      <c r="BH20">
        <v>0.5</v>
      </c>
      <c r="BI20">
        <f t="shared" si="32"/>
        <v>1176.2945197757595</v>
      </c>
      <c r="BJ20">
        <f t="shared" si="33"/>
        <v>54.336052343716624</v>
      </c>
      <c r="BK20">
        <f t="shared" si="34"/>
        <v>186.94448277835809</v>
      </c>
      <c r="BL20">
        <f t="shared" si="35"/>
        <v>5.0032272827065474E-2</v>
      </c>
      <c r="BM20">
        <f t="shared" si="36"/>
        <v>1.228001267025657</v>
      </c>
      <c r="BN20">
        <f t="shared" si="37"/>
        <v>429.33483608978389</v>
      </c>
      <c r="BO20" t="s">
        <v>407</v>
      </c>
      <c r="BP20">
        <v>0</v>
      </c>
      <c r="BQ20">
        <f t="shared" si="38"/>
        <v>429.33483608978389</v>
      </c>
      <c r="BR20">
        <f t="shared" si="39"/>
        <v>0.61144410508187352</v>
      </c>
      <c r="BS20">
        <f t="shared" si="40"/>
        <v>0.51984014142053003</v>
      </c>
      <c r="BT20">
        <f t="shared" si="41"/>
        <v>0.66759322437430368</v>
      </c>
      <c r="BU20">
        <f t="shared" si="42"/>
        <v>0.62872267385535596</v>
      </c>
      <c r="BV20">
        <f t="shared" si="43"/>
        <v>0.70837161767090373</v>
      </c>
      <c r="BW20">
        <f t="shared" si="44"/>
        <v>0.2961048097267398</v>
      </c>
      <c r="BX20">
        <f t="shared" si="45"/>
        <v>0.7038951902732602</v>
      </c>
      <c r="DG20">
        <f t="shared" si="46"/>
        <v>1400.0013333333341</v>
      </c>
      <c r="DH20">
        <f t="shared" si="47"/>
        <v>1176.2945197757595</v>
      </c>
      <c r="DI20">
        <f t="shared" si="48"/>
        <v>0.84020957106880767</v>
      </c>
      <c r="DJ20">
        <f t="shared" si="49"/>
        <v>0.16000447216279898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1736194255.25</v>
      </c>
      <c r="DQ20">
        <v>419.82880000000011</v>
      </c>
      <c r="DR20">
        <v>488.39640000000003</v>
      </c>
      <c r="DS20">
        <v>39.427236666666673</v>
      </c>
      <c r="DT20">
        <v>31.707719999999998</v>
      </c>
      <c r="DU20">
        <v>424.76593333333341</v>
      </c>
      <c r="DV20">
        <v>38.904220000000002</v>
      </c>
      <c r="DW20">
        <v>500.07333333333332</v>
      </c>
      <c r="DX20">
        <v>97.525660000000002</v>
      </c>
      <c r="DY20">
        <v>5.0002083333333343E-2</v>
      </c>
      <c r="DZ20">
        <v>35.662010000000002</v>
      </c>
      <c r="EA20">
        <v>35.006360000000001</v>
      </c>
      <c r="EB20">
        <v>999.9000000000002</v>
      </c>
      <c r="EC20">
        <v>0</v>
      </c>
      <c r="ED20">
        <v>0</v>
      </c>
      <c r="EE20">
        <v>10012.83333333333</v>
      </c>
      <c r="EF20">
        <v>0</v>
      </c>
      <c r="EG20">
        <v>1238.355</v>
      </c>
      <c r="EH20">
        <v>-68.567679999999982</v>
      </c>
      <c r="EI20">
        <v>437.0608666666667</v>
      </c>
      <c r="EJ20">
        <v>504.38940000000002</v>
      </c>
      <c r="EK20">
        <v>7.7195246666666666</v>
      </c>
      <c r="EL20">
        <v>488.39640000000003</v>
      </c>
      <c r="EM20">
        <v>31.707719999999998</v>
      </c>
      <c r="EN20">
        <v>3.845168333333334</v>
      </c>
      <c r="EO20">
        <v>3.0923163333333319</v>
      </c>
      <c r="EP20">
        <v>28.226186666666671</v>
      </c>
      <c r="EQ20">
        <v>24.53353666666667</v>
      </c>
      <c r="ER20">
        <v>1400.0013333333341</v>
      </c>
      <c r="ES20">
        <v>0.99298979999999992</v>
      </c>
      <c r="ET20">
        <v>7.0103989999999996E-3</v>
      </c>
      <c r="EU20">
        <v>0</v>
      </c>
      <c r="EV20">
        <v>753.85656666666671</v>
      </c>
      <c r="EW20">
        <v>5.0010700000000003</v>
      </c>
      <c r="EX20">
        <v>14100.32333333333</v>
      </c>
      <c r="EY20">
        <v>12745.476666666669</v>
      </c>
      <c r="EZ20">
        <v>43.186999999999983</v>
      </c>
      <c r="FA20">
        <v>45.002066666666657</v>
      </c>
      <c r="FB20">
        <v>44.068299999999986</v>
      </c>
      <c r="FC20">
        <v>44.735300000000009</v>
      </c>
      <c r="FD20">
        <v>45.127066666666657</v>
      </c>
      <c r="FE20">
        <v>1385.2213333333341</v>
      </c>
      <c r="FF20">
        <v>9.7799999999999958</v>
      </c>
      <c r="FG20">
        <v>0</v>
      </c>
      <c r="FH20">
        <v>131.89999985694891</v>
      </c>
      <c r="FI20">
        <v>0</v>
      </c>
      <c r="FJ20">
        <v>753.73811764705874</v>
      </c>
      <c r="FK20">
        <v>-1.3676470474750639</v>
      </c>
      <c r="FL20">
        <v>29.362743954627621</v>
      </c>
      <c r="FM20">
        <v>14101.53529411765</v>
      </c>
      <c r="FN20">
        <v>10</v>
      </c>
      <c r="FO20">
        <v>1736194211</v>
      </c>
      <c r="FP20" t="s">
        <v>798</v>
      </c>
      <c r="FQ20">
        <v>1736194209.5</v>
      </c>
      <c r="FR20">
        <v>1736194211</v>
      </c>
      <c r="FS20">
        <v>38</v>
      </c>
      <c r="FT20">
        <v>1.2999999999999999E-2</v>
      </c>
      <c r="FU20">
        <v>-1.0999999999999999E-2</v>
      </c>
      <c r="FV20">
        <v>-4.9370000000000003</v>
      </c>
      <c r="FW20">
        <v>0.28999999999999998</v>
      </c>
      <c r="FX20">
        <v>489</v>
      </c>
      <c r="FY20">
        <v>32</v>
      </c>
      <c r="FZ20">
        <v>0.14000000000000001</v>
      </c>
      <c r="GA20">
        <v>0.05</v>
      </c>
      <c r="GB20">
        <v>-68.492050000000006</v>
      </c>
      <c r="GC20">
        <v>-0.76868667917449818</v>
      </c>
      <c r="GD20">
        <v>0.23180595980259039</v>
      </c>
      <c r="GE20">
        <v>1</v>
      </c>
      <c r="GF20">
        <v>753.99697058823529</v>
      </c>
      <c r="GG20">
        <v>-2.514178760394925</v>
      </c>
      <c r="GH20">
        <v>0.32378664773674071</v>
      </c>
      <c r="GI20">
        <v>1</v>
      </c>
      <c r="GJ20">
        <v>7.7106589999999997</v>
      </c>
      <c r="GK20">
        <v>0.112920450281413</v>
      </c>
      <c r="GL20">
        <v>1.7145028258944289E-2</v>
      </c>
      <c r="GM20">
        <v>1</v>
      </c>
      <c r="GN20">
        <v>3</v>
      </c>
      <c r="GO20">
        <v>3</v>
      </c>
      <c r="GP20" t="s">
        <v>599</v>
      </c>
      <c r="GQ20">
        <v>3.1339999999999999</v>
      </c>
      <c r="GR20">
        <v>2.7269800000000002</v>
      </c>
      <c r="GS20">
        <v>9.0872800000000004E-2</v>
      </c>
      <c r="GT20">
        <v>0.101586</v>
      </c>
      <c r="GU20">
        <v>0.15538199999999999</v>
      </c>
      <c r="GV20">
        <v>0.13532</v>
      </c>
      <c r="GW20">
        <v>22735.9</v>
      </c>
      <c r="GX20">
        <v>30237.200000000001</v>
      </c>
      <c r="GY20">
        <v>27135.1</v>
      </c>
      <c r="GZ20">
        <v>34620.1</v>
      </c>
      <c r="HA20">
        <v>33580.6</v>
      </c>
      <c r="HB20">
        <v>38250.400000000001</v>
      </c>
      <c r="HC20">
        <v>40072.5</v>
      </c>
      <c r="HD20">
        <v>44311.9</v>
      </c>
      <c r="HE20">
        <v>1.9548000000000001</v>
      </c>
      <c r="HF20">
        <v>1.7322</v>
      </c>
      <c r="HG20">
        <v>3.4779299999999999E-2</v>
      </c>
      <c r="HH20">
        <v>0</v>
      </c>
      <c r="HI20">
        <v>34.4452</v>
      </c>
      <c r="HJ20">
        <v>999.9</v>
      </c>
      <c r="HK20">
        <v>55.8</v>
      </c>
      <c r="HL20">
        <v>39.1</v>
      </c>
      <c r="HM20">
        <v>40.421700000000001</v>
      </c>
      <c r="HN20">
        <v>59.741100000000003</v>
      </c>
      <c r="HO20">
        <v>7.3277200000000002</v>
      </c>
      <c r="HP20">
        <v>1</v>
      </c>
      <c r="HQ20">
        <v>0.67798800000000004</v>
      </c>
      <c r="HR20">
        <v>0</v>
      </c>
      <c r="HS20">
        <v>20.281500000000001</v>
      </c>
      <c r="HT20">
        <v>5.2088999999999999</v>
      </c>
      <c r="HU20">
        <v>11.908099999999999</v>
      </c>
      <c r="HV20">
        <v>4.9832000000000001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1.8673999999999999</v>
      </c>
      <c r="IC20">
        <v>1.8631</v>
      </c>
      <c r="ID20">
        <v>1.86252</v>
      </c>
      <c r="IE20">
        <v>1.8620300000000001</v>
      </c>
      <c r="IF20">
        <v>1.8620300000000001</v>
      </c>
      <c r="IG20">
        <v>1.86267</v>
      </c>
      <c r="IH20">
        <v>1.8635600000000001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-4.9370000000000003</v>
      </c>
      <c r="IX20">
        <v>0.52339999999999998</v>
      </c>
      <c r="IY20">
        <v>-4.9373333333332434</v>
      </c>
      <c r="IZ20">
        <v>0</v>
      </c>
      <c r="JA20">
        <v>0</v>
      </c>
      <c r="JB20">
        <v>0</v>
      </c>
      <c r="JC20">
        <v>-0.3147224273626642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0.9</v>
      </c>
      <c r="JL20">
        <v>0.9</v>
      </c>
      <c r="JM20">
        <v>1.23291</v>
      </c>
      <c r="JN20">
        <v>2.5537100000000001</v>
      </c>
      <c r="JO20">
        <v>1.50024</v>
      </c>
      <c r="JP20">
        <v>2.2741699999999998</v>
      </c>
      <c r="JQ20">
        <v>1.4477500000000001</v>
      </c>
      <c r="JR20">
        <v>2.3864700000000001</v>
      </c>
      <c r="JS20">
        <v>43.399099999999997</v>
      </c>
      <c r="JT20">
        <v>14.797499999999999</v>
      </c>
      <c r="JU20">
        <v>18</v>
      </c>
      <c r="JV20">
        <v>548.85500000000002</v>
      </c>
      <c r="JW20">
        <v>416.875</v>
      </c>
      <c r="JX20">
        <v>34.974800000000002</v>
      </c>
      <c r="JY20">
        <v>35.583199999999998</v>
      </c>
      <c r="JZ20">
        <v>30.000800000000002</v>
      </c>
      <c r="KA20">
        <v>35.394100000000002</v>
      </c>
      <c r="KB20">
        <v>35.3386</v>
      </c>
      <c r="KC20">
        <v>24.645900000000001</v>
      </c>
      <c r="KD20">
        <v>33.005699999999997</v>
      </c>
      <c r="KE20">
        <v>37.036900000000003</v>
      </c>
      <c r="KF20">
        <v>-999.9</v>
      </c>
      <c r="KG20">
        <v>488.37799999999999</v>
      </c>
      <c r="KH20">
        <v>31.813800000000001</v>
      </c>
      <c r="KI20">
        <v>100.15</v>
      </c>
      <c r="KJ20">
        <v>99.313299999999998</v>
      </c>
    </row>
    <row r="21" spans="1:296" x14ac:dyDescent="0.3">
      <c r="A21">
        <v>5</v>
      </c>
      <c r="B21">
        <v>1736194421.5</v>
      </c>
      <c r="C21">
        <v>600.5</v>
      </c>
      <c r="D21" t="s">
        <v>799</v>
      </c>
      <c r="E21" t="s">
        <v>800</v>
      </c>
      <c r="F21">
        <v>15</v>
      </c>
      <c r="H21">
        <v>1736194413.5</v>
      </c>
      <c r="I21">
        <f t="shared" si="0"/>
        <v>6.0481480894521017E-3</v>
      </c>
      <c r="J21">
        <f t="shared" si="1"/>
        <v>6.048148089452102</v>
      </c>
      <c r="K21">
        <f t="shared" si="2"/>
        <v>48.898592273383223</v>
      </c>
      <c r="L21">
        <f t="shared" si="3"/>
        <v>419.86732258064512</v>
      </c>
      <c r="M21">
        <f t="shared" si="4"/>
        <v>164.33122580130271</v>
      </c>
      <c r="N21">
        <f t="shared" si="5"/>
        <v>16.036272604437873</v>
      </c>
      <c r="O21">
        <f t="shared" si="6"/>
        <v>40.972778057043513</v>
      </c>
      <c r="P21">
        <f t="shared" si="7"/>
        <v>0.33464457275626885</v>
      </c>
      <c r="Q21">
        <f t="shared" si="8"/>
        <v>2.8880584742320092</v>
      </c>
      <c r="R21">
        <f t="shared" si="9"/>
        <v>0.31449844608410277</v>
      </c>
      <c r="S21">
        <f t="shared" si="10"/>
        <v>0.19827043059306637</v>
      </c>
      <c r="T21">
        <f t="shared" si="11"/>
        <v>176.13423223680203</v>
      </c>
      <c r="U21">
        <f t="shared" si="12"/>
        <v>35.212366687588229</v>
      </c>
      <c r="V21">
        <f t="shared" si="13"/>
        <v>35.030270967741927</v>
      </c>
      <c r="W21">
        <f t="shared" si="14"/>
        <v>5.6578466490192687</v>
      </c>
      <c r="X21">
        <f t="shared" si="15"/>
        <v>65.78203251125646</v>
      </c>
      <c r="Y21">
        <f t="shared" si="16"/>
        <v>3.8728220933616582</v>
      </c>
      <c r="Z21">
        <f t="shared" si="17"/>
        <v>5.8873554761308879</v>
      </c>
      <c r="AA21">
        <f t="shared" si="18"/>
        <v>1.7850245556576105</v>
      </c>
      <c r="AB21">
        <f t="shared" si="19"/>
        <v>-266.72333074483771</v>
      </c>
      <c r="AC21">
        <f t="shared" si="20"/>
        <v>112.11828714878897</v>
      </c>
      <c r="AD21">
        <f t="shared" si="21"/>
        <v>9.1009024996550245</v>
      </c>
      <c r="AE21">
        <f t="shared" si="22"/>
        <v>30.630091140408325</v>
      </c>
      <c r="AF21">
        <f t="shared" si="23"/>
        <v>48.898592273383223</v>
      </c>
      <c r="AG21">
        <f t="shared" si="24"/>
        <v>6.048148089452102</v>
      </c>
      <c r="AH21">
        <f t="shared" si="25"/>
        <v>48.843832046303561</v>
      </c>
      <c r="AI21">
        <v>497.98945778387713</v>
      </c>
      <c r="AJ21">
        <v>437.3640666666667</v>
      </c>
      <c r="AK21">
        <v>6.1756563703748296E-3</v>
      </c>
      <c r="AL21">
        <v>67.034441145352162</v>
      </c>
      <c r="AM21">
        <f t="shared" si="26"/>
        <v>6.0550849727173857</v>
      </c>
      <c r="AN21">
        <v>32.717818442925527</v>
      </c>
      <c r="AO21">
        <v>39.690632727272721</v>
      </c>
      <c r="AP21">
        <v>8.0280741226107695E-4</v>
      </c>
      <c r="AQ21">
        <v>78.063999479024034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50170.46890554807</v>
      </c>
      <c r="AW21" t="s">
        <v>784</v>
      </c>
      <c r="AX21">
        <v>5111.59</v>
      </c>
      <c r="AY21">
        <v>546.33823529411768</v>
      </c>
      <c r="AZ21">
        <v>2461.83</v>
      </c>
      <c r="BA21">
        <f t="shared" si="30"/>
        <v>0.77807637599098323</v>
      </c>
      <c r="BB21">
        <v>-4.5166359946861352</v>
      </c>
      <c r="BC21" t="s">
        <v>801</v>
      </c>
      <c r="BD21">
        <v>5108.01</v>
      </c>
      <c r="BE21">
        <v>752.05947058823517</v>
      </c>
      <c r="BF21">
        <v>1238.67</v>
      </c>
      <c r="BG21">
        <f t="shared" si="31"/>
        <v>0.39284920875759066</v>
      </c>
      <c r="BH21">
        <v>0.5</v>
      </c>
      <c r="BI21">
        <f t="shared" si="32"/>
        <v>924.31609586061927</v>
      </c>
      <c r="BJ21">
        <f t="shared" si="33"/>
        <v>48.898592273383223</v>
      </c>
      <c r="BK21">
        <f t="shared" si="34"/>
        <v>181.55842345037479</v>
      </c>
      <c r="BL21">
        <f t="shared" si="35"/>
        <v>5.7788919296417857E-2</v>
      </c>
      <c r="BM21">
        <f t="shared" si="36"/>
        <v>0.98747850517086855</v>
      </c>
      <c r="BN21">
        <f t="shared" si="37"/>
        <v>448.13235596432298</v>
      </c>
      <c r="BO21" t="s">
        <v>407</v>
      </c>
      <c r="BP21">
        <v>0</v>
      </c>
      <c r="BQ21">
        <f t="shared" si="38"/>
        <v>448.13235596432298</v>
      </c>
      <c r="BR21">
        <f t="shared" si="39"/>
        <v>0.63821489503715845</v>
      </c>
      <c r="BS21">
        <f t="shared" si="40"/>
        <v>0.61554377970874219</v>
      </c>
      <c r="BT21">
        <f t="shared" si="41"/>
        <v>0.60741988928817003</v>
      </c>
      <c r="BU21">
        <f t="shared" si="42"/>
        <v>0.7028574365910939</v>
      </c>
      <c r="BV21">
        <f t="shared" si="43"/>
        <v>0.63856186830842998</v>
      </c>
      <c r="BW21">
        <f t="shared" si="44"/>
        <v>0.3667862649004423</v>
      </c>
      <c r="BX21">
        <f t="shared" si="45"/>
        <v>0.6332137350995577</v>
      </c>
      <c r="DG21">
        <f t="shared" si="46"/>
        <v>1100.024516129032</v>
      </c>
      <c r="DH21">
        <f t="shared" si="47"/>
        <v>924.31609586061927</v>
      </c>
      <c r="DI21">
        <f t="shared" si="48"/>
        <v>0.84026863247854899</v>
      </c>
      <c r="DJ21">
        <f t="shared" si="49"/>
        <v>0.16011846068359956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1736194413.5</v>
      </c>
      <c r="DQ21">
        <v>419.86732258064512</v>
      </c>
      <c r="DR21">
        <v>481.59177419354842</v>
      </c>
      <c r="DS21">
        <v>39.686629032258047</v>
      </c>
      <c r="DT21">
        <v>32.717019354838698</v>
      </c>
      <c r="DU21">
        <v>424.81625806451609</v>
      </c>
      <c r="DV21">
        <v>39.175583870967742</v>
      </c>
      <c r="DW21">
        <v>500.00941935483871</v>
      </c>
      <c r="DX21">
        <v>97.533980645161279</v>
      </c>
      <c r="DY21">
        <v>5.1079809677419347E-2</v>
      </c>
      <c r="DZ21">
        <v>35.750358064516121</v>
      </c>
      <c r="EA21">
        <v>35.030270967741927</v>
      </c>
      <c r="EB21">
        <v>999.90000000000032</v>
      </c>
      <c r="EC21">
        <v>0</v>
      </c>
      <c r="ED21">
        <v>0</v>
      </c>
      <c r="EE21">
        <v>10012.258064516131</v>
      </c>
      <c r="EF21">
        <v>0</v>
      </c>
      <c r="EG21">
        <v>687.35164516129032</v>
      </c>
      <c r="EH21">
        <v>-61.724403225806462</v>
      </c>
      <c r="EI21">
        <v>437.21903225806449</v>
      </c>
      <c r="EJ21">
        <v>497.88093548387093</v>
      </c>
      <c r="EK21">
        <v>6.9696099999999994</v>
      </c>
      <c r="EL21">
        <v>481.59177419354842</v>
      </c>
      <c r="EM21">
        <v>32.717019354838698</v>
      </c>
      <c r="EN21">
        <v>3.8707941935483881</v>
      </c>
      <c r="EO21">
        <v>3.19102</v>
      </c>
      <c r="EP21">
        <v>28.340374193548389</v>
      </c>
      <c r="EQ21">
        <v>25.059741935483881</v>
      </c>
      <c r="ER21">
        <v>1100.024516129032</v>
      </c>
      <c r="ES21">
        <v>0.9910009032258067</v>
      </c>
      <c r="ET21">
        <v>8.9993616129032256E-3</v>
      </c>
      <c r="EU21">
        <v>0</v>
      </c>
      <c r="EV21">
        <v>752.07725806451629</v>
      </c>
      <c r="EW21">
        <v>5.0010700000000003</v>
      </c>
      <c r="EX21">
        <v>11306.08064516129</v>
      </c>
      <c r="EY21">
        <v>9996.9870967741917</v>
      </c>
      <c r="EZ21">
        <v>43.021999999999998</v>
      </c>
      <c r="FA21">
        <v>45.178999999999988</v>
      </c>
      <c r="FB21">
        <v>44.211387096774168</v>
      </c>
      <c r="FC21">
        <v>44.949193548387072</v>
      </c>
      <c r="FD21">
        <v>45.186999999999969</v>
      </c>
      <c r="FE21">
        <v>1085.164838709677</v>
      </c>
      <c r="FF21">
        <v>9.8500000000000032</v>
      </c>
      <c r="FG21">
        <v>0</v>
      </c>
      <c r="FH21">
        <v>157.60000014305109</v>
      </c>
      <c r="FI21">
        <v>0</v>
      </c>
      <c r="FJ21">
        <v>752.05947058823517</v>
      </c>
      <c r="FK21">
        <v>-2.4455882541923422</v>
      </c>
      <c r="FL21">
        <v>351.17646767985332</v>
      </c>
      <c r="FM21">
        <v>11319.1</v>
      </c>
      <c r="FN21">
        <v>10</v>
      </c>
      <c r="FO21">
        <v>1736194366</v>
      </c>
      <c r="FP21" t="s">
        <v>802</v>
      </c>
      <c r="FQ21">
        <v>1736194366</v>
      </c>
      <c r="FR21">
        <v>1736194365.5</v>
      </c>
      <c r="FS21">
        <v>39</v>
      </c>
      <c r="FT21">
        <v>-1.2E-2</v>
      </c>
      <c r="FU21">
        <v>-0.02</v>
      </c>
      <c r="FV21">
        <v>-4.9489999999999998</v>
      </c>
      <c r="FW21">
        <v>0.28799999999999998</v>
      </c>
      <c r="FX21">
        <v>482</v>
      </c>
      <c r="FY21">
        <v>32</v>
      </c>
      <c r="FZ21">
        <v>0.15</v>
      </c>
      <c r="GA21">
        <v>0.05</v>
      </c>
      <c r="GB21">
        <v>-61.668900000000001</v>
      </c>
      <c r="GC21">
        <v>-0.70161951219534335</v>
      </c>
      <c r="GD21">
        <v>0.19037847541788691</v>
      </c>
      <c r="GE21">
        <v>1</v>
      </c>
      <c r="GF21">
        <v>752.1140294117647</v>
      </c>
      <c r="GG21">
        <v>-0.598854087304172</v>
      </c>
      <c r="GH21">
        <v>0.16067129127766411</v>
      </c>
      <c r="GI21">
        <v>1</v>
      </c>
      <c r="GJ21">
        <v>6.9693758536585371</v>
      </c>
      <c r="GK21">
        <v>-9.8989547037564877E-4</v>
      </c>
      <c r="GL21">
        <v>2.0117998127584941E-2</v>
      </c>
      <c r="GM21">
        <v>1</v>
      </c>
      <c r="GN21">
        <v>3</v>
      </c>
      <c r="GO21">
        <v>3</v>
      </c>
      <c r="GP21" t="s">
        <v>599</v>
      </c>
      <c r="GQ21">
        <v>3.1342699999999999</v>
      </c>
      <c r="GR21">
        <v>2.72709</v>
      </c>
      <c r="GS21">
        <v>9.0823100000000004E-2</v>
      </c>
      <c r="GT21">
        <v>0.100467</v>
      </c>
      <c r="GU21">
        <v>0.15601799999999999</v>
      </c>
      <c r="GV21">
        <v>0.13816800000000001</v>
      </c>
      <c r="GW21">
        <v>22728</v>
      </c>
      <c r="GX21">
        <v>30260.400000000001</v>
      </c>
      <c r="GY21">
        <v>27125.3</v>
      </c>
      <c r="GZ21">
        <v>34605.1</v>
      </c>
      <c r="HA21">
        <v>33546.1</v>
      </c>
      <c r="HB21">
        <v>38111</v>
      </c>
      <c r="HC21">
        <v>40058.9</v>
      </c>
      <c r="HD21">
        <v>44295.3</v>
      </c>
      <c r="HE21">
        <v>1.9525999999999999</v>
      </c>
      <c r="HF21">
        <v>1.7294</v>
      </c>
      <c r="HG21">
        <v>3.3378600000000001E-2</v>
      </c>
      <c r="HH21">
        <v>0</v>
      </c>
      <c r="HI21">
        <v>34.460799999999999</v>
      </c>
      <c r="HJ21">
        <v>999.9</v>
      </c>
      <c r="HK21">
        <v>55.2</v>
      </c>
      <c r="HL21">
        <v>39.299999999999997</v>
      </c>
      <c r="HM21">
        <v>40.4176</v>
      </c>
      <c r="HN21">
        <v>59.061100000000003</v>
      </c>
      <c r="HO21">
        <v>7.5280500000000004</v>
      </c>
      <c r="HP21">
        <v>1</v>
      </c>
      <c r="HQ21">
        <v>0.69628000000000001</v>
      </c>
      <c r="HR21">
        <v>0</v>
      </c>
      <c r="HS21">
        <v>20.284400000000002</v>
      </c>
      <c r="HT21">
        <v>5.2088999999999999</v>
      </c>
      <c r="HU21">
        <v>11.908099999999999</v>
      </c>
      <c r="HV21">
        <v>4.9832000000000001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1.8631</v>
      </c>
      <c r="ID21">
        <v>1.86249</v>
      </c>
      <c r="IE21">
        <v>1.86209</v>
      </c>
      <c r="IF21">
        <v>1.8621799999999999</v>
      </c>
      <c r="IG21">
        <v>1.8627</v>
      </c>
      <c r="IH21">
        <v>1.8635900000000001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-4.9489999999999998</v>
      </c>
      <c r="IX21">
        <v>0.51119999999999999</v>
      </c>
      <c r="IY21">
        <v>-4.9489523809523916</v>
      </c>
      <c r="IZ21">
        <v>0</v>
      </c>
      <c r="JA21">
        <v>0</v>
      </c>
      <c r="JB21">
        <v>0</v>
      </c>
      <c r="JC21">
        <v>-0.33491574230254217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0.9</v>
      </c>
      <c r="JL21">
        <v>0.9</v>
      </c>
      <c r="JM21">
        <v>1.2194799999999999</v>
      </c>
      <c r="JN21">
        <v>2.5561500000000001</v>
      </c>
      <c r="JO21">
        <v>1.50024</v>
      </c>
      <c r="JP21">
        <v>2.2741699999999998</v>
      </c>
      <c r="JQ21">
        <v>1.4477500000000001</v>
      </c>
      <c r="JR21">
        <v>2.3156699999999999</v>
      </c>
      <c r="JS21">
        <v>43.59</v>
      </c>
      <c r="JT21">
        <v>14.7712</v>
      </c>
      <c r="JU21">
        <v>18</v>
      </c>
      <c r="JV21">
        <v>549.33900000000006</v>
      </c>
      <c r="JW21">
        <v>416.66199999999998</v>
      </c>
      <c r="JX21">
        <v>35.237499999999997</v>
      </c>
      <c r="JY21">
        <v>35.8264</v>
      </c>
      <c r="JZ21">
        <v>30.000299999999999</v>
      </c>
      <c r="KA21">
        <v>35.638100000000001</v>
      </c>
      <c r="KB21">
        <v>35.5747</v>
      </c>
      <c r="KC21">
        <v>24.386399999999998</v>
      </c>
      <c r="KD21">
        <v>31.1831</v>
      </c>
      <c r="KE21">
        <v>35.825099999999999</v>
      </c>
      <c r="KF21">
        <v>-999.9</v>
      </c>
      <c r="KG21">
        <v>481.61200000000002</v>
      </c>
      <c r="KH21">
        <v>32.678199999999997</v>
      </c>
      <c r="KI21">
        <v>100.11499999999999</v>
      </c>
      <c r="KJ21">
        <v>99.273499999999999</v>
      </c>
    </row>
    <row r="22" spans="1:296" x14ac:dyDescent="0.3">
      <c r="A22">
        <v>6</v>
      </c>
      <c r="B22">
        <v>1736194574.5</v>
      </c>
      <c r="C22">
        <v>753.5</v>
      </c>
      <c r="D22" t="s">
        <v>803</v>
      </c>
      <c r="E22" t="s">
        <v>804</v>
      </c>
      <c r="F22">
        <v>15</v>
      </c>
      <c r="H22">
        <v>1736194566.5</v>
      </c>
      <c r="I22">
        <f t="shared" si="0"/>
        <v>5.9781762602088674E-3</v>
      </c>
      <c r="J22">
        <f t="shared" si="1"/>
        <v>5.9781762602088673</v>
      </c>
      <c r="K22">
        <f t="shared" si="2"/>
        <v>46.683630839134331</v>
      </c>
      <c r="L22">
        <f t="shared" si="3"/>
        <v>419.75483870967747</v>
      </c>
      <c r="M22">
        <f t="shared" si="4"/>
        <v>173.60135131976469</v>
      </c>
      <c r="N22">
        <f t="shared" si="5"/>
        <v>16.940203309690599</v>
      </c>
      <c r="O22">
        <f t="shared" si="6"/>
        <v>40.960120724352663</v>
      </c>
      <c r="P22">
        <f t="shared" si="7"/>
        <v>0.332172399981153</v>
      </c>
      <c r="Q22">
        <f t="shared" si="8"/>
        <v>2.8814239448736365</v>
      </c>
      <c r="R22">
        <f t="shared" si="9"/>
        <v>0.31227056768307293</v>
      </c>
      <c r="S22">
        <f t="shared" si="10"/>
        <v>0.1968577625996335</v>
      </c>
      <c r="T22">
        <f t="shared" si="11"/>
        <v>160.17678653671769</v>
      </c>
      <c r="U22">
        <f t="shared" si="12"/>
        <v>35.136739769343528</v>
      </c>
      <c r="V22">
        <f t="shared" si="13"/>
        <v>35.034470967741939</v>
      </c>
      <c r="W22">
        <f t="shared" si="14"/>
        <v>5.6591624069236115</v>
      </c>
      <c r="X22">
        <f t="shared" si="15"/>
        <v>65.936703387887718</v>
      </c>
      <c r="Y22">
        <f t="shared" si="16"/>
        <v>3.8823819570684126</v>
      </c>
      <c r="Z22">
        <f t="shared" si="17"/>
        <v>5.8880437716599419</v>
      </c>
      <c r="AA22">
        <f t="shared" si="18"/>
        <v>1.7767804498551989</v>
      </c>
      <c r="AB22">
        <f t="shared" si="19"/>
        <v>-263.63757307521104</v>
      </c>
      <c r="AC22">
        <f t="shared" si="20"/>
        <v>111.53801262263374</v>
      </c>
      <c r="AD22">
        <f t="shared" si="21"/>
        <v>9.0749258016548744</v>
      </c>
      <c r="AE22">
        <f t="shared" si="22"/>
        <v>17.152151885795263</v>
      </c>
      <c r="AF22">
        <f t="shared" si="23"/>
        <v>46.683630839134331</v>
      </c>
      <c r="AG22">
        <f t="shared" si="24"/>
        <v>5.9781762602088673</v>
      </c>
      <c r="AH22">
        <f t="shared" si="25"/>
        <v>46.677754122077012</v>
      </c>
      <c r="AI22">
        <v>495.17718876879587</v>
      </c>
      <c r="AJ22">
        <v>437.24078787878778</v>
      </c>
      <c r="AK22">
        <v>3.0051307074163702E-4</v>
      </c>
      <c r="AL22">
        <v>67.034307292267911</v>
      </c>
      <c r="AM22">
        <f t="shared" si="26"/>
        <v>5.9748142400212432</v>
      </c>
      <c r="AN22">
        <v>32.867039004756649</v>
      </c>
      <c r="AO22">
        <v>39.768263030303011</v>
      </c>
      <c r="AP22">
        <v>-2.4686883667643569E-3</v>
      </c>
      <c r="AQ22">
        <v>78.063718716063818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49986.800026692377</v>
      </c>
      <c r="AW22" t="s">
        <v>784</v>
      </c>
      <c r="AX22">
        <v>5111.59</v>
      </c>
      <c r="AY22">
        <v>546.33823529411768</v>
      </c>
      <c r="AZ22">
        <v>2461.83</v>
      </c>
      <c r="BA22">
        <f t="shared" si="30"/>
        <v>0.77807637599098323</v>
      </c>
      <c r="BB22">
        <v>-4.5166359946861352</v>
      </c>
      <c r="BC22" t="s">
        <v>805</v>
      </c>
      <c r="BD22">
        <v>5108.67</v>
      </c>
      <c r="BE22">
        <v>751.44294117647064</v>
      </c>
      <c r="BF22">
        <v>1297.92</v>
      </c>
      <c r="BG22">
        <f t="shared" si="31"/>
        <v>0.42104063333913444</v>
      </c>
      <c r="BH22">
        <v>0.5</v>
      </c>
      <c r="BI22">
        <f t="shared" si="32"/>
        <v>840.29934171215496</v>
      </c>
      <c r="BJ22">
        <f t="shared" si="33"/>
        <v>46.683630839134331</v>
      </c>
      <c r="BK22">
        <f t="shared" si="34"/>
        <v>176.90008351447173</v>
      </c>
      <c r="BL22">
        <f t="shared" si="35"/>
        <v>6.0930985295665201E-2</v>
      </c>
      <c r="BM22">
        <f t="shared" si="36"/>
        <v>0.89675018491124248</v>
      </c>
      <c r="BN22">
        <f t="shared" si="37"/>
        <v>455.65776108332051</v>
      </c>
      <c r="BO22" t="s">
        <v>407</v>
      </c>
      <c r="BP22">
        <v>0</v>
      </c>
      <c r="BQ22">
        <f t="shared" si="38"/>
        <v>455.65776108332051</v>
      </c>
      <c r="BR22">
        <f t="shared" si="39"/>
        <v>0.64893232165054826</v>
      </c>
      <c r="BS22">
        <f t="shared" si="40"/>
        <v>0.64882056154673395</v>
      </c>
      <c r="BT22">
        <f t="shared" si="41"/>
        <v>0.58016454291507102</v>
      </c>
      <c r="BU22">
        <f t="shared" si="42"/>
        <v>0.72710260478097566</v>
      </c>
      <c r="BV22">
        <f t="shared" si="43"/>
        <v>0.60762986374870398</v>
      </c>
      <c r="BW22">
        <f t="shared" si="44"/>
        <v>0.39342990428035535</v>
      </c>
      <c r="BX22">
        <f t="shared" si="45"/>
        <v>0.60657009571964471</v>
      </c>
      <c r="DG22">
        <f t="shared" si="46"/>
        <v>1000.00064516129</v>
      </c>
      <c r="DH22">
        <f t="shared" si="47"/>
        <v>840.29934171215496</v>
      </c>
      <c r="DI22">
        <f t="shared" si="48"/>
        <v>0.84029879958389742</v>
      </c>
      <c r="DJ22">
        <f t="shared" si="49"/>
        <v>0.16017668319692213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1736194566.5</v>
      </c>
      <c r="DQ22">
        <v>419.75483870967747</v>
      </c>
      <c r="DR22">
        <v>478.8030322580646</v>
      </c>
      <c r="DS22">
        <v>39.786225806451611</v>
      </c>
      <c r="DT22">
        <v>32.895896774193552</v>
      </c>
      <c r="DU22">
        <v>424.66725806451609</v>
      </c>
      <c r="DV22">
        <v>39.282758064516131</v>
      </c>
      <c r="DW22">
        <v>499.85948387096772</v>
      </c>
      <c r="DX22">
        <v>97.530293548387064</v>
      </c>
      <c r="DY22">
        <v>5.0763170967741932E-2</v>
      </c>
      <c r="DZ22">
        <v>35.752480645161292</v>
      </c>
      <c r="EA22">
        <v>35.034470967741939</v>
      </c>
      <c r="EB22">
        <v>999.90000000000032</v>
      </c>
      <c r="EC22">
        <v>0</v>
      </c>
      <c r="ED22">
        <v>0</v>
      </c>
      <c r="EE22">
        <v>9974.5161290322576</v>
      </c>
      <c r="EF22">
        <v>0</v>
      </c>
      <c r="EG22">
        <v>606.88974193548393</v>
      </c>
      <c r="EH22">
        <v>-59.048106451612902</v>
      </c>
      <c r="EI22">
        <v>437.14735483870959</v>
      </c>
      <c r="EJ22">
        <v>495.08941935483881</v>
      </c>
      <c r="EK22">
        <v>6.8903232258064513</v>
      </c>
      <c r="EL22">
        <v>478.8030322580646</v>
      </c>
      <c r="EM22">
        <v>32.895896774193552</v>
      </c>
      <c r="EN22">
        <v>3.8803616129032248</v>
      </c>
      <c r="EO22">
        <v>3.2083470967741938</v>
      </c>
      <c r="EP22">
        <v>28.382838709677429</v>
      </c>
      <c r="EQ22">
        <v>25.150635483870971</v>
      </c>
      <c r="ER22">
        <v>1000.00064516129</v>
      </c>
      <c r="ES22">
        <v>0.98998680645161263</v>
      </c>
      <c r="ET22">
        <v>1.0012893548387089E-2</v>
      </c>
      <c r="EU22">
        <v>0</v>
      </c>
      <c r="EV22">
        <v>751.42580645161286</v>
      </c>
      <c r="EW22">
        <v>5.0010700000000003</v>
      </c>
      <c r="EX22">
        <v>11156.932258064509</v>
      </c>
      <c r="EY22">
        <v>9080.2393548387117</v>
      </c>
      <c r="EZ22">
        <v>42.803999999999988</v>
      </c>
      <c r="FA22">
        <v>45</v>
      </c>
      <c r="FB22">
        <v>44.061999999999969</v>
      </c>
      <c r="FC22">
        <v>44.75</v>
      </c>
      <c r="FD22">
        <v>44.941064516129003</v>
      </c>
      <c r="FE22">
        <v>985.04032258064524</v>
      </c>
      <c r="FF22">
        <v>9.9599999999999973</v>
      </c>
      <c r="FG22">
        <v>0</v>
      </c>
      <c r="FH22">
        <v>152.4000000953674</v>
      </c>
      <c r="FI22">
        <v>0</v>
      </c>
      <c r="FJ22">
        <v>751.44294117647064</v>
      </c>
      <c r="FK22">
        <v>-0.73700978298164532</v>
      </c>
      <c r="FL22">
        <v>87.303921775574409</v>
      </c>
      <c r="FM22">
        <v>11138.13529411765</v>
      </c>
      <c r="FN22">
        <v>10</v>
      </c>
      <c r="FO22">
        <v>1736194521</v>
      </c>
      <c r="FP22" t="s">
        <v>806</v>
      </c>
      <c r="FQ22">
        <v>1736194517.5</v>
      </c>
      <c r="FR22">
        <v>1736194521</v>
      </c>
      <c r="FS22">
        <v>40</v>
      </c>
      <c r="FT22">
        <v>3.6999999999999998E-2</v>
      </c>
      <c r="FU22">
        <v>-1.0999999999999999E-2</v>
      </c>
      <c r="FV22">
        <v>-4.9119999999999999</v>
      </c>
      <c r="FW22">
        <v>0.3</v>
      </c>
      <c r="FX22">
        <v>479</v>
      </c>
      <c r="FY22">
        <v>33</v>
      </c>
      <c r="FZ22">
        <v>0.15</v>
      </c>
      <c r="GA22">
        <v>0.05</v>
      </c>
      <c r="GB22">
        <v>-58.983582926829271</v>
      </c>
      <c r="GC22">
        <v>-0.98447456446010118</v>
      </c>
      <c r="GD22">
        <v>0.17724498397035979</v>
      </c>
      <c r="GE22">
        <v>1</v>
      </c>
      <c r="GF22">
        <v>751.49847058823525</v>
      </c>
      <c r="GG22">
        <v>-0.77983192705969961</v>
      </c>
      <c r="GH22">
        <v>0.2960931128680484</v>
      </c>
      <c r="GI22">
        <v>1</v>
      </c>
      <c r="GJ22">
        <v>6.8833748780487802</v>
      </c>
      <c r="GK22">
        <v>0.16237902439026219</v>
      </c>
      <c r="GL22">
        <v>3.5085301148664032E-2</v>
      </c>
      <c r="GM22">
        <v>1</v>
      </c>
      <c r="GN22">
        <v>3</v>
      </c>
      <c r="GO22">
        <v>3</v>
      </c>
      <c r="GP22" t="s">
        <v>599</v>
      </c>
      <c r="GQ22">
        <v>3.13388</v>
      </c>
      <c r="GR22">
        <v>2.7269199999999998</v>
      </c>
      <c r="GS22">
        <v>9.0797000000000003E-2</v>
      </c>
      <c r="GT22">
        <v>0.10007099999999999</v>
      </c>
      <c r="GU22">
        <v>0.156218</v>
      </c>
      <c r="GV22">
        <v>0.138548</v>
      </c>
      <c r="GW22">
        <v>22727.3</v>
      </c>
      <c r="GX22">
        <v>30271.5</v>
      </c>
      <c r="GY22">
        <v>27124</v>
      </c>
      <c r="GZ22">
        <v>34603</v>
      </c>
      <c r="HA22">
        <v>33537.5</v>
      </c>
      <c r="HB22">
        <v>38092.6</v>
      </c>
      <c r="HC22">
        <v>40057.300000000003</v>
      </c>
      <c r="HD22">
        <v>44293.3</v>
      </c>
      <c r="HE22">
        <v>1.9508000000000001</v>
      </c>
      <c r="HF22">
        <v>1.7282</v>
      </c>
      <c r="HG22">
        <v>3.8445E-2</v>
      </c>
      <c r="HH22">
        <v>0</v>
      </c>
      <c r="HI22">
        <v>34.425699999999999</v>
      </c>
      <c r="HJ22">
        <v>999.9</v>
      </c>
      <c r="HK22">
        <v>54.7</v>
      </c>
      <c r="HL22">
        <v>39.5</v>
      </c>
      <c r="HM22">
        <v>40.482700000000001</v>
      </c>
      <c r="HN22">
        <v>59.811100000000003</v>
      </c>
      <c r="HO22">
        <v>7.4679500000000001</v>
      </c>
      <c r="HP22">
        <v>1</v>
      </c>
      <c r="HQ22">
        <v>0.70077199999999995</v>
      </c>
      <c r="HR22">
        <v>0</v>
      </c>
      <c r="HS22">
        <v>20.284800000000001</v>
      </c>
      <c r="HT22">
        <v>5.2088999999999999</v>
      </c>
      <c r="HU22">
        <v>11.908099999999999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1.8674900000000001</v>
      </c>
      <c r="IC22">
        <v>1.8631</v>
      </c>
      <c r="ID22">
        <v>1.86249</v>
      </c>
      <c r="IE22">
        <v>1.86209</v>
      </c>
      <c r="IF22">
        <v>1.86209</v>
      </c>
      <c r="IG22">
        <v>1.8627899999999999</v>
      </c>
      <c r="IH22">
        <v>1.8635600000000001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-4.9119999999999999</v>
      </c>
      <c r="IX22">
        <v>0.503</v>
      </c>
      <c r="IY22">
        <v>-4.912333333333379</v>
      </c>
      <c r="IZ22">
        <v>0</v>
      </c>
      <c r="JA22">
        <v>0</v>
      </c>
      <c r="JB22">
        <v>0</v>
      </c>
      <c r="JC22">
        <v>-0.3457382114462591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0.9</v>
      </c>
      <c r="JL22">
        <v>0.9</v>
      </c>
      <c r="JM22">
        <v>1.2133799999999999</v>
      </c>
      <c r="JN22">
        <v>2.5573700000000001</v>
      </c>
      <c r="JO22">
        <v>1.50024</v>
      </c>
      <c r="JP22">
        <v>2.2729499999999998</v>
      </c>
      <c r="JQ22">
        <v>1.4477500000000001</v>
      </c>
      <c r="JR22">
        <v>2.3535200000000001</v>
      </c>
      <c r="JS22">
        <v>43.6995</v>
      </c>
      <c r="JT22">
        <v>14.7537</v>
      </c>
      <c r="JU22">
        <v>18</v>
      </c>
      <c r="JV22">
        <v>548.96400000000006</v>
      </c>
      <c r="JW22">
        <v>416.62799999999999</v>
      </c>
      <c r="JX22">
        <v>35.272399999999998</v>
      </c>
      <c r="JY22">
        <v>35.896099999999997</v>
      </c>
      <c r="JZ22">
        <v>30.0001</v>
      </c>
      <c r="KA22">
        <v>35.743000000000002</v>
      </c>
      <c r="KB22">
        <v>35.685499999999998</v>
      </c>
      <c r="KC22">
        <v>24.2774</v>
      </c>
      <c r="KD22">
        <v>30.9636</v>
      </c>
      <c r="KE22">
        <v>35.195599999999999</v>
      </c>
      <c r="KF22">
        <v>-999.9</v>
      </c>
      <c r="KG22">
        <v>478.83699999999999</v>
      </c>
      <c r="KH22">
        <v>32.908700000000003</v>
      </c>
      <c r="KI22">
        <v>100.11</v>
      </c>
      <c r="KJ22">
        <v>99.268299999999996</v>
      </c>
    </row>
    <row r="23" spans="1:296" x14ac:dyDescent="0.3">
      <c r="A23">
        <v>7</v>
      </c>
      <c r="B23">
        <v>1736194717.0999999</v>
      </c>
      <c r="C23">
        <v>896.09999990463257</v>
      </c>
      <c r="D23" t="s">
        <v>807</v>
      </c>
      <c r="E23" t="s">
        <v>808</v>
      </c>
      <c r="F23">
        <v>15</v>
      </c>
      <c r="H23">
        <v>1736194709.349999</v>
      </c>
      <c r="I23">
        <f t="shared" si="0"/>
        <v>5.8617833047301098E-3</v>
      </c>
      <c r="J23">
        <f t="shared" si="1"/>
        <v>5.8617833047301096</v>
      </c>
      <c r="K23">
        <f t="shared" si="2"/>
        <v>40.142992210866502</v>
      </c>
      <c r="L23">
        <f t="shared" si="3"/>
        <v>419.93140000000011</v>
      </c>
      <c r="M23">
        <f t="shared" si="4"/>
        <v>195.62216317883403</v>
      </c>
      <c r="N23">
        <f t="shared" si="5"/>
        <v>19.087686295050137</v>
      </c>
      <c r="O23">
        <f t="shared" si="6"/>
        <v>40.97449234989589</v>
      </c>
      <c r="P23">
        <f t="shared" si="7"/>
        <v>0.31466065122550863</v>
      </c>
      <c r="Q23">
        <f t="shared" si="8"/>
        <v>2.8869698563341633</v>
      </c>
      <c r="R23">
        <f t="shared" si="9"/>
        <v>0.296773484976878</v>
      </c>
      <c r="S23">
        <f t="shared" si="10"/>
        <v>0.18700573193164521</v>
      </c>
      <c r="T23">
        <f t="shared" si="11"/>
        <v>128.2784865435907</v>
      </c>
      <c r="U23">
        <f t="shared" si="12"/>
        <v>35.175097736817413</v>
      </c>
      <c r="V23">
        <f t="shared" si="13"/>
        <v>35.304473333333341</v>
      </c>
      <c r="W23">
        <f t="shared" si="14"/>
        <v>5.7443076341582113</v>
      </c>
      <c r="X23">
        <f t="shared" si="15"/>
        <v>65.733306762327558</v>
      </c>
      <c r="Y23">
        <f t="shared" si="16"/>
        <v>3.9124178794642042</v>
      </c>
      <c r="Z23">
        <f t="shared" si="17"/>
        <v>5.9519565836089221</v>
      </c>
      <c r="AA23">
        <f t="shared" si="18"/>
        <v>1.8318897546940072</v>
      </c>
      <c r="AB23">
        <f t="shared" si="19"/>
        <v>-258.50464373859785</v>
      </c>
      <c r="AC23">
        <f t="shared" si="20"/>
        <v>100.260112562389</v>
      </c>
      <c r="AD23">
        <f t="shared" si="21"/>
        <v>8.1601380639018792</v>
      </c>
      <c r="AE23">
        <f t="shared" si="22"/>
        <v>-21.805906568716267</v>
      </c>
      <c r="AF23">
        <f t="shared" si="23"/>
        <v>40.142992210866502</v>
      </c>
      <c r="AG23">
        <f t="shared" si="24"/>
        <v>5.8617833047301096</v>
      </c>
      <c r="AH23">
        <f t="shared" si="25"/>
        <v>40.121096685394967</v>
      </c>
      <c r="AI23">
        <v>487.53107370866752</v>
      </c>
      <c r="AJ23">
        <v>437.382903030303</v>
      </c>
      <c r="AK23">
        <v>6.7968713612443499E-2</v>
      </c>
      <c r="AL23">
        <v>67.088219463935104</v>
      </c>
      <c r="AM23">
        <f t="shared" si="26"/>
        <v>5.8692415617954881</v>
      </c>
      <c r="AN23">
        <v>33.352919148659552</v>
      </c>
      <c r="AO23">
        <v>40.104591515151519</v>
      </c>
      <c r="AP23">
        <v>1.416891236128729E-3</v>
      </c>
      <c r="AQ23">
        <v>78.240156196924602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50107.99686869618</v>
      </c>
      <c r="AW23" t="s">
        <v>784</v>
      </c>
      <c r="AX23">
        <v>5111.59</v>
      </c>
      <c r="AY23">
        <v>546.33823529411768</v>
      </c>
      <c r="AZ23">
        <v>2461.83</v>
      </c>
      <c r="BA23">
        <f t="shared" si="30"/>
        <v>0.77807637599098323</v>
      </c>
      <c r="BB23">
        <v>-4.5166359946861352</v>
      </c>
      <c r="BC23" t="s">
        <v>809</v>
      </c>
      <c r="BD23">
        <v>5111.1499999999996</v>
      </c>
      <c r="BE23">
        <v>742.8770588235293</v>
      </c>
      <c r="BF23">
        <v>1422.62</v>
      </c>
      <c r="BG23">
        <f t="shared" si="31"/>
        <v>0.47781061785752388</v>
      </c>
      <c r="BH23">
        <v>0.5</v>
      </c>
      <c r="BI23">
        <f t="shared" si="32"/>
        <v>672.314640488907</v>
      </c>
      <c r="BJ23">
        <f t="shared" si="33"/>
        <v>40.142992210866502</v>
      </c>
      <c r="BK23">
        <f t="shared" si="34"/>
        <v>160.61953688333185</v>
      </c>
      <c r="BL23">
        <f t="shared" si="35"/>
        <v>6.6426678099819697E-2</v>
      </c>
      <c r="BM23">
        <f t="shared" si="36"/>
        <v>0.73049022226596005</v>
      </c>
      <c r="BN23">
        <f t="shared" si="37"/>
        <v>470.12486539440624</v>
      </c>
      <c r="BO23" t="s">
        <v>407</v>
      </c>
      <c r="BP23">
        <v>0</v>
      </c>
      <c r="BQ23">
        <f t="shared" si="38"/>
        <v>470.12486539440624</v>
      </c>
      <c r="BR23">
        <f t="shared" si="39"/>
        <v>0.66953588070292391</v>
      </c>
      <c r="BS23">
        <f t="shared" si="40"/>
        <v>0.71364452843944082</v>
      </c>
      <c r="BT23">
        <f t="shared" si="41"/>
        <v>0.52176900181852925</v>
      </c>
      <c r="BU23">
        <f t="shared" si="42"/>
        <v>0.77571275422423236</v>
      </c>
      <c r="BV23">
        <f t="shared" si="43"/>
        <v>0.54252908790739041</v>
      </c>
      <c r="BW23">
        <f t="shared" si="44"/>
        <v>0.45162525062137537</v>
      </c>
      <c r="BX23">
        <f t="shared" si="45"/>
        <v>0.54837474937862463</v>
      </c>
      <c r="DG23">
        <f t="shared" si="46"/>
        <v>800.00600000000009</v>
      </c>
      <c r="DH23">
        <f t="shared" si="47"/>
        <v>672.314640488907</v>
      </c>
      <c r="DI23">
        <f t="shared" si="48"/>
        <v>0.84038699770865088</v>
      </c>
      <c r="DJ23">
        <f t="shared" si="49"/>
        <v>0.16034690557769651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1736194709.349999</v>
      </c>
      <c r="DQ23">
        <v>419.93140000000011</v>
      </c>
      <c r="DR23">
        <v>471.05273333333332</v>
      </c>
      <c r="DS23">
        <v>40.096826666666672</v>
      </c>
      <c r="DT23">
        <v>33.345276666666663</v>
      </c>
      <c r="DU23">
        <v>424.7319</v>
      </c>
      <c r="DV23">
        <v>39.590609999999991</v>
      </c>
      <c r="DW23">
        <v>500.04023333333339</v>
      </c>
      <c r="DX23">
        <v>97.524203333333332</v>
      </c>
      <c r="DY23">
        <v>5.004891333333332E-2</v>
      </c>
      <c r="DZ23">
        <v>35.94864333333333</v>
      </c>
      <c r="EA23">
        <v>35.304473333333341</v>
      </c>
      <c r="EB23">
        <v>999.9000000000002</v>
      </c>
      <c r="EC23">
        <v>0</v>
      </c>
      <c r="ED23">
        <v>0</v>
      </c>
      <c r="EE23">
        <v>10007</v>
      </c>
      <c r="EF23">
        <v>0</v>
      </c>
      <c r="EG23">
        <v>661.69726666666645</v>
      </c>
      <c r="EH23">
        <v>-51.121429999999997</v>
      </c>
      <c r="EI23">
        <v>437.47269999999997</v>
      </c>
      <c r="EJ23">
        <v>487.30203333333338</v>
      </c>
      <c r="EK23">
        <v>6.7515486666666673</v>
      </c>
      <c r="EL23">
        <v>471.05273333333332</v>
      </c>
      <c r="EM23">
        <v>33.345276666666663</v>
      </c>
      <c r="EN23">
        <v>3.9104103333333331</v>
      </c>
      <c r="EO23">
        <v>3.2519703333333339</v>
      </c>
      <c r="EP23">
        <v>28.515596666666671</v>
      </c>
      <c r="EQ23">
        <v>25.377623333333339</v>
      </c>
      <c r="ER23">
        <v>800.00600000000009</v>
      </c>
      <c r="ES23">
        <v>0.98701700000000037</v>
      </c>
      <c r="ET23">
        <v>1.2982799999999999E-2</v>
      </c>
      <c r="EU23">
        <v>0</v>
      </c>
      <c r="EV23">
        <v>743.02576666666675</v>
      </c>
      <c r="EW23">
        <v>5.0010700000000003</v>
      </c>
      <c r="EX23">
        <v>9588.7710000000006</v>
      </c>
      <c r="EY23">
        <v>7246.7223333333322</v>
      </c>
      <c r="EZ23">
        <v>42.597699999999989</v>
      </c>
      <c r="FA23">
        <v>45.125</v>
      </c>
      <c r="FB23">
        <v>44</v>
      </c>
      <c r="FC23">
        <v>44.889466666666657</v>
      </c>
      <c r="FD23">
        <v>44.870800000000003</v>
      </c>
      <c r="FE23">
        <v>784.68366666666645</v>
      </c>
      <c r="FF23">
        <v>10.32</v>
      </c>
      <c r="FG23">
        <v>0</v>
      </c>
      <c r="FH23">
        <v>142</v>
      </c>
      <c r="FI23">
        <v>0</v>
      </c>
      <c r="FJ23">
        <v>742.8770588235293</v>
      </c>
      <c r="FK23">
        <v>-2.6352941413940778</v>
      </c>
      <c r="FL23">
        <v>337.64705980229348</v>
      </c>
      <c r="FM23">
        <v>9586.3170588235298</v>
      </c>
      <c r="FN23">
        <v>10</v>
      </c>
      <c r="FO23">
        <v>1736194675.0999999</v>
      </c>
      <c r="FP23" t="s">
        <v>810</v>
      </c>
      <c r="FQ23">
        <v>1736194673.0999999</v>
      </c>
      <c r="FR23">
        <v>1736194675.0999999</v>
      </c>
      <c r="FS23">
        <v>41</v>
      </c>
      <c r="FT23">
        <v>0.112</v>
      </c>
      <c r="FU23">
        <v>-7.0000000000000001E-3</v>
      </c>
      <c r="FV23">
        <v>-4.8010000000000002</v>
      </c>
      <c r="FW23">
        <v>0.30299999999999999</v>
      </c>
      <c r="FX23">
        <v>472</v>
      </c>
      <c r="FY23">
        <v>33</v>
      </c>
      <c r="FZ23">
        <v>0.15</v>
      </c>
      <c r="GA23">
        <v>0.05</v>
      </c>
      <c r="GB23">
        <v>-51.186887499999997</v>
      </c>
      <c r="GC23">
        <v>-0.22832983114433381</v>
      </c>
      <c r="GD23">
        <v>0.39168661528542198</v>
      </c>
      <c r="GE23">
        <v>1</v>
      </c>
      <c r="GF23">
        <v>743.11799999999994</v>
      </c>
      <c r="GG23">
        <v>-2.0840641677657938</v>
      </c>
      <c r="GH23">
        <v>0.28667023481591558</v>
      </c>
      <c r="GI23">
        <v>1</v>
      </c>
      <c r="GJ23">
        <v>6.7619100000000003</v>
      </c>
      <c r="GK23">
        <v>-0.1652890806754391</v>
      </c>
      <c r="GL23">
        <v>1.8913427373165401E-2</v>
      </c>
      <c r="GM23">
        <v>1</v>
      </c>
      <c r="GN23">
        <v>3</v>
      </c>
      <c r="GO23">
        <v>3</v>
      </c>
      <c r="GP23" t="s">
        <v>599</v>
      </c>
      <c r="GQ23">
        <v>3.1340400000000002</v>
      </c>
      <c r="GR23">
        <v>2.7263799999999998</v>
      </c>
      <c r="GS23">
        <v>9.0736200000000003E-2</v>
      </c>
      <c r="GT23">
        <v>9.8876699999999998E-2</v>
      </c>
      <c r="GU23">
        <v>0.15704099999999999</v>
      </c>
      <c r="GV23">
        <v>0.13989399999999999</v>
      </c>
      <c r="GW23">
        <v>22723.9</v>
      </c>
      <c r="GX23">
        <v>30304.7</v>
      </c>
      <c r="GY23">
        <v>27118.7</v>
      </c>
      <c r="GZ23">
        <v>34595.9</v>
      </c>
      <c r="HA23">
        <v>33500.199999999997</v>
      </c>
      <c r="HB23">
        <v>38027.1</v>
      </c>
      <c r="HC23">
        <v>40050.199999999997</v>
      </c>
      <c r="HD23">
        <v>44285.8</v>
      </c>
      <c r="HE23">
        <v>1.9488000000000001</v>
      </c>
      <c r="HF23">
        <v>1.7265999999999999</v>
      </c>
      <c r="HG23">
        <v>3.0904999999999998E-2</v>
      </c>
      <c r="HH23">
        <v>0</v>
      </c>
      <c r="HI23">
        <v>34.817399999999999</v>
      </c>
      <c r="HJ23">
        <v>999.9</v>
      </c>
      <c r="HK23">
        <v>54.4</v>
      </c>
      <c r="HL23">
        <v>39.700000000000003</v>
      </c>
      <c r="HM23">
        <v>40.693199999999997</v>
      </c>
      <c r="HN23">
        <v>59.3902</v>
      </c>
      <c r="HO23">
        <v>7.0833399999999997</v>
      </c>
      <c r="HP23">
        <v>1</v>
      </c>
      <c r="HQ23">
        <v>0.71138199999999996</v>
      </c>
      <c r="HR23">
        <v>0</v>
      </c>
      <c r="HS23">
        <v>20.285399999999999</v>
      </c>
      <c r="HT23">
        <v>5.2112999999999996</v>
      </c>
      <c r="HU23">
        <v>11.908099999999999</v>
      </c>
      <c r="HV23">
        <v>4.984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1.8674299999999999</v>
      </c>
      <c r="IC23">
        <v>1.8631</v>
      </c>
      <c r="ID23">
        <v>1.8625499999999999</v>
      </c>
      <c r="IE23">
        <v>1.86206</v>
      </c>
      <c r="IF23">
        <v>1.86206</v>
      </c>
      <c r="IG23">
        <v>1.86273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-4.8010000000000002</v>
      </c>
      <c r="IX23">
        <v>0.50639999999999996</v>
      </c>
      <c r="IY23">
        <v>-4.8005714285714021</v>
      </c>
      <c r="IZ23">
        <v>0</v>
      </c>
      <c r="JA23">
        <v>0</v>
      </c>
      <c r="JB23">
        <v>0</v>
      </c>
      <c r="JC23">
        <v>-0.35228172357362819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0.7</v>
      </c>
      <c r="JL23">
        <v>0.7</v>
      </c>
      <c r="JM23">
        <v>1.1987300000000001</v>
      </c>
      <c r="JN23">
        <v>2.5476100000000002</v>
      </c>
      <c r="JO23">
        <v>1.50024</v>
      </c>
      <c r="JP23">
        <v>2.2741699999999998</v>
      </c>
      <c r="JQ23">
        <v>1.4477500000000001</v>
      </c>
      <c r="JR23">
        <v>2.3791500000000001</v>
      </c>
      <c r="JS23">
        <v>43.8917</v>
      </c>
      <c r="JT23">
        <v>14.7362</v>
      </c>
      <c r="JU23">
        <v>18</v>
      </c>
      <c r="JV23">
        <v>548.69299999999998</v>
      </c>
      <c r="JW23">
        <v>416.53899999999999</v>
      </c>
      <c r="JX23">
        <v>35.450899999999997</v>
      </c>
      <c r="JY23">
        <v>36.0306</v>
      </c>
      <c r="JZ23">
        <v>30.000399999999999</v>
      </c>
      <c r="KA23">
        <v>35.878100000000003</v>
      </c>
      <c r="KB23">
        <v>35.8264</v>
      </c>
      <c r="KC23">
        <v>23.979199999999999</v>
      </c>
      <c r="KD23">
        <v>30.6541</v>
      </c>
      <c r="KE23">
        <v>35.196199999999997</v>
      </c>
      <c r="KF23">
        <v>-999.9</v>
      </c>
      <c r="KG23">
        <v>471.32799999999997</v>
      </c>
      <c r="KH23">
        <v>33.289200000000001</v>
      </c>
      <c r="KI23">
        <v>100.092</v>
      </c>
      <c r="KJ23">
        <v>99.249899999999997</v>
      </c>
    </row>
    <row r="24" spans="1:296" x14ac:dyDescent="0.3">
      <c r="A24">
        <v>8</v>
      </c>
      <c r="B24">
        <v>1736194898.0999999</v>
      </c>
      <c r="C24">
        <v>1077.099999904633</v>
      </c>
      <c r="D24" t="s">
        <v>811</v>
      </c>
      <c r="E24" t="s">
        <v>812</v>
      </c>
      <c r="F24">
        <v>15</v>
      </c>
      <c r="H24">
        <v>1736194890.349999</v>
      </c>
      <c r="I24">
        <f t="shared" si="0"/>
        <v>5.3548154631994829E-3</v>
      </c>
      <c r="J24">
        <f t="shared" si="1"/>
        <v>5.3548154631994827</v>
      </c>
      <c r="K24">
        <f t="shared" si="2"/>
        <v>31.42131469050813</v>
      </c>
      <c r="L24">
        <f t="shared" si="3"/>
        <v>419.9351333333334</v>
      </c>
      <c r="M24">
        <f t="shared" si="4"/>
        <v>221.41286357386437</v>
      </c>
      <c r="N24">
        <f t="shared" si="5"/>
        <v>21.604233050094845</v>
      </c>
      <c r="O24">
        <f t="shared" si="6"/>
        <v>40.97492955023997</v>
      </c>
      <c r="P24">
        <f t="shared" si="7"/>
        <v>0.27933287696058978</v>
      </c>
      <c r="Q24">
        <f t="shared" si="8"/>
        <v>2.8863456089366641</v>
      </c>
      <c r="R24">
        <f t="shared" si="9"/>
        <v>0.26513654500773887</v>
      </c>
      <c r="S24">
        <f t="shared" si="10"/>
        <v>0.16692567950298104</v>
      </c>
      <c r="T24">
        <f t="shared" si="11"/>
        <v>96.34445140103</v>
      </c>
      <c r="U24">
        <f t="shared" si="12"/>
        <v>35.273640338496364</v>
      </c>
      <c r="V24">
        <f t="shared" si="13"/>
        <v>35.530663333333322</v>
      </c>
      <c r="W24">
        <f t="shared" si="14"/>
        <v>5.8164913660892141</v>
      </c>
      <c r="X24">
        <f t="shared" si="15"/>
        <v>65.706661464207386</v>
      </c>
      <c r="Y24">
        <f t="shared" si="16"/>
        <v>3.9444025837639312</v>
      </c>
      <c r="Z24">
        <f t="shared" si="17"/>
        <v>6.0030482387430064</v>
      </c>
      <c r="AA24">
        <f t="shared" si="18"/>
        <v>1.872088782325283</v>
      </c>
      <c r="AB24">
        <f t="shared" si="19"/>
        <v>-236.14736192709719</v>
      </c>
      <c r="AC24">
        <f t="shared" si="20"/>
        <v>89.238456899681125</v>
      </c>
      <c r="AD24">
        <f t="shared" si="21"/>
        <v>7.2781433120549428</v>
      </c>
      <c r="AE24">
        <f t="shared" si="22"/>
        <v>-43.286310314331132</v>
      </c>
      <c r="AF24">
        <f t="shared" si="23"/>
        <v>31.42131469050813</v>
      </c>
      <c r="AG24">
        <f t="shared" si="24"/>
        <v>5.3548154631994827</v>
      </c>
      <c r="AH24">
        <f t="shared" si="25"/>
        <v>31.287405265465182</v>
      </c>
      <c r="AI24">
        <v>476.62243343622902</v>
      </c>
      <c r="AJ24">
        <v>437.75383030303033</v>
      </c>
      <c r="AK24">
        <v>-1.276861291892601E-3</v>
      </c>
      <c r="AL24">
        <v>67.087768438643209</v>
      </c>
      <c r="AM24">
        <f t="shared" si="26"/>
        <v>5.4245802169916431</v>
      </c>
      <c r="AN24">
        <v>34.150931891166302</v>
      </c>
      <c r="AO24">
        <v>40.395875151515128</v>
      </c>
      <c r="AP24">
        <v>2.2411256375169051E-4</v>
      </c>
      <c r="AQ24">
        <v>78.239680450833262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50065.542195495924</v>
      </c>
      <c r="AW24" t="s">
        <v>784</v>
      </c>
      <c r="AX24">
        <v>5111.59</v>
      </c>
      <c r="AY24">
        <v>546.33823529411768</v>
      </c>
      <c r="AZ24">
        <v>2461.83</v>
      </c>
      <c r="BA24">
        <f t="shared" si="30"/>
        <v>0.77807637599098323</v>
      </c>
      <c r="BB24">
        <v>-4.5166359946861352</v>
      </c>
      <c r="BC24" t="s">
        <v>813</v>
      </c>
      <c r="BD24">
        <v>5111.9399999999996</v>
      </c>
      <c r="BE24">
        <v>721.00058823529412</v>
      </c>
      <c r="BF24">
        <v>1535.73</v>
      </c>
      <c r="BG24">
        <f t="shared" si="31"/>
        <v>0.53051604889186632</v>
      </c>
      <c r="BH24">
        <v>0.5</v>
      </c>
      <c r="BI24">
        <f t="shared" si="32"/>
        <v>504.29845743058547</v>
      </c>
      <c r="BJ24">
        <f t="shared" si="33"/>
        <v>31.42131469050813</v>
      </c>
      <c r="BK24">
        <f t="shared" si="34"/>
        <v>133.76921254916863</v>
      </c>
      <c r="BL24">
        <f t="shared" si="35"/>
        <v>7.1263257215378198E-2</v>
      </c>
      <c r="BM24">
        <f t="shared" si="36"/>
        <v>0.60303568986735945</v>
      </c>
      <c r="BN24">
        <f t="shared" si="37"/>
        <v>481.85289127268766</v>
      </c>
      <c r="BO24" t="s">
        <v>407</v>
      </c>
      <c r="BP24">
        <v>0</v>
      </c>
      <c r="BQ24">
        <f t="shared" si="38"/>
        <v>481.85289127268766</v>
      </c>
      <c r="BR24">
        <f t="shared" si="39"/>
        <v>0.68623853719554373</v>
      </c>
      <c r="BS24">
        <f t="shared" si="40"/>
        <v>0.77307819385942722</v>
      </c>
      <c r="BT24">
        <f t="shared" si="41"/>
        <v>0.4677326803011766</v>
      </c>
      <c r="BU24">
        <f t="shared" si="42"/>
        <v>0.8234649214074482</v>
      </c>
      <c r="BV24">
        <f t="shared" si="43"/>
        <v>0.48347897759936315</v>
      </c>
      <c r="BW24">
        <f t="shared" si="44"/>
        <v>0.51665694726099998</v>
      </c>
      <c r="BX24">
        <f t="shared" si="45"/>
        <v>0.48334305273900002</v>
      </c>
      <c r="DG24">
        <f t="shared" si="46"/>
        <v>599.99423333333334</v>
      </c>
      <c r="DH24">
        <f t="shared" si="47"/>
        <v>504.29845743058547</v>
      </c>
      <c r="DI24">
        <f t="shared" si="48"/>
        <v>0.84050550724279538</v>
      </c>
      <c r="DJ24">
        <f t="shared" si="49"/>
        <v>0.16057562897859518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1736194890.349999</v>
      </c>
      <c r="DQ24">
        <v>419.9351333333334</v>
      </c>
      <c r="DR24">
        <v>460.3374</v>
      </c>
      <c r="DS24">
        <v>40.424553333333321</v>
      </c>
      <c r="DT24">
        <v>34.258796666666662</v>
      </c>
      <c r="DU24">
        <v>424.73140000000012</v>
      </c>
      <c r="DV24">
        <v>39.923896666666671</v>
      </c>
      <c r="DW24">
        <v>500.02130000000011</v>
      </c>
      <c r="DX24">
        <v>97.523330000000016</v>
      </c>
      <c r="DY24">
        <v>5.1095900000000007E-2</v>
      </c>
      <c r="DZ24">
        <v>36.10414333333334</v>
      </c>
      <c r="EA24">
        <v>35.530663333333322</v>
      </c>
      <c r="EB24">
        <v>999.9000000000002</v>
      </c>
      <c r="EC24">
        <v>0</v>
      </c>
      <c r="ED24">
        <v>0</v>
      </c>
      <c r="EE24">
        <v>10003.5</v>
      </c>
      <c r="EF24">
        <v>0</v>
      </c>
      <c r="EG24">
        <v>483.74093333333337</v>
      </c>
      <c r="EH24">
        <v>-40.402216666666668</v>
      </c>
      <c r="EI24">
        <v>437.62596666666661</v>
      </c>
      <c r="EJ24">
        <v>476.66743333333329</v>
      </c>
      <c r="EK24">
        <v>6.1657543333333349</v>
      </c>
      <c r="EL24">
        <v>460.3374</v>
      </c>
      <c r="EM24">
        <v>34.258796666666662</v>
      </c>
      <c r="EN24">
        <v>3.9423376666666661</v>
      </c>
      <c r="EO24">
        <v>3.341031333333333</v>
      </c>
      <c r="EP24">
        <v>28.655686666666671</v>
      </c>
      <c r="EQ24">
        <v>25.832826666666669</v>
      </c>
      <c r="ER24">
        <v>599.99423333333334</v>
      </c>
      <c r="ES24">
        <v>0.98300419999999999</v>
      </c>
      <c r="ET24">
        <v>1.699606666666666E-2</v>
      </c>
      <c r="EU24">
        <v>0</v>
      </c>
      <c r="EV24">
        <v>721.16390000000013</v>
      </c>
      <c r="EW24">
        <v>5.0010700000000003</v>
      </c>
      <c r="EX24">
        <v>7671.148000000001</v>
      </c>
      <c r="EY24">
        <v>5415.0666666666657</v>
      </c>
      <c r="EZ24">
        <v>42.316199999999981</v>
      </c>
      <c r="FA24">
        <v>45.186999999999983</v>
      </c>
      <c r="FB24">
        <v>43.932866666666641</v>
      </c>
      <c r="FC24">
        <v>45.012399999999992</v>
      </c>
      <c r="FD24">
        <v>44.75</v>
      </c>
      <c r="FE24">
        <v>584.88033333333328</v>
      </c>
      <c r="FF24">
        <v>10.11</v>
      </c>
      <c r="FG24">
        <v>0</v>
      </c>
      <c r="FH24">
        <v>180.39999985694891</v>
      </c>
      <c r="FI24">
        <v>0</v>
      </c>
      <c r="FJ24">
        <v>721.00058823529412</v>
      </c>
      <c r="FK24">
        <v>-2.3387254736269578</v>
      </c>
      <c r="FL24">
        <v>-1052.426474165015</v>
      </c>
      <c r="FM24">
        <v>7628.5529411764701</v>
      </c>
      <c r="FN24">
        <v>10</v>
      </c>
      <c r="FO24">
        <v>1736194845.0999999</v>
      </c>
      <c r="FP24" t="s">
        <v>814</v>
      </c>
      <c r="FQ24">
        <v>1736194843.0999999</v>
      </c>
      <c r="FR24">
        <v>1736194845.0999999</v>
      </c>
      <c r="FS24">
        <v>42</v>
      </c>
      <c r="FT24">
        <v>4.0000000000000001E-3</v>
      </c>
      <c r="FU24">
        <v>-1.6E-2</v>
      </c>
      <c r="FV24">
        <v>-4.7960000000000003</v>
      </c>
      <c r="FW24">
        <v>0.309</v>
      </c>
      <c r="FX24">
        <v>461</v>
      </c>
      <c r="FY24">
        <v>34</v>
      </c>
      <c r="FZ24">
        <v>0.2</v>
      </c>
      <c r="GA24">
        <v>0.06</v>
      </c>
      <c r="GB24">
        <v>-40.328592499999999</v>
      </c>
      <c r="GC24">
        <v>-0.74518536585366879</v>
      </c>
      <c r="GD24">
        <v>0.18748700139943039</v>
      </c>
      <c r="GE24">
        <v>1</v>
      </c>
      <c r="GF24">
        <v>721.31411764705899</v>
      </c>
      <c r="GG24">
        <v>-2.555966380719739</v>
      </c>
      <c r="GH24">
        <v>0.29729444353900802</v>
      </c>
      <c r="GI24">
        <v>1</v>
      </c>
      <c r="GJ24">
        <v>6.1562625000000004</v>
      </c>
      <c r="GK24">
        <v>0.42014341463413463</v>
      </c>
      <c r="GL24">
        <v>7.920838777395986E-2</v>
      </c>
      <c r="GM24">
        <v>1</v>
      </c>
      <c r="GN24">
        <v>3</v>
      </c>
      <c r="GO24">
        <v>3</v>
      </c>
      <c r="GP24" t="s">
        <v>599</v>
      </c>
      <c r="GQ24">
        <v>3.13428</v>
      </c>
      <c r="GR24">
        <v>2.72384</v>
      </c>
      <c r="GS24">
        <v>9.0711799999999995E-2</v>
      </c>
      <c r="GT24">
        <v>9.7101300000000001E-2</v>
      </c>
      <c r="GU24">
        <v>0.15774299999999999</v>
      </c>
      <c r="GV24">
        <v>0.14190900000000001</v>
      </c>
      <c r="GW24">
        <v>22715.200000000001</v>
      </c>
      <c r="GX24">
        <v>30352.1</v>
      </c>
      <c r="GY24">
        <v>27108.7</v>
      </c>
      <c r="GZ24">
        <v>34583.5</v>
      </c>
      <c r="HA24">
        <v>33462.5</v>
      </c>
      <c r="HB24">
        <v>37928.5</v>
      </c>
      <c r="HC24">
        <v>40035.4</v>
      </c>
      <c r="HD24">
        <v>44273.599999999999</v>
      </c>
      <c r="HE24">
        <v>1.9474</v>
      </c>
      <c r="HF24">
        <v>1.7202</v>
      </c>
      <c r="HG24">
        <v>2.9385100000000001E-2</v>
      </c>
      <c r="HH24">
        <v>0</v>
      </c>
      <c r="HI24">
        <v>35.089199999999998</v>
      </c>
      <c r="HJ24">
        <v>999.9</v>
      </c>
      <c r="HK24">
        <v>54.3</v>
      </c>
      <c r="HL24">
        <v>39.9</v>
      </c>
      <c r="HM24">
        <v>41.055300000000003</v>
      </c>
      <c r="HN24">
        <v>59.770200000000003</v>
      </c>
      <c r="HO24">
        <v>7.1113799999999996</v>
      </c>
      <c r="HP24">
        <v>1</v>
      </c>
      <c r="HQ24">
        <v>0.73195100000000002</v>
      </c>
      <c r="HR24">
        <v>0</v>
      </c>
      <c r="HS24">
        <v>20.284800000000001</v>
      </c>
      <c r="HT24">
        <v>5.1921299999999997</v>
      </c>
      <c r="HU24">
        <v>11.908099999999999</v>
      </c>
      <c r="HV24">
        <v>4.9787999999999997</v>
      </c>
      <c r="HW24">
        <v>3.2677999999999998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</v>
      </c>
      <c r="ID24">
        <v>1.8625499999999999</v>
      </c>
      <c r="IE24">
        <v>1.86215</v>
      </c>
      <c r="IF24">
        <v>1.8621799999999999</v>
      </c>
      <c r="IG24">
        <v>1.86276</v>
      </c>
      <c r="IH24">
        <v>1.8636200000000001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-4.7960000000000003</v>
      </c>
      <c r="IX24">
        <v>0.4995</v>
      </c>
      <c r="IY24">
        <v>-4.7961999999998284</v>
      </c>
      <c r="IZ24">
        <v>0</v>
      </c>
      <c r="JA24">
        <v>0</v>
      </c>
      <c r="JB24">
        <v>0</v>
      </c>
      <c r="JC24">
        <v>-0.36788674650546371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0.9</v>
      </c>
      <c r="JL24">
        <v>0.9</v>
      </c>
      <c r="JM24">
        <v>1.17676</v>
      </c>
      <c r="JN24">
        <v>2.5488300000000002</v>
      </c>
      <c r="JO24">
        <v>1.50024</v>
      </c>
      <c r="JP24">
        <v>2.2741699999999998</v>
      </c>
      <c r="JQ24">
        <v>1.4477500000000001</v>
      </c>
      <c r="JR24">
        <v>2.4108900000000002</v>
      </c>
      <c r="JS24">
        <v>44.223199999999999</v>
      </c>
      <c r="JT24">
        <v>14.709899999999999</v>
      </c>
      <c r="JU24">
        <v>18</v>
      </c>
      <c r="JV24">
        <v>549.61199999999997</v>
      </c>
      <c r="JW24">
        <v>414.077</v>
      </c>
      <c r="JX24">
        <v>35.736499999999999</v>
      </c>
      <c r="JY24">
        <v>36.285899999999998</v>
      </c>
      <c r="JZ24">
        <v>30.000900000000001</v>
      </c>
      <c r="KA24">
        <v>36.110399999999998</v>
      </c>
      <c r="KB24">
        <v>36.057499999999997</v>
      </c>
      <c r="KC24">
        <v>23.536999999999999</v>
      </c>
      <c r="KD24">
        <v>30.075500000000002</v>
      </c>
      <c r="KE24">
        <v>35.593899999999998</v>
      </c>
      <c r="KF24">
        <v>-999.9</v>
      </c>
      <c r="KG24">
        <v>460.31200000000001</v>
      </c>
      <c r="KH24">
        <v>34.255099999999999</v>
      </c>
      <c r="KI24">
        <v>100.05500000000001</v>
      </c>
      <c r="KJ24">
        <v>99.219099999999997</v>
      </c>
    </row>
    <row r="25" spans="1:296" x14ac:dyDescent="0.3">
      <c r="A25">
        <v>9</v>
      </c>
      <c r="B25">
        <v>1736195020.5999999</v>
      </c>
      <c r="C25">
        <v>1199.599999904633</v>
      </c>
      <c r="D25" t="s">
        <v>815</v>
      </c>
      <c r="E25" t="s">
        <v>816</v>
      </c>
      <c r="F25">
        <v>15</v>
      </c>
      <c r="H25">
        <v>1736195012.849999</v>
      </c>
      <c r="I25">
        <f t="shared" si="0"/>
        <v>4.449322166122263E-3</v>
      </c>
      <c r="J25">
        <f t="shared" si="1"/>
        <v>4.4493221661222631</v>
      </c>
      <c r="K25">
        <f t="shared" si="2"/>
        <v>20.893556570402538</v>
      </c>
      <c r="L25">
        <f t="shared" si="3"/>
        <v>420.20263333333338</v>
      </c>
      <c r="M25">
        <f t="shared" si="4"/>
        <v>258.14643484816679</v>
      </c>
      <c r="N25">
        <f t="shared" si="5"/>
        <v>25.188698977603991</v>
      </c>
      <c r="O25">
        <f t="shared" si="6"/>
        <v>41.001370585866155</v>
      </c>
      <c r="P25">
        <f t="shared" si="7"/>
        <v>0.22952942118117403</v>
      </c>
      <c r="Q25">
        <f t="shared" si="8"/>
        <v>2.8853351687903057</v>
      </c>
      <c r="R25">
        <f t="shared" si="9"/>
        <v>0.21984656057475147</v>
      </c>
      <c r="S25">
        <f t="shared" si="10"/>
        <v>0.13824002754925335</v>
      </c>
      <c r="T25">
        <f t="shared" si="11"/>
        <v>64.411961006569825</v>
      </c>
      <c r="U25">
        <f t="shared" si="12"/>
        <v>35.224657736766481</v>
      </c>
      <c r="V25">
        <f t="shared" si="13"/>
        <v>35.423413333333343</v>
      </c>
      <c r="W25">
        <f t="shared" si="14"/>
        <v>5.7821671529459948</v>
      </c>
      <c r="X25">
        <f t="shared" si="15"/>
        <v>65.402453388404794</v>
      </c>
      <c r="Y25">
        <f t="shared" si="16"/>
        <v>3.9054399886973732</v>
      </c>
      <c r="Z25">
        <f t="shared" si="17"/>
        <v>5.9713967693294041</v>
      </c>
      <c r="AA25">
        <f t="shared" si="18"/>
        <v>1.8767271642486216</v>
      </c>
      <c r="AB25">
        <f t="shared" si="19"/>
        <v>-196.21510752599181</v>
      </c>
      <c r="AC25">
        <f t="shared" si="20"/>
        <v>90.926608972441556</v>
      </c>
      <c r="AD25">
        <f t="shared" si="21"/>
        <v>7.4110951215005292</v>
      </c>
      <c r="AE25">
        <f t="shared" si="22"/>
        <v>-33.465442425479907</v>
      </c>
      <c r="AF25">
        <f t="shared" si="23"/>
        <v>20.893556570402538</v>
      </c>
      <c r="AG25">
        <f t="shared" si="24"/>
        <v>4.4493221661222631</v>
      </c>
      <c r="AH25">
        <f t="shared" si="25"/>
        <v>20.882432014207204</v>
      </c>
      <c r="AI25">
        <v>463.81174967142761</v>
      </c>
      <c r="AJ25">
        <v>437.79718181818151</v>
      </c>
      <c r="AK25">
        <v>9.7521308198703065E-3</v>
      </c>
      <c r="AL25">
        <v>67.087768438643209</v>
      </c>
      <c r="AM25">
        <f t="shared" si="26"/>
        <v>4.5754858922044628</v>
      </c>
      <c r="AN25">
        <v>34.92417529017208</v>
      </c>
      <c r="AO25">
        <v>40.195410303030293</v>
      </c>
      <c r="AP25">
        <v>-2.3275091194364871E-4</v>
      </c>
      <c r="AQ25">
        <v>78.239680450833262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50053.310097073052</v>
      </c>
      <c r="AW25" t="s">
        <v>784</v>
      </c>
      <c r="AX25">
        <v>5111.59</v>
      </c>
      <c r="AY25">
        <v>546.33823529411768</v>
      </c>
      <c r="AZ25">
        <v>2461.83</v>
      </c>
      <c r="BA25">
        <f t="shared" si="30"/>
        <v>0.77807637599098323</v>
      </c>
      <c r="BB25">
        <v>-4.5166359946861352</v>
      </c>
      <c r="BC25" t="s">
        <v>817</v>
      </c>
      <c r="BD25">
        <v>5112.8999999999996</v>
      </c>
      <c r="BE25">
        <v>705.53188235294112</v>
      </c>
      <c r="BF25">
        <v>1656.51</v>
      </c>
      <c r="BG25">
        <f t="shared" si="31"/>
        <v>0.57408534669097011</v>
      </c>
      <c r="BH25">
        <v>0.5</v>
      </c>
      <c r="BI25">
        <f t="shared" si="32"/>
        <v>336.29867525729014</v>
      </c>
      <c r="BJ25">
        <f t="shared" si="33"/>
        <v>20.893556570402538</v>
      </c>
      <c r="BK25">
        <f t="shared" si="34"/>
        <v>96.532070788397689</v>
      </c>
      <c r="BL25">
        <f t="shared" si="35"/>
        <v>7.5558408149090206E-2</v>
      </c>
      <c r="BM25">
        <f t="shared" si="36"/>
        <v>0.48615462629262723</v>
      </c>
      <c r="BN25">
        <f t="shared" si="37"/>
        <v>493.13436490061758</v>
      </c>
      <c r="BO25" t="s">
        <v>407</v>
      </c>
      <c r="BP25">
        <v>0</v>
      </c>
      <c r="BQ25">
        <f t="shared" si="38"/>
        <v>493.13436490061758</v>
      </c>
      <c r="BR25">
        <f t="shared" si="39"/>
        <v>0.70230522912592286</v>
      </c>
      <c r="BS25">
        <f t="shared" si="40"/>
        <v>0.81742997614508295</v>
      </c>
      <c r="BT25">
        <f t="shared" si="41"/>
        <v>0.40906272439586444</v>
      </c>
      <c r="BU25">
        <f t="shared" si="42"/>
        <v>0.8566044893953878</v>
      </c>
      <c r="BV25">
        <f t="shared" si="43"/>
        <v>0.42042467362090397</v>
      </c>
      <c r="BW25">
        <f t="shared" si="44"/>
        <v>0.57134599047840184</v>
      </c>
      <c r="BX25">
        <f t="shared" si="45"/>
        <v>0.42865400952159816</v>
      </c>
      <c r="DG25">
        <f t="shared" si="46"/>
        <v>400.00306666666683</v>
      </c>
      <c r="DH25">
        <f t="shared" si="47"/>
        <v>336.29867525729014</v>
      </c>
      <c r="DI25">
        <f t="shared" si="48"/>
        <v>0.84074024246803281</v>
      </c>
      <c r="DJ25">
        <f t="shared" si="49"/>
        <v>0.16102866796330345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1736195012.849999</v>
      </c>
      <c r="DQ25">
        <v>420.20263333333338</v>
      </c>
      <c r="DR25">
        <v>447.51826666666659</v>
      </c>
      <c r="DS25">
        <v>40.024909999999998</v>
      </c>
      <c r="DT25">
        <v>34.899456666666673</v>
      </c>
      <c r="DU25">
        <v>424.99883333333338</v>
      </c>
      <c r="DV25">
        <v>39.70391</v>
      </c>
      <c r="DW25">
        <v>500.00319999999988</v>
      </c>
      <c r="DX25">
        <v>97.526823333333326</v>
      </c>
      <c r="DY25">
        <v>4.8411406666666663E-2</v>
      </c>
      <c r="DZ25">
        <v>36.007946666666683</v>
      </c>
      <c r="EA25">
        <v>35.423413333333343</v>
      </c>
      <c r="EB25">
        <v>999.9000000000002</v>
      </c>
      <c r="EC25">
        <v>0</v>
      </c>
      <c r="ED25">
        <v>0</v>
      </c>
      <c r="EE25">
        <v>9997.3333333333339</v>
      </c>
      <c r="EF25">
        <v>0</v>
      </c>
      <c r="EG25">
        <v>888.64129999999977</v>
      </c>
      <c r="EH25">
        <v>-27.315539999999999</v>
      </c>
      <c r="EI25">
        <v>437.80136666666658</v>
      </c>
      <c r="EJ25">
        <v>463.7011</v>
      </c>
      <c r="EK25">
        <v>5.2984749999999989</v>
      </c>
      <c r="EL25">
        <v>447.51826666666659</v>
      </c>
      <c r="EM25">
        <v>34.899456666666673</v>
      </c>
      <c r="EN25">
        <v>3.9203766666666668</v>
      </c>
      <c r="EO25">
        <v>3.403634666666667</v>
      </c>
      <c r="EP25">
        <v>28.559433333333331</v>
      </c>
      <c r="EQ25">
        <v>26.146546666666669</v>
      </c>
      <c r="ER25">
        <v>400.00306666666683</v>
      </c>
      <c r="ES25">
        <v>0.97501746666666667</v>
      </c>
      <c r="ET25">
        <v>2.4982399999999991E-2</v>
      </c>
      <c r="EU25">
        <v>0</v>
      </c>
      <c r="EV25">
        <v>705.94623333333345</v>
      </c>
      <c r="EW25">
        <v>5.0010700000000003</v>
      </c>
      <c r="EX25">
        <v>5538.4779999999992</v>
      </c>
      <c r="EY25">
        <v>3583.7253333333342</v>
      </c>
      <c r="EZ25">
        <v>41.997899999999987</v>
      </c>
      <c r="FA25">
        <v>45.014466666666671</v>
      </c>
      <c r="FB25">
        <v>43.731099999999977</v>
      </c>
      <c r="FC25">
        <v>44.922533333333327</v>
      </c>
      <c r="FD25">
        <v>44.5</v>
      </c>
      <c r="FE25">
        <v>385.13299999999998</v>
      </c>
      <c r="FF25">
        <v>9.870000000000001</v>
      </c>
      <c r="FG25">
        <v>0</v>
      </c>
      <c r="FH25">
        <v>122.19999980926509</v>
      </c>
      <c r="FI25">
        <v>0</v>
      </c>
      <c r="FJ25">
        <v>705.53188235294112</v>
      </c>
      <c r="FK25">
        <v>-6.5414215523829986</v>
      </c>
      <c r="FL25">
        <v>-268.96568601911719</v>
      </c>
      <c r="FM25">
        <v>5518.3947058823524</v>
      </c>
      <c r="FN25">
        <v>10</v>
      </c>
      <c r="FO25">
        <v>1736195042.0999999</v>
      </c>
      <c r="FP25" t="s">
        <v>818</v>
      </c>
      <c r="FQ25">
        <v>1736194843.0999999</v>
      </c>
      <c r="FR25">
        <v>1736195042.0999999</v>
      </c>
      <c r="FS25">
        <v>43</v>
      </c>
      <c r="FT25">
        <v>4.0000000000000001E-3</v>
      </c>
      <c r="FU25">
        <v>-2.4E-2</v>
      </c>
      <c r="FV25">
        <v>-4.7960000000000003</v>
      </c>
      <c r="FW25">
        <v>0.32100000000000001</v>
      </c>
      <c r="FX25">
        <v>461</v>
      </c>
      <c r="FY25">
        <v>35</v>
      </c>
      <c r="FZ25">
        <v>0.2</v>
      </c>
      <c r="GA25">
        <v>0.06</v>
      </c>
      <c r="GB25">
        <v>-27.334585000000001</v>
      </c>
      <c r="GC25">
        <v>0.34938236397759959</v>
      </c>
      <c r="GD25">
        <v>0.1215883249946306</v>
      </c>
      <c r="GE25">
        <v>1</v>
      </c>
      <c r="GF25">
        <v>706.29300000000001</v>
      </c>
      <c r="GG25">
        <v>-7.9183498773308134</v>
      </c>
      <c r="GH25">
        <v>0.80744979811168593</v>
      </c>
      <c r="GI25">
        <v>1</v>
      </c>
      <c r="GJ25">
        <v>5.3146007499999994</v>
      </c>
      <c r="GK25">
        <v>-0.48738990619138439</v>
      </c>
      <c r="GL25">
        <v>5.5759872102951462E-2</v>
      </c>
      <c r="GM25">
        <v>1</v>
      </c>
      <c r="GN25">
        <v>3</v>
      </c>
      <c r="GO25">
        <v>3</v>
      </c>
      <c r="GP25" t="s">
        <v>599</v>
      </c>
      <c r="GQ25">
        <v>3.1346099999999999</v>
      </c>
      <c r="GR25">
        <v>2.7263299999999999</v>
      </c>
      <c r="GS25">
        <v>9.0717199999999998E-2</v>
      </c>
      <c r="GT25">
        <v>9.5019300000000001E-2</v>
      </c>
      <c r="GU25">
        <v>0.157222</v>
      </c>
      <c r="GV25">
        <v>0.14454400000000001</v>
      </c>
      <c r="GW25">
        <v>22710.400000000001</v>
      </c>
      <c r="GX25">
        <v>30411.8</v>
      </c>
      <c r="GY25">
        <v>27103.8</v>
      </c>
      <c r="GZ25">
        <v>34572.6</v>
      </c>
      <c r="HA25">
        <v>33478.300000000003</v>
      </c>
      <c r="HB25">
        <v>37800.699999999997</v>
      </c>
      <c r="HC25">
        <v>40028.199999999997</v>
      </c>
      <c r="HD25">
        <v>44259.7</v>
      </c>
      <c r="HE25">
        <v>1.9448000000000001</v>
      </c>
      <c r="HF25">
        <v>1.7188000000000001</v>
      </c>
      <c r="HG25">
        <v>2.9504300000000001E-2</v>
      </c>
      <c r="HH25">
        <v>0</v>
      </c>
      <c r="HI25">
        <v>34.9482</v>
      </c>
      <c r="HJ25">
        <v>999.9</v>
      </c>
      <c r="HK25">
        <v>54</v>
      </c>
      <c r="HL25">
        <v>40.1</v>
      </c>
      <c r="HM25">
        <v>41.2697</v>
      </c>
      <c r="HN25">
        <v>58.790199999999999</v>
      </c>
      <c r="HO25">
        <v>7.1794900000000004</v>
      </c>
      <c r="HP25">
        <v>1</v>
      </c>
      <c r="HQ25">
        <v>0.74304899999999996</v>
      </c>
      <c r="HR25">
        <v>0</v>
      </c>
      <c r="HS25">
        <v>20.289200000000001</v>
      </c>
      <c r="HT25">
        <v>5.2112999999999996</v>
      </c>
      <c r="HU25">
        <v>11.908099999999999</v>
      </c>
      <c r="HV25">
        <v>4.9832000000000001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1.8674900000000001</v>
      </c>
      <c r="IC25">
        <v>1.8631</v>
      </c>
      <c r="ID25">
        <v>1.8626400000000001</v>
      </c>
      <c r="IE25">
        <v>1.8621799999999999</v>
      </c>
      <c r="IF25">
        <v>1.8621799999999999</v>
      </c>
      <c r="IG25">
        <v>1.8627</v>
      </c>
      <c r="IH25">
        <v>1.8635900000000001</v>
      </c>
      <c r="II25">
        <v>1.8616600000000001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-4.7960000000000003</v>
      </c>
      <c r="IX25">
        <v>0.32100000000000001</v>
      </c>
      <c r="IY25">
        <v>-4.7961999999998284</v>
      </c>
      <c r="IZ25">
        <v>0</v>
      </c>
      <c r="JA25">
        <v>0</v>
      </c>
      <c r="JB25">
        <v>0</v>
      </c>
      <c r="JC25">
        <v>-0.36788674650546371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3</v>
      </c>
      <c r="JL25">
        <v>2.9</v>
      </c>
      <c r="JM25">
        <v>1.1511199999999999</v>
      </c>
      <c r="JN25">
        <v>2.5476100000000002</v>
      </c>
      <c r="JO25">
        <v>1.50024</v>
      </c>
      <c r="JP25">
        <v>2.2729499999999998</v>
      </c>
      <c r="JQ25">
        <v>1.4477500000000001</v>
      </c>
      <c r="JR25">
        <v>2.4841299999999999</v>
      </c>
      <c r="JS25">
        <v>44.334200000000003</v>
      </c>
      <c r="JT25">
        <v>14.692399999999999</v>
      </c>
      <c r="JU25">
        <v>18</v>
      </c>
      <c r="JV25">
        <v>548.93899999999996</v>
      </c>
      <c r="JW25">
        <v>414.05099999999999</v>
      </c>
      <c r="JX25">
        <v>35.761499999999998</v>
      </c>
      <c r="JY25">
        <v>36.42</v>
      </c>
      <c r="JZ25">
        <v>30.000299999999999</v>
      </c>
      <c r="KA25">
        <v>36.247599999999998</v>
      </c>
      <c r="KB25">
        <v>36.190600000000003</v>
      </c>
      <c r="KC25">
        <v>23.015599999999999</v>
      </c>
      <c r="KD25">
        <v>28.395299999999999</v>
      </c>
      <c r="KE25">
        <v>36.732999999999997</v>
      </c>
      <c r="KF25">
        <v>-999.9</v>
      </c>
      <c r="KG25">
        <v>447.32299999999998</v>
      </c>
      <c r="KH25">
        <v>35.009099999999997</v>
      </c>
      <c r="KI25">
        <v>100.03700000000001</v>
      </c>
      <c r="KJ25">
        <v>99.187899999999999</v>
      </c>
    </row>
    <row r="26" spans="1:296" x14ac:dyDescent="0.3">
      <c r="A26">
        <v>10</v>
      </c>
      <c r="B26">
        <v>1736195165.0999999</v>
      </c>
      <c r="C26">
        <v>1344.099999904633</v>
      </c>
      <c r="D26" t="s">
        <v>819</v>
      </c>
      <c r="E26" t="s">
        <v>820</v>
      </c>
      <c r="F26">
        <v>15</v>
      </c>
      <c r="H26">
        <v>1736195157.099999</v>
      </c>
      <c r="I26">
        <f t="shared" si="0"/>
        <v>3.4375629354022985E-3</v>
      </c>
      <c r="J26">
        <f t="shared" si="1"/>
        <v>3.4375629354022985</v>
      </c>
      <c r="K26">
        <f t="shared" si="2"/>
        <v>14.983549306800741</v>
      </c>
      <c r="L26">
        <f t="shared" si="3"/>
        <v>420.11825806451611</v>
      </c>
      <c r="M26">
        <f t="shared" si="4"/>
        <v>268.69315136884939</v>
      </c>
      <c r="N26">
        <f t="shared" si="5"/>
        <v>26.217887322770824</v>
      </c>
      <c r="O26">
        <f t="shared" si="6"/>
        <v>40.993278377437662</v>
      </c>
      <c r="P26">
        <f t="shared" si="7"/>
        <v>0.17576794149202504</v>
      </c>
      <c r="Q26">
        <f t="shared" si="8"/>
        <v>2.8860075135038596</v>
      </c>
      <c r="R26">
        <f t="shared" si="9"/>
        <v>0.17003008874740083</v>
      </c>
      <c r="S26">
        <f t="shared" si="10"/>
        <v>0.10676872511352552</v>
      </c>
      <c r="T26">
        <f t="shared" si="11"/>
        <v>48.441201819084611</v>
      </c>
      <c r="U26">
        <f t="shared" si="12"/>
        <v>35.391833873065863</v>
      </c>
      <c r="V26">
        <f t="shared" si="13"/>
        <v>35.446632258064511</v>
      </c>
      <c r="W26">
        <f t="shared" si="14"/>
        <v>5.7895831559846203</v>
      </c>
      <c r="X26">
        <f t="shared" si="15"/>
        <v>65.5734487661354</v>
      </c>
      <c r="Y26">
        <f t="shared" si="16"/>
        <v>3.9149610020905516</v>
      </c>
      <c r="Z26">
        <f t="shared" si="17"/>
        <v>5.9703448205890082</v>
      </c>
      <c r="AA26">
        <f t="shared" si="18"/>
        <v>1.8746221538940686</v>
      </c>
      <c r="AB26">
        <f t="shared" si="19"/>
        <v>-151.59652545124138</v>
      </c>
      <c r="AC26">
        <f t="shared" si="20"/>
        <v>86.836528641569885</v>
      </c>
      <c r="AD26">
        <f t="shared" si="21"/>
        <v>7.0767663453507907</v>
      </c>
      <c r="AE26">
        <f t="shared" si="22"/>
        <v>-9.2420286452360898</v>
      </c>
      <c r="AF26">
        <f t="shared" si="23"/>
        <v>14.983549306800741</v>
      </c>
      <c r="AG26">
        <f t="shared" si="24"/>
        <v>3.4375629354022985</v>
      </c>
      <c r="AH26">
        <f t="shared" si="25"/>
        <v>14.98370821848671</v>
      </c>
      <c r="AI26">
        <v>456.36231456977492</v>
      </c>
      <c r="AJ26">
        <v>437.71891515151492</v>
      </c>
      <c r="AK26">
        <v>-2.4753356960921231E-3</v>
      </c>
      <c r="AL26">
        <v>67.033998003021026</v>
      </c>
      <c r="AM26">
        <f t="shared" si="26"/>
        <v>3.5469439921092043</v>
      </c>
      <c r="AN26">
        <v>36.204527052180993</v>
      </c>
      <c r="AO26">
        <v>40.27196666666665</v>
      </c>
      <c r="AP26">
        <v>2.985259888885912E-3</v>
      </c>
      <c r="AQ26">
        <v>78.062538582276616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50072.368690009665</v>
      </c>
      <c r="AW26" t="s">
        <v>784</v>
      </c>
      <c r="AX26">
        <v>5111.59</v>
      </c>
      <c r="AY26">
        <v>546.33823529411768</v>
      </c>
      <c r="AZ26">
        <v>2461.83</v>
      </c>
      <c r="BA26">
        <f t="shared" si="30"/>
        <v>0.77807637599098323</v>
      </c>
      <c r="BB26">
        <v>-4.5166359946861352</v>
      </c>
      <c r="BC26" t="s">
        <v>821</v>
      </c>
      <c r="BD26">
        <v>5112.38</v>
      </c>
      <c r="BE26">
        <v>695.29447058823519</v>
      </c>
      <c r="BF26">
        <v>1729.2</v>
      </c>
      <c r="BG26">
        <f t="shared" si="31"/>
        <v>0.59790974405029196</v>
      </c>
      <c r="BH26">
        <v>0.5</v>
      </c>
      <c r="BI26">
        <f t="shared" si="32"/>
        <v>252.28054230305233</v>
      </c>
      <c r="BJ26">
        <f t="shared" si="33"/>
        <v>14.983549306800741</v>
      </c>
      <c r="BK26">
        <f t="shared" si="34"/>
        <v>75.420497238643435</v>
      </c>
      <c r="BL26">
        <f t="shared" si="35"/>
        <v>7.7295637322922245E-2</v>
      </c>
      <c r="BM26">
        <f t="shared" si="36"/>
        <v>0.4236814712005551</v>
      </c>
      <c r="BN26">
        <f t="shared" si="37"/>
        <v>499.38371745828158</v>
      </c>
      <c r="BO26" t="s">
        <v>407</v>
      </c>
      <c r="BP26">
        <v>0</v>
      </c>
      <c r="BQ26">
        <f t="shared" si="38"/>
        <v>499.38371745828158</v>
      </c>
      <c r="BR26">
        <f t="shared" si="39"/>
        <v>0.71120534498133148</v>
      </c>
      <c r="BS26">
        <f t="shared" si="40"/>
        <v>0.84069917115989401</v>
      </c>
      <c r="BT26">
        <f t="shared" si="41"/>
        <v>0.37332486831237655</v>
      </c>
      <c r="BU26">
        <f t="shared" si="42"/>
        <v>0.8740713076213471</v>
      </c>
      <c r="BV26">
        <f t="shared" si="43"/>
        <v>0.3824761941028198</v>
      </c>
      <c r="BW26">
        <f t="shared" si="44"/>
        <v>0.60381823114850441</v>
      </c>
      <c r="BX26">
        <f t="shared" si="45"/>
        <v>0.39618176885149559</v>
      </c>
      <c r="DG26">
        <f t="shared" si="46"/>
        <v>299.98648387096767</v>
      </c>
      <c r="DH26">
        <f t="shared" si="47"/>
        <v>252.28054230305233</v>
      </c>
      <c r="DI26">
        <f t="shared" si="48"/>
        <v>0.8409730300101288</v>
      </c>
      <c r="DJ26">
        <f t="shared" si="49"/>
        <v>0.16147794791954856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1736195157.099999</v>
      </c>
      <c r="DQ26">
        <v>420.11825806451611</v>
      </c>
      <c r="DR26">
        <v>439.83251612903217</v>
      </c>
      <c r="DS26">
        <v>40.122348387096771</v>
      </c>
      <c r="DT26">
        <v>36.162583870967737</v>
      </c>
      <c r="DU26">
        <v>424.91448387096779</v>
      </c>
      <c r="DV26">
        <v>39.777348387096772</v>
      </c>
      <c r="DW26">
        <v>499.97516129032249</v>
      </c>
      <c r="DX26">
        <v>97.525922580645172</v>
      </c>
      <c r="DY26">
        <v>4.9647132258064511E-2</v>
      </c>
      <c r="DZ26">
        <v>36.004741935483871</v>
      </c>
      <c r="EA26">
        <v>35.446632258064511</v>
      </c>
      <c r="EB26">
        <v>999.90000000000032</v>
      </c>
      <c r="EC26">
        <v>0</v>
      </c>
      <c r="ED26">
        <v>0</v>
      </c>
      <c r="EE26">
        <v>10001.290322580649</v>
      </c>
      <c r="EF26">
        <v>0</v>
      </c>
      <c r="EG26">
        <v>351.90777419354839</v>
      </c>
      <c r="EH26">
        <v>-19.714170967741939</v>
      </c>
      <c r="EI26">
        <v>437.7370967741935</v>
      </c>
      <c r="EJ26">
        <v>456.33464516129033</v>
      </c>
      <c r="EK26">
        <v>4.0869945161290326</v>
      </c>
      <c r="EL26">
        <v>439.83251612903217</v>
      </c>
      <c r="EM26">
        <v>36.162583870967737</v>
      </c>
      <c r="EN26">
        <v>3.9253777419354838</v>
      </c>
      <c r="EO26">
        <v>3.5267887096774189</v>
      </c>
      <c r="EP26">
        <v>28.581387096774201</v>
      </c>
      <c r="EQ26">
        <v>26.749261290322579</v>
      </c>
      <c r="ER26">
        <v>299.98648387096767</v>
      </c>
      <c r="ES26">
        <v>0.96702900000000003</v>
      </c>
      <c r="ET26">
        <v>3.2971003225806449E-2</v>
      </c>
      <c r="EU26">
        <v>0</v>
      </c>
      <c r="EV26">
        <v>695.39183870967747</v>
      </c>
      <c r="EW26">
        <v>5.0010700000000003</v>
      </c>
      <c r="EX26">
        <v>4140.3303225806449</v>
      </c>
      <c r="EY26">
        <v>2667.934838709677</v>
      </c>
      <c r="EZ26">
        <v>41.596548387096753</v>
      </c>
      <c r="FA26">
        <v>44.733741935483849</v>
      </c>
      <c r="FB26">
        <v>43.428999999999988</v>
      </c>
      <c r="FC26">
        <v>44.711387096774168</v>
      </c>
      <c r="FD26">
        <v>44.195129032258038</v>
      </c>
      <c r="FE26">
        <v>285.25967741935489</v>
      </c>
      <c r="FF26">
        <v>9.7300000000000022</v>
      </c>
      <c r="FG26">
        <v>0</v>
      </c>
      <c r="FH26">
        <v>143.5999999046326</v>
      </c>
      <c r="FI26">
        <v>0</v>
      </c>
      <c r="FJ26">
        <v>695.29447058823519</v>
      </c>
      <c r="FK26">
        <v>-1.67205880312258</v>
      </c>
      <c r="FL26">
        <v>83.715686178054185</v>
      </c>
      <c r="FM26">
        <v>4146.0829411764707</v>
      </c>
      <c r="FN26">
        <v>10</v>
      </c>
      <c r="FO26">
        <v>1736195187.0999999</v>
      </c>
      <c r="FP26" t="s">
        <v>822</v>
      </c>
      <c r="FQ26">
        <v>1736194843.0999999</v>
      </c>
      <c r="FR26">
        <v>1736195187.0999999</v>
      </c>
      <c r="FS26">
        <v>44</v>
      </c>
      <c r="FT26">
        <v>4.0000000000000001E-3</v>
      </c>
      <c r="FU26">
        <v>-0.01</v>
      </c>
      <c r="FV26">
        <v>-4.7960000000000003</v>
      </c>
      <c r="FW26">
        <v>0.34499999999999997</v>
      </c>
      <c r="FX26">
        <v>461</v>
      </c>
      <c r="FY26">
        <v>36</v>
      </c>
      <c r="FZ26">
        <v>0.2</v>
      </c>
      <c r="GA26">
        <v>0.09</v>
      </c>
      <c r="GB26">
        <v>-19.739000000000001</v>
      </c>
      <c r="GC26">
        <v>0.32576960600375632</v>
      </c>
      <c r="GD26">
        <v>0.1031308683178805</v>
      </c>
      <c r="GE26">
        <v>1</v>
      </c>
      <c r="GF26">
        <v>695.4594411764707</v>
      </c>
      <c r="GG26">
        <v>-1.413124520184585</v>
      </c>
      <c r="GH26">
        <v>0.25652349865717561</v>
      </c>
      <c r="GI26">
        <v>1</v>
      </c>
      <c r="GJ26">
        <v>4.1123102500000002</v>
      </c>
      <c r="GK26">
        <v>-0.44959238273922292</v>
      </c>
      <c r="GL26">
        <v>4.9743092660564467E-2</v>
      </c>
      <c r="GM26">
        <v>1</v>
      </c>
      <c r="GN26">
        <v>3</v>
      </c>
      <c r="GO26">
        <v>3</v>
      </c>
      <c r="GP26" t="s">
        <v>599</v>
      </c>
      <c r="GQ26">
        <v>3.1336599999999999</v>
      </c>
      <c r="GR26">
        <v>2.7272799999999999</v>
      </c>
      <c r="GS26">
        <v>9.0678800000000004E-2</v>
      </c>
      <c r="GT26">
        <v>9.3790700000000005E-2</v>
      </c>
      <c r="GU26">
        <v>0.15742500000000001</v>
      </c>
      <c r="GV26">
        <v>0.14766799999999999</v>
      </c>
      <c r="GW26">
        <v>22708.7</v>
      </c>
      <c r="GX26">
        <v>30450.6</v>
      </c>
      <c r="GY26">
        <v>27101</v>
      </c>
      <c r="GZ26">
        <v>34570.199999999997</v>
      </c>
      <c r="HA26">
        <v>33467.800000000003</v>
      </c>
      <c r="HB26">
        <v>37662</v>
      </c>
      <c r="HC26">
        <v>40024.400000000001</v>
      </c>
      <c r="HD26">
        <v>44258.400000000001</v>
      </c>
      <c r="HE26">
        <v>1.9412</v>
      </c>
      <c r="HF26">
        <v>1.7210000000000001</v>
      </c>
      <c r="HG26">
        <v>3.8147E-2</v>
      </c>
      <c r="HH26">
        <v>0</v>
      </c>
      <c r="HI26">
        <v>34.8429</v>
      </c>
      <c r="HJ26">
        <v>999.9</v>
      </c>
      <c r="HK26">
        <v>54.5</v>
      </c>
      <c r="HL26">
        <v>40.299999999999997</v>
      </c>
      <c r="HM26">
        <v>42.097499999999997</v>
      </c>
      <c r="HN26">
        <v>58.360199999999999</v>
      </c>
      <c r="HO26">
        <v>7.15144</v>
      </c>
      <c r="HP26">
        <v>1</v>
      </c>
      <c r="HQ26">
        <v>0.74817100000000003</v>
      </c>
      <c r="HR26">
        <v>0</v>
      </c>
      <c r="HS26">
        <v>20.29</v>
      </c>
      <c r="HT26">
        <v>5.2088999999999999</v>
      </c>
      <c r="HU26">
        <v>11.908099999999999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1.8674900000000001</v>
      </c>
      <c r="IC26">
        <v>1.8631</v>
      </c>
      <c r="ID26">
        <v>1.8625799999999999</v>
      </c>
      <c r="IE26">
        <v>1.86215</v>
      </c>
      <c r="IF26">
        <v>1.86209</v>
      </c>
      <c r="IG26">
        <v>1.8626400000000001</v>
      </c>
      <c r="IH26">
        <v>1.8635600000000001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-4.7960000000000003</v>
      </c>
      <c r="IX26">
        <v>0.34499999999999997</v>
      </c>
      <c r="IY26">
        <v>-4.7961999999998284</v>
      </c>
      <c r="IZ26">
        <v>0</v>
      </c>
      <c r="JA26">
        <v>0</v>
      </c>
      <c r="JB26">
        <v>0</v>
      </c>
      <c r="JC26">
        <v>-0.39189908185002059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5.4</v>
      </c>
      <c r="JL26">
        <v>2</v>
      </c>
      <c r="JM26">
        <v>1.1364700000000001</v>
      </c>
      <c r="JN26">
        <v>2.5488300000000002</v>
      </c>
      <c r="JO26">
        <v>1.50024</v>
      </c>
      <c r="JP26">
        <v>2.2729499999999998</v>
      </c>
      <c r="JQ26">
        <v>1.4477500000000001</v>
      </c>
      <c r="JR26">
        <v>2.4706999999999999</v>
      </c>
      <c r="JS26">
        <v>44.389899999999997</v>
      </c>
      <c r="JT26">
        <v>14.674899999999999</v>
      </c>
      <c r="JU26">
        <v>18</v>
      </c>
      <c r="JV26">
        <v>547.20899999999995</v>
      </c>
      <c r="JW26">
        <v>415.93599999999998</v>
      </c>
      <c r="JX26">
        <v>35.838000000000001</v>
      </c>
      <c r="JY26">
        <v>36.498100000000001</v>
      </c>
      <c r="JZ26">
        <v>29.9999</v>
      </c>
      <c r="KA26">
        <v>36.3384</v>
      </c>
      <c r="KB26">
        <v>36.2774</v>
      </c>
      <c r="KC26">
        <v>22.730799999999999</v>
      </c>
      <c r="KD26">
        <v>27.699200000000001</v>
      </c>
      <c r="KE26">
        <v>42.138100000000001</v>
      </c>
      <c r="KF26">
        <v>-999.9</v>
      </c>
      <c r="KG26">
        <v>439.81599999999997</v>
      </c>
      <c r="KH26">
        <v>36.1631</v>
      </c>
      <c r="KI26">
        <v>100.027</v>
      </c>
      <c r="KJ26">
        <v>99.183099999999996</v>
      </c>
    </row>
    <row r="27" spans="1:296" x14ac:dyDescent="0.3">
      <c r="A27">
        <v>11</v>
      </c>
      <c r="B27">
        <v>1736195318.0999999</v>
      </c>
      <c r="C27">
        <v>1497.099999904633</v>
      </c>
      <c r="D27" t="s">
        <v>823</v>
      </c>
      <c r="E27" t="s">
        <v>824</v>
      </c>
      <c r="F27">
        <v>15</v>
      </c>
      <c r="H27">
        <v>1736195310.349999</v>
      </c>
      <c r="I27">
        <f t="shared" si="0"/>
        <v>2.9331293774154488E-3</v>
      </c>
      <c r="J27">
        <f t="shared" si="1"/>
        <v>2.9331293774154488</v>
      </c>
      <c r="K27">
        <f t="shared" si="2"/>
        <v>8.9370111387269837</v>
      </c>
      <c r="L27">
        <f t="shared" si="3"/>
        <v>420.00826666666671</v>
      </c>
      <c r="M27">
        <f t="shared" si="4"/>
        <v>314.26944659323868</v>
      </c>
      <c r="N27">
        <f t="shared" si="5"/>
        <v>30.662815832939948</v>
      </c>
      <c r="O27">
        <f t="shared" si="6"/>
        <v>40.979599731122605</v>
      </c>
      <c r="P27">
        <f t="shared" si="7"/>
        <v>0.15539954462691341</v>
      </c>
      <c r="Q27">
        <f t="shared" si="8"/>
        <v>2.886078078317559</v>
      </c>
      <c r="R27">
        <f t="shared" si="9"/>
        <v>0.15089623950425785</v>
      </c>
      <c r="S27">
        <f t="shared" si="10"/>
        <v>9.4703883566556693E-2</v>
      </c>
      <c r="T27">
        <f t="shared" si="11"/>
        <v>32.481884099295122</v>
      </c>
      <c r="U27">
        <f t="shared" si="12"/>
        <v>35.134344088199626</v>
      </c>
      <c r="V27">
        <f t="shared" si="13"/>
        <v>35.127073333333328</v>
      </c>
      <c r="W27">
        <f t="shared" si="14"/>
        <v>5.6882401257613742</v>
      </c>
      <c r="X27">
        <f t="shared" si="15"/>
        <v>66.131223330868806</v>
      </c>
      <c r="Y27">
        <f t="shared" si="16"/>
        <v>3.8847372301938545</v>
      </c>
      <c r="Z27">
        <f t="shared" si="17"/>
        <v>5.874286055102405</v>
      </c>
      <c r="AA27">
        <f t="shared" si="18"/>
        <v>1.8035028955675196</v>
      </c>
      <c r="AB27">
        <f t="shared" si="19"/>
        <v>-129.35100554402129</v>
      </c>
      <c r="AC27">
        <f t="shared" si="20"/>
        <v>90.7021070573809</v>
      </c>
      <c r="AD27">
        <f t="shared" si="21"/>
        <v>7.3695732626504817</v>
      </c>
      <c r="AE27">
        <f t="shared" si="22"/>
        <v>1.2025588753052148</v>
      </c>
      <c r="AF27">
        <f t="shared" si="23"/>
        <v>8.9370111387269837</v>
      </c>
      <c r="AG27">
        <f t="shared" si="24"/>
        <v>2.9331293774154488</v>
      </c>
      <c r="AH27">
        <f t="shared" si="25"/>
        <v>9.1093288621187725</v>
      </c>
      <c r="AI27">
        <v>448.58368848530353</v>
      </c>
      <c r="AJ27">
        <v>437.35855151515142</v>
      </c>
      <c r="AK27">
        <v>-2.3480273181236331E-2</v>
      </c>
      <c r="AL27">
        <v>67.088103789987372</v>
      </c>
      <c r="AM27">
        <f t="shared" si="26"/>
        <v>2.8926784310703177</v>
      </c>
      <c r="AN27">
        <v>36.453734495955707</v>
      </c>
      <c r="AO27">
        <v>39.793817575757558</v>
      </c>
      <c r="AP27">
        <v>-1.1662572825288601E-3</v>
      </c>
      <c r="AQ27">
        <v>78.240399904551921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50121.958181213442</v>
      </c>
      <c r="AW27" t="s">
        <v>784</v>
      </c>
      <c r="AX27">
        <v>5111.59</v>
      </c>
      <c r="AY27">
        <v>546.33823529411768</v>
      </c>
      <c r="AZ27">
        <v>2461.83</v>
      </c>
      <c r="BA27">
        <f t="shared" si="30"/>
        <v>0.77807637599098323</v>
      </c>
      <c r="BB27">
        <v>-4.5166359946861352</v>
      </c>
      <c r="BC27" t="s">
        <v>825</v>
      </c>
      <c r="BD27">
        <v>5115.5</v>
      </c>
      <c r="BE27">
        <v>689.17123529411765</v>
      </c>
      <c r="BF27">
        <v>1835.55</v>
      </c>
      <c r="BG27">
        <f t="shared" si="31"/>
        <v>0.62454237950798519</v>
      </c>
      <c r="BH27">
        <v>0.5</v>
      </c>
      <c r="BI27">
        <f t="shared" si="32"/>
        <v>168.27856038305447</v>
      </c>
      <c r="BJ27">
        <f t="shared" si="33"/>
        <v>8.9370111387269837</v>
      </c>
      <c r="BK27">
        <f t="shared" si="34"/>
        <v>52.548546260905503</v>
      </c>
      <c r="BL27">
        <f t="shared" si="35"/>
        <v>7.9948670245267278E-2</v>
      </c>
      <c r="BM27">
        <f t="shared" si="36"/>
        <v>0.34119473727220723</v>
      </c>
      <c r="BN27">
        <f t="shared" si="37"/>
        <v>507.88184241393714</v>
      </c>
      <c r="BO27" t="s">
        <v>407</v>
      </c>
      <c r="BP27">
        <v>0</v>
      </c>
      <c r="BQ27">
        <f t="shared" si="38"/>
        <v>507.88184241393714</v>
      </c>
      <c r="BR27">
        <f t="shared" si="39"/>
        <v>0.72330808617910858</v>
      </c>
      <c r="BS27">
        <f t="shared" si="40"/>
        <v>0.8634527823505258</v>
      </c>
      <c r="BT27">
        <f t="shared" si="41"/>
        <v>0.32052027458789684</v>
      </c>
      <c r="BU27">
        <f t="shared" si="42"/>
        <v>0.88920904702371728</v>
      </c>
      <c r="BV27">
        <f t="shared" si="43"/>
        <v>0.3269552036399192</v>
      </c>
      <c r="BW27">
        <f t="shared" si="44"/>
        <v>0.63631789529125227</v>
      </c>
      <c r="BX27">
        <f t="shared" si="45"/>
        <v>0.36368210470874773</v>
      </c>
      <c r="DG27">
        <f t="shared" si="46"/>
        <v>199.98339999999999</v>
      </c>
      <c r="DH27">
        <f t="shared" si="47"/>
        <v>168.27856038305447</v>
      </c>
      <c r="DI27">
        <f t="shared" si="48"/>
        <v>0.84146264331466747</v>
      </c>
      <c r="DJ27">
        <f t="shared" si="49"/>
        <v>0.16242290159730818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1736195310.349999</v>
      </c>
      <c r="DQ27">
        <v>420.00826666666671</v>
      </c>
      <c r="DR27">
        <v>432.21126666666657</v>
      </c>
      <c r="DS27">
        <v>39.815463333333341</v>
      </c>
      <c r="DT27">
        <v>36.435776666666669</v>
      </c>
      <c r="DU27">
        <v>424.82926666666668</v>
      </c>
      <c r="DV27">
        <v>39.368579999999987</v>
      </c>
      <c r="DW27">
        <v>499.98933333333332</v>
      </c>
      <c r="DX27">
        <v>97.518083333333323</v>
      </c>
      <c r="DY27">
        <v>5.0471820000000008E-2</v>
      </c>
      <c r="DZ27">
        <v>35.710013333333322</v>
      </c>
      <c r="EA27">
        <v>35.127073333333328</v>
      </c>
      <c r="EB27">
        <v>999.9000000000002</v>
      </c>
      <c r="EC27">
        <v>0</v>
      </c>
      <c r="ED27">
        <v>0</v>
      </c>
      <c r="EE27">
        <v>10002.5</v>
      </c>
      <c r="EF27">
        <v>0</v>
      </c>
      <c r="EG27">
        <v>435.50079999999991</v>
      </c>
      <c r="EH27">
        <v>-12.20307</v>
      </c>
      <c r="EI27">
        <v>437.42456666666669</v>
      </c>
      <c r="EJ27">
        <v>448.55473333333327</v>
      </c>
      <c r="EK27">
        <v>3.3796879999999998</v>
      </c>
      <c r="EL27">
        <v>432.21126666666657</v>
      </c>
      <c r="EM27">
        <v>36.435776666666669</v>
      </c>
      <c r="EN27">
        <v>3.8827266666666671</v>
      </c>
      <c r="EO27">
        <v>3.5531470000000001</v>
      </c>
      <c r="EP27">
        <v>28.393293333333339</v>
      </c>
      <c r="EQ27">
        <v>26.875863333333331</v>
      </c>
      <c r="ER27">
        <v>199.98339999999999</v>
      </c>
      <c r="ES27">
        <v>0.94998403333333337</v>
      </c>
      <c r="ET27">
        <v>5.0015676666666682E-2</v>
      </c>
      <c r="EU27">
        <v>0</v>
      </c>
      <c r="EV27">
        <v>689.1631666666666</v>
      </c>
      <c r="EW27">
        <v>5.0010700000000003</v>
      </c>
      <c r="EX27">
        <v>3673.6226666666671</v>
      </c>
      <c r="EY27">
        <v>1751.667666666666</v>
      </c>
      <c r="EZ27">
        <v>40.966399999999979</v>
      </c>
      <c r="FA27">
        <v>44.216399999999993</v>
      </c>
      <c r="FB27">
        <v>42.924599999999991</v>
      </c>
      <c r="FC27">
        <v>44.186999999999983</v>
      </c>
      <c r="FD27">
        <v>43.653933333333327</v>
      </c>
      <c r="FE27">
        <v>185.22933333333339</v>
      </c>
      <c r="FF27">
        <v>9.75</v>
      </c>
      <c r="FG27">
        <v>0</v>
      </c>
      <c r="FH27">
        <v>152.39999985694891</v>
      </c>
      <c r="FI27">
        <v>0</v>
      </c>
      <c r="FJ27">
        <v>689.17123529411765</v>
      </c>
      <c r="FK27">
        <v>2.0781862760136098</v>
      </c>
      <c r="FL27">
        <v>-648.97059043092645</v>
      </c>
      <c r="FM27">
        <v>3646.3247058823531</v>
      </c>
      <c r="FN27">
        <v>10</v>
      </c>
      <c r="FO27">
        <v>1736195278.0999999</v>
      </c>
      <c r="FP27" t="s">
        <v>826</v>
      </c>
      <c r="FQ27">
        <v>1736195275.0999999</v>
      </c>
      <c r="FR27">
        <v>1736195278.0999999</v>
      </c>
      <c r="FS27">
        <v>45</v>
      </c>
      <c r="FT27">
        <v>-2.5000000000000001E-2</v>
      </c>
      <c r="FU27">
        <v>-3.0000000000000001E-3</v>
      </c>
      <c r="FV27">
        <v>-4.8209999999999997</v>
      </c>
      <c r="FW27">
        <v>0.35099999999999998</v>
      </c>
      <c r="FX27">
        <v>432</v>
      </c>
      <c r="FY27">
        <v>37</v>
      </c>
      <c r="FZ27">
        <v>0.79</v>
      </c>
      <c r="GA27">
        <v>0.08</v>
      </c>
      <c r="GB27">
        <v>-12.267289999999999</v>
      </c>
      <c r="GC27">
        <v>0.80883377110697496</v>
      </c>
      <c r="GD27">
        <v>0.1891892594731529</v>
      </c>
      <c r="GE27">
        <v>1</v>
      </c>
      <c r="GF27">
        <v>689.09326470588235</v>
      </c>
      <c r="GG27">
        <v>1.160595872052979</v>
      </c>
      <c r="GH27">
        <v>0.23337829790020381</v>
      </c>
      <c r="GI27">
        <v>1</v>
      </c>
      <c r="GJ27">
        <v>3.4046797500000001</v>
      </c>
      <c r="GK27">
        <v>-0.49460589118199583</v>
      </c>
      <c r="GL27">
        <v>4.8451656704776358E-2</v>
      </c>
      <c r="GM27">
        <v>1</v>
      </c>
      <c r="GN27">
        <v>3</v>
      </c>
      <c r="GO27">
        <v>3</v>
      </c>
      <c r="GP27" t="s">
        <v>599</v>
      </c>
      <c r="GQ27">
        <v>3.1348799999999999</v>
      </c>
      <c r="GR27">
        <v>2.7238099999999998</v>
      </c>
      <c r="GS27">
        <v>9.0648599999999996E-2</v>
      </c>
      <c r="GT27">
        <v>9.25927E-2</v>
      </c>
      <c r="GU27">
        <v>0.15621099999999999</v>
      </c>
      <c r="GV27">
        <v>0.148365</v>
      </c>
      <c r="GW27">
        <v>22713.1</v>
      </c>
      <c r="GX27">
        <v>30497.5</v>
      </c>
      <c r="GY27">
        <v>27105</v>
      </c>
      <c r="GZ27">
        <v>34577.1</v>
      </c>
      <c r="HA27">
        <v>33520.1</v>
      </c>
      <c r="HB27">
        <v>37637.9</v>
      </c>
      <c r="HC27">
        <v>40030.6</v>
      </c>
      <c r="HD27">
        <v>44266.7</v>
      </c>
      <c r="HE27">
        <v>1.9426000000000001</v>
      </c>
      <c r="HF27">
        <v>1.7202</v>
      </c>
      <c r="HG27">
        <v>4.0233100000000001E-2</v>
      </c>
      <c r="HH27">
        <v>0</v>
      </c>
      <c r="HI27">
        <v>34.467100000000002</v>
      </c>
      <c r="HJ27">
        <v>999.9</v>
      </c>
      <c r="HK27">
        <v>54.9</v>
      </c>
      <c r="HL27">
        <v>40.4</v>
      </c>
      <c r="HM27">
        <v>42.6387</v>
      </c>
      <c r="HN27">
        <v>59.650199999999998</v>
      </c>
      <c r="HO27">
        <v>6.9831700000000003</v>
      </c>
      <c r="HP27">
        <v>1</v>
      </c>
      <c r="HQ27">
        <v>0.73987800000000004</v>
      </c>
      <c r="HR27">
        <v>0</v>
      </c>
      <c r="HS27">
        <v>20.288799999999998</v>
      </c>
      <c r="HT27">
        <v>5.1909299999999998</v>
      </c>
      <c r="HU27">
        <v>11.908099999999999</v>
      </c>
      <c r="HV27">
        <v>4.9779999999999998</v>
      </c>
      <c r="HW27">
        <v>3.2673999999999999</v>
      </c>
      <c r="HX27">
        <v>9999</v>
      </c>
      <c r="HY27">
        <v>9999</v>
      </c>
      <c r="HZ27">
        <v>9999</v>
      </c>
      <c r="IA27">
        <v>999.9</v>
      </c>
      <c r="IB27">
        <v>1.8674900000000001</v>
      </c>
      <c r="IC27">
        <v>1.8631</v>
      </c>
      <c r="ID27">
        <v>1.8626400000000001</v>
      </c>
      <c r="IE27">
        <v>1.8621799999999999</v>
      </c>
      <c r="IF27">
        <v>1.8621799999999999</v>
      </c>
      <c r="IG27">
        <v>1.86276</v>
      </c>
      <c r="IH27">
        <v>1.8635900000000001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-4.82</v>
      </c>
      <c r="IX27">
        <v>0.4461</v>
      </c>
      <c r="IY27">
        <v>-4.8209499999999252</v>
      </c>
      <c r="IZ27">
        <v>0</v>
      </c>
      <c r="JA27">
        <v>0</v>
      </c>
      <c r="JB27">
        <v>0</v>
      </c>
      <c r="JC27">
        <v>-0.40490519219727239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0.7</v>
      </c>
      <c r="JL27">
        <v>0.7</v>
      </c>
      <c r="JM27">
        <v>1.1218300000000001</v>
      </c>
      <c r="JN27">
        <v>2.5573700000000001</v>
      </c>
      <c r="JO27">
        <v>1.50024</v>
      </c>
      <c r="JP27">
        <v>2.2717299999999998</v>
      </c>
      <c r="JQ27">
        <v>1.4477500000000001</v>
      </c>
      <c r="JR27">
        <v>2.34375</v>
      </c>
      <c r="JS27">
        <v>44.306399999999996</v>
      </c>
      <c r="JT27">
        <v>14.639900000000001</v>
      </c>
      <c r="JU27">
        <v>18</v>
      </c>
      <c r="JV27">
        <v>547.81399999999996</v>
      </c>
      <c r="JW27">
        <v>415.154</v>
      </c>
      <c r="JX27">
        <v>35.659100000000002</v>
      </c>
      <c r="JY27">
        <v>36.409700000000001</v>
      </c>
      <c r="JZ27">
        <v>29.999600000000001</v>
      </c>
      <c r="KA27">
        <v>36.294600000000003</v>
      </c>
      <c r="KB27">
        <v>36.230600000000003</v>
      </c>
      <c r="KC27">
        <v>22.432600000000001</v>
      </c>
      <c r="KD27">
        <v>28.691099999999999</v>
      </c>
      <c r="KE27">
        <v>46.736600000000003</v>
      </c>
      <c r="KF27">
        <v>-999.9</v>
      </c>
      <c r="KG27">
        <v>432.34899999999999</v>
      </c>
      <c r="KH27">
        <v>36.347499999999997</v>
      </c>
      <c r="KI27">
        <v>100.042</v>
      </c>
      <c r="KJ27">
        <v>99.202299999999994</v>
      </c>
    </row>
    <row r="28" spans="1:296" x14ac:dyDescent="0.3">
      <c r="A28">
        <v>12</v>
      </c>
      <c r="B28">
        <v>1736195466.0999999</v>
      </c>
      <c r="C28">
        <v>1645.099999904633</v>
      </c>
      <c r="D28" t="s">
        <v>827</v>
      </c>
      <c r="E28" t="s">
        <v>828</v>
      </c>
      <c r="F28">
        <v>15</v>
      </c>
      <c r="H28">
        <v>1736195458.349999</v>
      </c>
      <c r="I28">
        <f t="shared" si="0"/>
        <v>2.4972051140745642E-3</v>
      </c>
      <c r="J28">
        <f t="shared" si="1"/>
        <v>2.4972051140745641</v>
      </c>
      <c r="K28">
        <f t="shared" si="2"/>
        <v>2.212240991391619</v>
      </c>
      <c r="L28">
        <f t="shared" si="3"/>
        <v>419.93759999999997</v>
      </c>
      <c r="M28">
        <f t="shared" si="4"/>
        <v>380.74537275436501</v>
      </c>
      <c r="N28">
        <f t="shared" si="5"/>
        <v>37.147810172051514</v>
      </c>
      <c r="O28">
        <f t="shared" si="6"/>
        <v>40.971639749830835</v>
      </c>
      <c r="P28">
        <f t="shared" si="7"/>
        <v>0.13402003015407918</v>
      </c>
      <c r="Q28">
        <f t="shared" si="8"/>
        <v>2.8846291231538554</v>
      </c>
      <c r="R28">
        <f t="shared" si="9"/>
        <v>0.13065451064907455</v>
      </c>
      <c r="S28">
        <f t="shared" si="10"/>
        <v>8.1954408419252708E-2</v>
      </c>
      <c r="T28">
        <f t="shared" si="11"/>
        <v>16.510747077362048</v>
      </c>
      <c r="U28">
        <f t="shared" si="12"/>
        <v>34.810852052423733</v>
      </c>
      <c r="V28">
        <f t="shared" si="13"/>
        <v>34.823413333333328</v>
      </c>
      <c r="W28">
        <f t="shared" si="14"/>
        <v>5.5933713149306223</v>
      </c>
      <c r="X28">
        <f t="shared" si="15"/>
        <v>66.243715580769702</v>
      </c>
      <c r="Y28">
        <f t="shared" si="16"/>
        <v>3.8185329873545362</v>
      </c>
      <c r="Z28">
        <f t="shared" si="17"/>
        <v>5.7643701804417535</v>
      </c>
      <c r="AA28">
        <f t="shared" si="18"/>
        <v>1.7748383275760862</v>
      </c>
      <c r="AB28">
        <f t="shared" si="19"/>
        <v>-110.12674553068828</v>
      </c>
      <c r="AC28">
        <f t="shared" si="20"/>
        <v>84.627728284767173</v>
      </c>
      <c r="AD28">
        <f t="shared" si="21"/>
        <v>6.8578867826683823</v>
      </c>
      <c r="AE28">
        <f t="shared" si="22"/>
        <v>-2.1303833858906813</v>
      </c>
      <c r="AF28">
        <f t="shared" si="23"/>
        <v>2.212240991391619</v>
      </c>
      <c r="AG28">
        <f t="shared" si="24"/>
        <v>2.4972051140745641</v>
      </c>
      <c r="AH28">
        <f t="shared" si="25"/>
        <v>2.1032435999124792</v>
      </c>
      <c r="AI28">
        <v>439.8565683520315</v>
      </c>
      <c r="AJ28">
        <v>437.0929272727272</v>
      </c>
      <c r="AK28">
        <v>2.8351998398059321E-2</v>
      </c>
      <c r="AL28">
        <v>67.088241630701106</v>
      </c>
      <c r="AM28">
        <f t="shared" si="26"/>
        <v>2.5334009711492236</v>
      </c>
      <c r="AN28">
        <v>36.249329591621958</v>
      </c>
      <c r="AO28">
        <v>39.147776363636353</v>
      </c>
      <c r="AP28">
        <v>3.8325176224974179E-3</v>
      </c>
      <c r="AQ28">
        <v>78.240433738239759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50137.475257123617</v>
      </c>
      <c r="AW28" t="s">
        <v>784</v>
      </c>
      <c r="AX28">
        <v>5111.59</v>
      </c>
      <c r="AY28">
        <v>546.33823529411768</v>
      </c>
      <c r="AZ28">
        <v>2461.83</v>
      </c>
      <c r="BA28">
        <f t="shared" si="30"/>
        <v>0.77807637599098323</v>
      </c>
      <c r="BB28">
        <v>-4.5166359946861352</v>
      </c>
      <c r="BC28" t="s">
        <v>829</v>
      </c>
      <c r="BD28">
        <v>5121.3500000000004</v>
      </c>
      <c r="BE28">
        <v>685.63794117647058</v>
      </c>
      <c r="BF28">
        <v>1991.97</v>
      </c>
      <c r="BG28">
        <f t="shared" si="31"/>
        <v>0.65579906264829768</v>
      </c>
      <c r="BH28">
        <v>0.5</v>
      </c>
      <c r="BI28">
        <f t="shared" si="32"/>
        <v>84.288602448374107</v>
      </c>
      <c r="BJ28">
        <f t="shared" si="33"/>
        <v>2.212240991391619</v>
      </c>
      <c r="BK28">
        <f t="shared" si="34"/>
        <v>27.638193238789373</v>
      </c>
      <c r="BL28">
        <f t="shared" si="35"/>
        <v>7.9831398203560458E-2</v>
      </c>
      <c r="BM28">
        <f t="shared" si="36"/>
        <v>0.2358770463410593</v>
      </c>
      <c r="BN28">
        <f t="shared" si="37"/>
        <v>519.16183234449727</v>
      </c>
      <c r="BO28" t="s">
        <v>407</v>
      </c>
      <c r="BP28">
        <v>0</v>
      </c>
      <c r="BQ28">
        <f t="shared" si="38"/>
        <v>519.16183234449727</v>
      </c>
      <c r="BR28">
        <f t="shared" si="39"/>
        <v>0.73937266507803967</v>
      </c>
      <c r="BS28">
        <f t="shared" si="40"/>
        <v>0.88696687559997778</v>
      </c>
      <c r="BT28">
        <f t="shared" si="41"/>
        <v>0.24186323110809377</v>
      </c>
      <c r="BU28">
        <f t="shared" si="42"/>
        <v>0.90364094834987685</v>
      </c>
      <c r="BV28">
        <f t="shared" si="43"/>
        <v>0.24529471160224248</v>
      </c>
      <c r="BW28">
        <f t="shared" si="44"/>
        <v>0.67160715694238304</v>
      </c>
      <c r="BX28">
        <f t="shared" si="45"/>
        <v>0.32839284305761696</v>
      </c>
      <c r="DG28">
        <f t="shared" si="46"/>
        <v>100.00427999999999</v>
      </c>
      <c r="DH28">
        <f t="shared" si="47"/>
        <v>84.288602448374107</v>
      </c>
      <c r="DI28">
        <f t="shared" si="48"/>
        <v>0.84284995050585954</v>
      </c>
      <c r="DJ28">
        <f t="shared" si="49"/>
        <v>0.16510040447630892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1736195458.349999</v>
      </c>
      <c r="DQ28">
        <v>419.93759999999997</v>
      </c>
      <c r="DR28">
        <v>423.85093333333339</v>
      </c>
      <c r="DS28">
        <v>39.13794</v>
      </c>
      <c r="DT28">
        <v>36.258400000000002</v>
      </c>
      <c r="DU28">
        <v>424.67410000000001</v>
      </c>
      <c r="DV28">
        <v>38.696986666666668</v>
      </c>
      <c r="DW28">
        <v>499.96936666666659</v>
      </c>
      <c r="DX28">
        <v>97.514880000000005</v>
      </c>
      <c r="DY28">
        <v>5.1138736666666663E-2</v>
      </c>
      <c r="DZ28">
        <v>35.367586666666661</v>
      </c>
      <c r="EA28">
        <v>34.823413333333328</v>
      </c>
      <c r="EB28">
        <v>999.9000000000002</v>
      </c>
      <c r="EC28">
        <v>0</v>
      </c>
      <c r="ED28">
        <v>0</v>
      </c>
      <c r="EE28">
        <v>9994.5</v>
      </c>
      <c r="EF28">
        <v>0</v>
      </c>
      <c r="EG28">
        <v>457.82916666666671</v>
      </c>
      <c r="EH28">
        <v>-3.9133533333333328</v>
      </c>
      <c r="EI28">
        <v>437.04259999999999</v>
      </c>
      <c r="EJ28">
        <v>439.79730000000001</v>
      </c>
      <c r="EK28">
        <v>2.8795433333333329</v>
      </c>
      <c r="EL28">
        <v>423.85093333333339</v>
      </c>
      <c r="EM28">
        <v>36.258400000000002</v>
      </c>
      <c r="EN28">
        <v>3.8165330000000011</v>
      </c>
      <c r="EO28">
        <v>3.5357336666666672</v>
      </c>
      <c r="EP28">
        <v>28.097803333333331</v>
      </c>
      <c r="EQ28">
        <v>26.792280000000002</v>
      </c>
      <c r="ER28">
        <v>100.00427999999999</v>
      </c>
      <c r="ES28">
        <v>0.89996979999999993</v>
      </c>
      <c r="ET28">
        <v>0.10003031</v>
      </c>
      <c r="EU28">
        <v>0</v>
      </c>
      <c r="EV28">
        <v>685.52206666666677</v>
      </c>
      <c r="EW28">
        <v>5.0010700000000003</v>
      </c>
      <c r="EX28">
        <v>3028.9136666666668</v>
      </c>
      <c r="EY28">
        <v>836.59833333333324</v>
      </c>
      <c r="EZ28">
        <v>40.311999999999983</v>
      </c>
      <c r="FA28">
        <v>43.631200000000007</v>
      </c>
      <c r="FB28">
        <v>42.326699999999981</v>
      </c>
      <c r="FC28">
        <v>43.580899999999971</v>
      </c>
      <c r="FD28">
        <v>43.030999999999992</v>
      </c>
      <c r="FE28">
        <v>85.500666666666703</v>
      </c>
      <c r="FF28">
        <v>9.5</v>
      </c>
      <c r="FG28">
        <v>0</v>
      </c>
      <c r="FH28">
        <v>147.39999985694891</v>
      </c>
      <c r="FI28">
        <v>0</v>
      </c>
      <c r="FJ28">
        <v>685.63794117647058</v>
      </c>
      <c r="FK28">
        <v>2.7436274650075538</v>
      </c>
      <c r="FL28">
        <v>-70.409313081535757</v>
      </c>
      <c r="FM28">
        <v>3015.0917647058818</v>
      </c>
      <c r="FN28">
        <v>10</v>
      </c>
      <c r="FO28">
        <v>1736195427.0999999</v>
      </c>
      <c r="FP28" t="s">
        <v>830</v>
      </c>
      <c r="FQ28">
        <v>1736195422.0999999</v>
      </c>
      <c r="FR28">
        <v>1736195427.0999999</v>
      </c>
      <c r="FS28">
        <v>46</v>
      </c>
      <c r="FT28">
        <v>8.5000000000000006E-2</v>
      </c>
      <c r="FU28">
        <v>1.4E-2</v>
      </c>
      <c r="FV28">
        <v>-4.7359999999999998</v>
      </c>
      <c r="FW28">
        <v>0.35299999999999998</v>
      </c>
      <c r="FX28">
        <v>423</v>
      </c>
      <c r="FY28">
        <v>36</v>
      </c>
      <c r="FZ28">
        <v>2.06</v>
      </c>
      <c r="GA28">
        <v>0.14000000000000001</v>
      </c>
      <c r="GB28">
        <v>-3.9230635</v>
      </c>
      <c r="GC28">
        <v>1.8823114446526179E-2</v>
      </c>
      <c r="GD28">
        <v>0.1247945870530849</v>
      </c>
      <c r="GE28">
        <v>1</v>
      </c>
      <c r="GF28">
        <v>685.45120588235284</v>
      </c>
      <c r="GG28">
        <v>1.7863865574340421</v>
      </c>
      <c r="GH28">
        <v>0.2554306374608028</v>
      </c>
      <c r="GI28">
        <v>1</v>
      </c>
      <c r="GJ28">
        <v>2.9050660000000001</v>
      </c>
      <c r="GK28">
        <v>-0.46325966228893972</v>
      </c>
      <c r="GL28">
        <v>8.147998980731401E-2</v>
      </c>
      <c r="GM28">
        <v>1</v>
      </c>
      <c r="GN28">
        <v>3</v>
      </c>
      <c r="GO28">
        <v>3</v>
      </c>
      <c r="GP28" t="s">
        <v>599</v>
      </c>
      <c r="GQ28">
        <v>3.1348600000000002</v>
      </c>
      <c r="GR28">
        <v>2.7276199999999999</v>
      </c>
      <c r="GS28">
        <v>9.0680899999999995E-2</v>
      </c>
      <c r="GT28">
        <v>9.1263200000000003E-2</v>
      </c>
      <c r="GU28">
        <v>0.15452399999999999</v>
      </c>
      <c r="GV28">
        <v>0.14752499999999999</v>
      </c>
      <c r="GW28">
        <v>22719.5</v>
      </c>
      <c r="GX28">
        <v>30553.4</v>
      </c>
      <c r="GY28">
        <v>27112.7</v>
      </c>
      <c r="GZ28">
        <v>34588.400000000001</v>
      </c>
      <c r="HA28">
        <v>33594.1</v>
      </c>
      <c r="HB28">
        <v>37684</v>
      </c>
      <c r="HC28">
        <v>40041.4</v>
      </c>
      <c r="HD28">
        <v>44278.400000000001</v>
      </c>
      <c r="HE28">
        <v>1.9450000000000001</v>
      </c>
      <c r="HF28">
        <v>1.7222</v>
      </c>
      <c r="HG28">
        <v>4.1723299999999998E-2</v>
      </c>
      <c r="HH28">
        <v>0</v>
      </c>
      <c r="HI28">
        <v>34.146500000000003</v>
      </c>
      <c r="HJ28">
        <v>999.9</v>
      </c>
      <c r="HK28">
        <v>55.2</v>
      </c>
      <c r="HL28">
        <v>40.5</v>
      </c>
      <c r="HM28">
        <v>43.1</v>
      </c>
      <c r="HN28">
        <v>59.8202</v>
      </c>
      <c r="HO28">
        <v>7.4318900000000001</v>
      </c>
      <c r="HP28">
        <v>1</v>
      </c>
      <c r="HQ28">
        <v>0.72349600000000003</v>
      </c>
      <c r="HR28">
        <v>0</v>
      </c>
      <c r="HS28">
        <v>20.292400000000001</v>
      </c>
      <c r="HT28">
        <v>5.2065099999999997</v>
      </c>
      <c r="HU28">
        <v>11.908099999999999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1.8675200000000001</v>
      </c>
      <c r="IC28">
        <v>1.8631</v>
      </c>
      <c r="ID28">
        <v>1.8626400000000001</v>
      </c>
      <c r="IE28">
        <v>1.8621799999999999</v>
      </c>
      <c r="IF28">
        <v>1.86212</v>
      </c>
      <c r="IG28">
        <v>1.8627899999999999</v>
      </c>
      <c r="IH28">
        <v>1.86365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-4.7359999999999998</v>
      </c>
      <c r="IX28">
        <v>0.441</v>
      </c>
      <c r="IY28">
        <v>-4.73647619047631</v>
      </c>
      <c r="IZ28">
        <v>0</v>
      </c>
      <c r="JA28">
        <v>0</v>
      </c>
      <c r="JB28">
        <v>0</v>
      </c>
      <c r="JC28">
        <v>-0.39050058503768798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0.7</v>
      </c>
      <c r="JL28">
        <v>0.7</v>
      </c>
      <c r="JM28">
        <v>1.1047400000000001</v>
      </c>
      <c r="JN28">
        <v>2.5463900000000002</v>
      </c>
      <c r="JO28">
        <v>1.50024</v>
      </c>
      <c r="JP28">
        <v>2.2729499999999998</v>
      </c>
      <c r="JQ28">
        <v>1.4477500000000001</v>
      </c>
      <c r="JR28">
        <v>2.4694799999999999</v>
      </c>
      <c r="JS28">
        <v>44.14</v>
      </c>
      <c r="JT28">
        <v>14.639900000000001</v>
      </c>
      <c r="JU28">
        <v>18</v>
      </c>
      <c r="JV28">
        <v>548.26900000000001</v>
      </c>
      <c r="JW28">
        <v>415.52600000000001</v>
      </c>
      <c r="JX28">
        <v>35.375399999999999</v>
      </c>
      <c r="JY28">
        <v>36.213700000000003</v>
      </c>
      <c r="JZ28">
        <v>29.999600000000001</v>
      </c>
      <c r="KA28">
        <v>36.147100000000002</v>
      </c>
      <c r="KB28">
        <v>36.094000000000001</v>
      </c>
      <c r="KC28">
        <v>22.088999999999999</v>
      </c>
      <c r="KD28">
        <v>29.558599999999998</v>
      </c>
      <c r="KE28">
        <v>49.024700000000003</v>
      </c>
      <c r="KF28">
        <v>-999.9</v>
      </c>
      <c r="KG28">
        <v>423.82</v>
      </c>
      <c r="KH28">
        <v>36.041200000000003</v>
      </c>
      <c r="KI28">
        <v>100.07</v>
      </c>
      <c r="KJ28">
        <v>99.231300000000005</v>
      </c>
    </row>
    <row r="29" spans="1:296" x14ac:dyDescent="0.3">
      <c r="A29">
        <v>13</v>
      </c>
      <c r="B29">
        <v>1736195588.5999999</v>
      </c>
      <c r="C29">
        <v>1767.599999904633</v>
      </c>
      <c r="D29" t="s">
        <v>831</v>
      </c>
      <c r="E29" t="s">
        <v>832</v>
      </c>
      <c r="F29">
        <v>15</v>
      </c>
      <c r="H29">
        <v>1736195580.849999</v>
      </c>
      <c r="I29">
        <f t="shared" si="0"/>
        <v>2.2031032171016961E-3</v>
      </c>
      <c r="J29">
        <f t="shared" si="1"/>
        <v>2.2031032171016962</v>
      </c>
      <c r="K29">
        <f t="shared" si="2"/>
        <v>-0.9819630513737525</v>
      </c>
      <c r="L29">
        <f t="shared" si="3"/>
        <v>419.75763333333339</v>
      </c>
      <c r="M29">
        <f t="shared" si="4"/>
        <v>420.53504652657347</v>
      </c>
      <c r="N29">
        <f t="shared" si="5"/>
        <v>41.028560316297622</v>
      </c>
      <c r="O29">
        <f t="shared" si="6"/>
        <v>40.95271373857959</v>
      </c>
      <c r="P29">
        <f t="shared" si="7"/>
        <v>0.11820547645310864</v>
      </c>
      <c r="Q29">
        <f t="shared" si="8"/>
        <v>2.883909526371534</v>
      </c>
      <c r="R29">
        <f t="shared" si="9"/>
        <v>0.11557834240379038</v>
      </c>
      <c r="S29">
        <f t="shared" si="10"/>
        <v>7.2467638458470499E-2</v>
      </c>
      <c r="T29">
        <f t="shared" si="11"/>
        <v>8.2428662747579811</v>
      </c>
      <c r="U29">
        <f t="shared" si="12"/>
        <v>34.590123545016318</v>
      </c>
      <c r="V29">
        <f t="shared" si="13"/>
        <v>34.589733333333342</v>
      </c>
      <c r="W29">
        <f t="shared" si="14"/>
        <v>5.5213048387660733</v>
      </c>
      <c r="X29">
        <f t="shared" si="15"/>
        <v>65.953984126301165</v>
      </c>
      <c r="Y29">
        <f t="shared" si="16"/>
        <v>3.7499691192242111</v>
      </c>
      <c r="Z29">
        <f t="shared" si="17"/>
        <v>5.6857355456238405</v>
      </c>
      <c r="AA29">
        <f t="shared" si="18"/>
        <v>1.7713357195418622</v>
      </c>
      <c r="AB29">
        <f t="shared" si="19"/>
        <v>-97.156851874184795</v>
      </c>
      <c r="AC29">
        <f t="shared" si="20"/>
        <v>82.306589159600264</v>
      </c>
      <c r="AD29">
        <f t="shared" si="21"/>
        <v>6.6558066290273024</v>
      </c>
      <c r="AE29">
        <f t="shared" si="22"/>
        <v>4.8410189200751574E-2</v>
      </c>
      <c r="AF29">
        <f t="shared" si="23"/>
        <v>-0.9819630513737525</v>
      </c>
      <c r="AG29">
        <f t="shared" si="24"/>
        <v>2.2031032171016962</v>
      </c>
      <c r="AH29">
        <f t="shared" si="25"/>
        <v>-1.0105304394265247</v>
      </c>
      <c r="AI29">
        <v>435.44103221912678</v>
      </c>
      <c r="AJ29">
        <v>436.63429090909091</v>
      </c>
      <c r="AK29">
        <v>1.2642644348886799E-2</v>
      </c>
      <c r="AL29">
        <v>67.088241630701106</v>
      </c>
      <c r="AM29">
        <f t="shared" si="26"/>
        <v>2.2433746002076558</v>
      </c>
      <c r="AN29">
        <v>35.911884999327093</v>
      </c>
      <c r="AO29">
        <v>38.498824848484851</v>
      </c>
      <c r="AP29">
        <v>2.5269292033723589E-4</v>
      </c>
      <c r="AQ29">
        <v>78.240433738239759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50157.966389672925</v>
      </c>
      <c r="AW29" t="s">
        <v>784</v>
      </c>
      <c r="AX29">
        <v>5111.59</v>
      </c>
      <c r="AY29">
        <v>546.33823529411768</v>
      </c>
      <c r="AZ29">
        <v>2461.83</v>
      </c>
      <c r="BA29">
        <f t="shared" si="30"/>
        <v>0.77807637599098323</v>
      </c>
      <c r="BB29">
        <v>-4.5166359946861352</v>
      </c>
      <c r="BC29" t="s">
        <v>833</v>
      </c>
      <c r="BD29">
        <v>5117.76</v>
      </c>
      <c r="BE29">
        <v>675.93323529411759</v>
      </c>
      <c r="BF29">
        <v>2127.86</v>
      </c>
      <c r="BG29">
        <f t="shared" si="31"/>
        <v>0.68234130286103523</v>
      </c>
      <c r="BH29">
        <v>0.5</v>
      </c>
      <c r="BI29">
        <f t="shared" si="32"/>
        <v>42.146027445988587</v>
      </c>
      <c r="BJ29">
        <f t="shared" si="33"/>
        <v>-0.9819630513737525</v>
      </c>
      <c r="BK29">
        <f t="shared" si="34"/>
        <v>14.378987638956401</v>
      </c>
      <c r="BL29">
        <f t="shared" si="35"/>
        <v>8.3867286136093677E-2</v>
      </c>
      <c r="BM29">
        <f t="shared" si="36"/>
        <v>0.15695111520494759</v>
      </c>
      <c r="BN29">
        <f t="shared" si="37"/>
        <v>527.94915370258423</v>
      </c>
      <c r="BO29" t="s">
        <v>407</v>
      </c>
      <c r="BP29">
        <v>0</v>
      </c>
      <c r="BQ29">
        <f t="shared" si="38"/>
        <v>527.94915370258423</v>
      </c>
      <c r="BR29">
        <f t="shared" si="39"/>
        <v>0.75188726997895339</v>
      </c>
      <c r="BS29">
        <f t="shared" si="40"/>
        <v>0.90750479507404758</v>
      </c>
      <c r="BT29">
        <f t="shared" si="41"/>
        <v>0.17269419708014308</v>
      </c>
      <c r="BU29">
        <f t="shared" si="42"/>
        <v>0.91805677108458827</v>
      </c>
      <c r="BV29">
        <f t="shared" si="43"/>
        <v>0.1743520938871172</v>
      </c>
      <c r="BW29">
        <f t="shared" si="44"/>
        <v>0.70882206040941831</v>
      </c>
      <c r="BX29">
        <f t="shared" si="45"/>
        <v>0.29117793959058169</v>
      </c>
      <c r="DG29">
        <f t="shared" si="46"/>
        <v>50.01297666666666</v>
      </c>
      <c r="DH29">
        <f t="shared" si="47"/>
        <v>42.146027445988587</v>
      </c>
      <c r="DI29">
        <f t="shared" si="48"/>
        <v>0.84270183970230772</v>
      </c>
      <c r="DJ29">
        <f t="shared" si="49"/>
        <v>0.16481455062545397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1736195580.849999</v>
      </c>
      <c r="DQ29">
        <v>419.75763333333339</v>
      </c>
      <c r="DR29">
        <v>419.68900000000002</v>
      </c>
      <c r="DS29">
        <v>38.436480000000003</v>
      </c>
      <c r="DT29">
        <v>35.894336666666668</v>
      </c>
      <c r="DU29">
        <v>424.49410000000012</v>
      </c>
      <c r="DV29">
        <v>38.078479999999999</v>
      </c>
      <c r="DW29">
        <v>499.99313333333328</v>
      </c>
      <c r="DX29">
        <v>97.513566666666662</v>
      </c>
      <c r="DY29">
        <v>4.9194523333333337E-2</v>
      </c>
      <c r="DZ29">
        <v>35.119113333333317</v>
      </c>
      <c r="EA29">
        <v>34.589733333333342</v>
      </c>
      <c r="EB29">
        <v>999.9000000000002</v>
      </c>
      <c r="EC29">
        <v>0</v>
      </c>
      <c r="ED29">
        <v>0</v>
      </c>
      <c r="EE29">
        <v>9990.5</v>
      </c>
      <c r="EF29">
        <v>0</v>
      </c>
      <c r="EG29">
        <v>669.14946666666663</v>
      </c>
      <c r="EH29">
        <v>6.8612692533333325E-2</v>
      </c>
      <c r="EI29">
        <v>436.56563333333338</v>
      </c>
      <c r="EJ29">
        <v>435.31433333333342</v>
      </c>
      <c r="EK29">
        <v>2.6062993333333329</v>
      </c>
      <c r="EL29">
        <v>419.68900000000002</v>
      </c>
      <c r="EM29">
        <v>35.894336666666668</v>
      </c>
      <c r="EN29">
        <v>3.754335666666667</v>
      </c>
      <c r="EO29">
        <v>3.5001856666666669</v>
      </c>
      <c r="EP29">
        <v>27.816046666666679</v>
      </c>
      <c r="EQ29">
        <v>26.620640000000002</v>
      </c>
      <c r="ER29">
        <v>50.01297666666666</v>
      </c>
      <c r="ES29">
        <v>0.89995496666666663</v>
      </c>
      <c r="ET29">
        <v>0.10004523999999999</v>
      </c>
      <c r="EU29">
        <v>0</v>
      </c>
      <c r="EV29">
        <v>676.03329999999994</v>
      </c>
      <c r="EW29">
        <v>5.0010700000000003</v>
      </c>
      <c r="EX29">
        <v>2403.7006666666671</v>
      </c>
      <c r="EY29">
        <v>396.37266666666659</v>
      </c>
      <c r="EZ29">
        <v>39.858199999999989</v>
      </c>
      <c r="FA29">
        <v>43.254133333333343</v>
      </c>
      <c r="FB29">
        <v>41.883266666666671</v>
      </c>
      <c r="FC29">
        <v>43.216399999999993</v>
      </c>
      <c r="FD29">
        <v>42.599799999999981</v>
      </c>
      <c r="FE29">
        <v>40.508666666666663</v>
      </c>
      <c r="FF29">
        <v>4.5043333333333333</v>
      </c>
      <c r="FG29">
        <v>0</v>
      </c>
      <c r="FH29">
        <v>121.5999999046326</v>
      </c>
      <c r="FI29">
        <v>0</v>
      </c>
      <c r="FJ29">
        <v>675.93323529411759</v>
      </c>
      <c r="FK29">
        <v>-1.842156853129455</v>
      </c>
      <c r="FL29">
        <v>-88.034313831827859</v>
      </c>
      <c r="FM29">
        <v>2401.849411764706</v>
      </c>
      <c r="FN29">
        <v>10</v>
      </c>
      <c r="FO29">
        <v>1736195615.0999999</v>
      </c>
      <c r="FP29" t="s">
        <v>834</v>
      </c>
      <c r="FQ29">
        <v>1736195422.0999999</v>
      </c>
      <c r="FR29">
        <v>1736195615.0999999</v>
      </c>
      <c r="FS29">
        <v>47</v>
      </c>
      <c r="FT29">
        <v>8.5000000000000006E-2</v>
      </c>
      <c r="FU29">
        <v>1.4999999999999999E-2</v>
      </c>
      <c r="FV29">
        <v>-4.7359999999999998</v>
      </c>
      <c r="FW29">
        <v>0.35799999999999998</v>
      </c>
      <c r="FX29">
        <v>423</v>
      </c>
      <c r="FY29">
        <v>36</v>
      </c>
      <c r="FZ29">
        <v>2.06</v>
      </c>
      <c r="GA29">
        <v>0.18</v>
      </c>
      <c r="GB29">
        <v>0.10702746275</v>
      </c>
      <c r="GC29">
        <v>-0.90563792746716798</v>
      </c>
      <c r="GD29">
        <v>0.15892937392226281</v>
      </c>
      <c r="GE29">
        <v>1</v>
      </c>
      <c r="GF29">
        <v>676.17182352941177</v>
      </c>
      <c r="GG29">
        <v>-2.382062642101356</v>
      </c>
      <c r="GH29">
        <v>0.30437732683862773</v>
      </c>
      <c r="GI29">
        <v>1</v>
      </c>
      <c r="GJ29">
        <v>2.623704</v>
      </c>
      <c r="GK29">
        <v>-0.33645253283302567</v>
      </c>
      <c r="GL29">
        <v>3.5498411077117223E-2</v>
      </c>
      <c r="GM29">
        <v>1</v>
      </c>
      <c r="GN29">
        <v>3</v>
      </c>
      <c r="GO29">
        <v>3</v>
      </c>
      <c r="GP29" t="s">
        <v>599</v>
      </c>
      <c r="GQ29">
        <v>3.1351100000000001</v>
      </c>
      <c r="GR29">
        <v>2.7254800000000001</v>
      </c>
      <c r="GS29">
        <v>9.06801E-2</v>
      </c>
      <c r="GT29">
        <v>9.0626100000000001E-2</v>
      </c>
      <c r="GU29">
        <v>0.15288399999999999</v>
      </c>
      <c r="GV29">
        <v>0.14694099999999999</v>
      </c>
      <c r="GW29">
        <v>22725.4</v>
      </c>
      <c r="GX29">
        <v>30583.200000000001</v>
      </c>
      <c r="GY29">
        <v>27119.1</v>
      </c>
      <c r="GZ29">
        <v>34596.800000000003</v>
      </c>
      <c r="HA29">
        <v>33664.6</v>
      </c>
      <c r="HB29">
        <v>37717.5</v>
      </c>
      <c r="HC29">
        <v>40049.800000000003</v>
      </c>
      <c r="HD29">
        <v>44288.2</v>
      </c>
      <c r="HE29">
        <v>1.9466000000000001</v>
      </c>
      <c r="HF29">
        <v>1.7242</v>
      </c>
      <c r="HG29">
        <v>4.2140499999999997E-2</v>
      </c>
      <c r="HH29">
        <v>0</v>
      </c>
      <c r="HI29">
        <v>33.911499999999997</v>
      </c>
      <c r="HJ29">
        <v>999.9</v>
      </c>
      <c r="HK29">
        <v>54.9</v>
      </c>
      <c r="HL29">
        <v>40.5</v>
      </c>
      <c r="HM29">
        <v>42.8675</v>
      </c>
      <c r="HN29">
        <v>58.840200000000003</v>
      </c>
      <c r="HO29">
        <v>6.8429500000000001</v>
      </c>
      <c r="HP29">
        <v>1</v>
      </c>
      <c r="HQ29">
        <v>0.711341</v>
      </c>
      <c r="HR29">
        <v>0</v>
      </c>
      <c r="HS29">
        <v>20.293099999999999</v>
      </c>
      <c r="HT29">
        <v>5.2077099999999996</v>
      </c>
      <c r="HU29">
        <v>11.908099999999999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1.8675200000000001</v>
      </c>
      <c r="IC29">
        <v>1.8631</v>
      </c>
      <c r="ID29">
        <v>1.8626400000000001</v>
      </c>
      <c r="IE29">
        <v>1.86215</v>
      </c>
      <c r="IF29">
        <v>1.8621799999999999</v>
      </c>
      <c r="IG29">
        <v>1.86276</v>
      </c>
      <c r="IH29">
        <v>1.86365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-4.7370000000000001</v>
      </c>
      <c r="IX29">
        <v>0.35799999999999998</v>
      </c>
      <c r="IY29">
        <v>-4.73647619047631</v>
      </c>
      <c r="IZ29">
        <v>0</v>
      </c>
      <c r="JA29">
        <v>0</v>
      </c>
      <c r="JB29">
        <v>0</v>
      </c>
      <c r="JC29">
        <v>-0.39050058503768798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2.8</v>
      </c>
      <c r="JL29">
        <v>2.7</v>
      </c>
      <c r="JM29">
        <v>1.09619</v>
      </c>
      <c r="JN29">
        <v>2.5549300000000001</v>
      </c>
      <c r="JO29">
        <v>1.50024</v>
      </c>
      <c r="JP29">
        <v>2.2729499999999998</v>
      </c>
      <c r="JQ29">
        <v>1.4477500000000001</v>
      </c>
      <c r="JR29">
        <v>2.3107899999999999</v>
      </c>
      <c r="JS29">
        <v>44.001899999999999</v>
      </c>
      <c r="JT29">
        <v>14.604900000000001</v>
      </c>
      <c r="JU29">
        <v>18</v>
      </c>
      <c r="JV29">
        <v>548.28300000000002</v>
      </c>
      <c r="JW29">
        <v>415.93900000000002</v>
      </c>
      <c r="JX29">
        <v>35.167900000000003</v>
      </c>
      <c r="JY29">
        <v>36.056100000000001</v>
      </c>
      <c r="JZ29">
        <v>29.999700000000001</v>
      </c>
      <c r="KA29">
        <v>36.012500000000003</v>
      </c>
      <c r="KB29">
        <v>35.964799999999997</v>
      </c>
      <c r="KC29">
        <v>21.9283</v>
      </c>
      <c r="KD29">
        <v>29.267199999999999</v>
      </c>
      <c r="KE29">
        <v>49.024700000000003</v>
      </c>
      <c r="KF29">
        <v>-999.9</v>
      </c>
      <c r="KG29">
        <v>419.80900000000003</v>
      </c>
      <c r="KH29">
        <v>36.001100000000001</v>
      </c>
      <c r="KI29">
        <v>100.092</v>
      </c>
      <c r="KJ29">
        <v>99.254099999999994</v>
      </c>
    </row>
    <row r="30" spans="1:296" x14ac:dyDescent="0.3">
      <c r="A30">
        <v>14</v>
      </c>
      <c r="B30">
        <v>1736195752.0999999</v>
      </c>
      <c r="C30">
        <v>1931.099999904633</v>
      </c>
      <c r="D30" t="s">
        <v>835</v>
      </c>
      <c r="E30" t="s">
        <v>836</v>
      </c>
      <c r="F30">
        <v>15</v>
      </c>
      <c r="H30">
        <v>1736195744.349999</v>
      </c>
      <c r="I30">
        <f t="shared" si="0"/>
        <v>2.1230015035816913E-3</v>
      </c>
      <c r="J30">
        <f t="shared" si="1"/>
        <v>2.1230015035816914</v>
      </c>
      <c r="K30">
        <f t="shared" si="2"/>
        <v>-2.3584365841122104</v>
      </c>
      <c r="L30">
        <f t="shared" si="3"/>
        <v>419.9498000000001</v>
      </c>
      <c r="M30">
        <f t="shared" si="4"/>
        <v>440.56295635395031</v>
      </c>
      <c r="N30">
        <f t="shared" si="5"/>
        <v>42.982646940086916</v>
      </c>
      <c r="O30">
        <f t="shared" si="6"/>
        <v>40.971565415632035</v>
      </c>
      <c r="P30">
        <f t="shared" si="7"/>
        <v>0.11427082416505872</v>
      </c>
      <c r="Q30">
        <f t="shared" si="8"/>
        <v>2.8861558997858854</v>
      </c>
      <c r="R30">
        <f t="shared" si="9"/>
        <v>0.11181558526421448</v>
      </c>
      <c r="S30">
        <f t="shared" si="10"/>
        <v>7.0100940462713895E-2</v>
      </c>
      <c r="T30">
        <f t="shared" si="11"/>
        <v>4.9316898559132598</v>
      </c>
      <c r="U30">
        <f t="shared" si="12"/>
        <v>34.376444016682314</v>
      </c>
      <c r="V30">
        <f t="shared" si="13"/>
        <v>34.430896666666662</v>
      </c>
      <c r="W30">
        <f t="shared" si="14"/>
        <v>5.4727819485575795</v>
      </c>
      <c r="X30">
        <f t="shared" si="15"/>
        <v>65.989766472824982</v>
      </c>
      <c r="Y30">
        <f t="shared" si="16"/>
        <v>3.7075406230509937</v>
      </c>
      <c r="Z30">
        <f t="shared" si="17"/>
        <v>5.6183569380833971</v>
      </c>
      <c r="AA30">
        <f t="shared" si="18"/>
        <v>1.7652413255065857</v>
      </c>
      <c r="AB30">
        <f t="shared" si="19"/>
        <v>-93.624366307952585</v>
      </c>
      <c r="AC30">
        <f t="shared" si="20"/>
        <v>73.586131425666309</v>
      </c>
      <c r="AD30">
        <f t="shared" si="21"/>
        <v>5.9351529820062998</v>
      </c>
      <c r="AE30">
        <f t="shared" si="22"/>
        <v>-9.1713920443667121</v>
      </c>
      <c r="AF30">
        <f t="shared" si="23"/>
        <v>-2.3584365841122104</v>
      </c>
      <c r="AG30">
        <f t="shared" si="24"/>
        <v>2.1230015035816914</v>
      </c>
      <c r="AH30">
        <f t="shared" si="25"/>
        <v>-2.2354115147655875</v>
      </c>
      <c r="AI30">
        <v>433.50332778862298</v>
      </c>
      <c r="AJ30">
        <v>436.41036363636363</v>
      </c>
      <c r="AK30">
        <v>-2.4606629930024281E-2</v>
      </c>
      <c r="AL30">
        <v>67.087923572438783</v>
      </c>
      <c r="AM30">
        <f t="shared" si="26"/>
        <v>1.9844353824892766</v>
      </c>
      <c r="AN30">
        <v>35.526203089529453</v>
      </c>
      <c r="AO30">
        <v>37.89568969696969</v>
      </c>
      <c r="AP30">
        <v>-1.316624731804121E-2</v>
      </c>
      <c r="AQ30">
        <v>78.239191541083315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50255.236141192487</v>
      </c>
      <c r="AW30" t="s">
        <v>784</v>
      </c>
      <c r="AX30">
        <v>5111.59</v>
      </c>
      <c r="AY30">
        <v>546.33823529411768</v>
      </c>
      <c r="AZ30">
        <v>2461.83</v>
      </c>
      <c r="BA30">
        <f t="shared" si="30"/>
        <v>0.77807637599098323</v>
      </c>
      <c r="BB30">
        <v>-4.5166359946861352</v>
      </c>
      <c r="BC30" t="s">
        <v>837</v>
      </c>
      <c r="BD30">
        <v>5117.01</v>
      </c>
      <c r="BE30">
        <v>664.99664705882356</v>
      </c>
      <c r="BF30">
        <v>2228.79</v>
      </c>
      <c r="BG30">
        <f t="shared" si="31"/>
        <v>0.70163333151224494</v>
      </c>
      <c r="BH30">
        <v>0.5</v>
      </c>
      <c r="BI30">
        <f t="shared" si="32"/>
        <v>25.274488567830705</v>
      </c>
      <c r="BJ30">
        <f t="shared" si="33"/>
        <v>-2.3584365841122104</v>
      </c>
      <c r="BK30">
        <f t="shared" si="34"/>
        <v>8.8667118080576035</v>
      </c>
      <c r="BL30">
        <f t="shared" si="35"/>
        <v>8.5390428565224247E-2</v>
      </c>
      <c r="BM30">
        <f t="shared" si="36"/>
        <v>0.10455897594658983</v>
      </c>
      <c r="BN30">
        <f t="shared" si="37"/>
        <v>533.94843866311828</v>
      </c>
      <c r="BO30" t="s">
        <v>407</v>
      </c>
      <c r="BP30">
        <v>0</v>
      </c>
      <c r="BQ30">
        <f t="shared" si="38"/>
        <v>533.94843866311828</v>
      </c>
      <c r="BR30">
        <f t="shared" si="39"/>
        <v>0.76043124804799089</v>
      </c>
      <c r="BS30">
        <f t="shared" si="40"/>
        <v>0.92267819518637773</v>
      </c>
      <c r="BT30">
        <f t="shared" si="41"/>
        <v>0.12087879498074526</v>
      </c>
      <c r="BU30">
        <f t="shared" si="42"/>
        <v>0.92947291907328511</v>
      </c>
      <c r="BV30">
        <f t="shared" si="43"/>
        <v>0.12166066401010213</v>
      </c>
      <c r="BW30">
        <f t="shared" si="44"/>
        <v>0.74084972290798767</v>
      </c>
      <c r="BX30">
        <f t="shared" si="45"/>
        <v>0.25915027709201233</v>
      </c>
      <c r="DG30">
        <f t="shared" si="46"/>
        <v>30.000050000000002</v>
      </c>
      <c r="DH30">
        <f t="shared" si="47"/>
        <v>25.274488567830705</v>
      </c>
      <c r="DI30">
        <f t="shared" si="48"/>
        <v>0.84248154812510989</v>
      </c>
      <c r="DJ30">
        <f t="shared" si="49"/>
        <v>0.16438938788146218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1736195744.349999</v>
      </c>
      <c r="DQ30">
        <v>419.9498000000001</v>
      </c>
      <c r="DR30">
        <v>418.18956666666668</v>
      </c>
      <c r="DS30">
        <v>38.001499999999993</v>
      </c>
      <c r="DT30">
        <v>35.550746666666662</v>
      </c>
      <c r="DU30">
        <v>424.6126666666666</v>
      </c>
      <c r="DV30">
        <v>37.569670000000002</v>
      </c>
      <c r="DW30">
        <v>500.00729999999999</v>
      </c>
      <c r="DX30">
        <v>97.512696666666656</v>
      </c>
      <c r="DY30">
        <v>5.0310663333333332E-2</v>
      </c>
      <c r="DZ30">
        <v>34.903820000000003</v>
      </c>
      <c r="EA30">
        <v>34.430896666666662</v>
      </c>
      <c r="EB30">
        <v>999.9000000000002</v>
      </c>
      <c r="EC30">
        <v>0</v>
      </c>
      <c r="ED30">
        <v>0</v>
      </c>
      <c r="EE30">
        <v>10003.5</v>
      </c>
      <c r="EF30">
        <v>0</v>
      </c>
      <c r="EG30">
        <v>389.13339999999988</v>
      </c>
      <c r="EH30">
        <v>1.7601973333333329</v>
      </c>
      <c r="EI30">
        <v>436.53890000000001</v>
      </c>
      <c r="EJ30">
        <v>433.60456666666659</v>
      </c>
      <c r="EK30">
        <v>2.450742</v>
      </c>
      <c r="EL30">
        <v>418.18956666666668</v>
      </c>
      <c r="EM30">
        <v>35.550746666666662</v>
      </c>
      <c r="EN30">
        <v>3.7056283333333329</v>
      </c>
      <c r="EO30">
        <v>3.4666493333333341</v>
      </c>
      <c r="EP30">
        <v>27.592510000000001</v>
      </c>
      <c r="EQ30">
        <v>26.45727333333333</v>
      </c>
      <c r="ER30">
        <v>30.000050000000002</v>
      </c>
      <c r="ES30">
        <v>0.90064793333333337</v>
      </c>
      <c r="ET30">
        <v>9.935181666666669E-2</v>
      </c>
      <c r="EU30">
        <v>0</v>
      </c>
      <c r="EV30">
        <v>665.02296666666655</v>
      </c>
      <c r="EW30">
        <v>5.0010700000000003</v>
      </c>
      <c r="EX30">
        <v>2191.2496666666661</v>
      </c>
      <c r="EY30">
        <v>220.2013666666667</v>
      </c>
      <c r="EZ30">
        <v>39.320399999999992</v>
      </c>
      <c r="FA30">
        <v>42.75</v>
      </c>
      <c r="FB30">
        <v>41.375</v>
      </c>
      <c r="FC30">
        <v>42.811999999999983</v>
      </c>
      <c r="FD30">
        <v>42.101899999999993</v>
      </c>
      <c r="FE30">
        <v>22.515000000000001</v>
      </c>
      <c r="FF30">
        <v>2.4813333333333341</v>
      </c>
      <c r="FG30">
        <v>0</v>
      </c>
      <c r="FH30">
        <v>162.79999995231631</v>
      </c>
      <c r="FI30">
        <v>0</v>
      </c>
      <c r="FJ30">
        <v>664.99664705882356</v>
      </c>
      <c r="FK30">
        <v>-0.71274510413486791</v>
      </c>
      <c r="FL30">
        <v>210.6053919529997</v>
      </c>
      <c r="FM30">
        <v>2197.1623529411759</v>
      </c>
      <c r="FN30">
        <v>10</v>
      </c>
      <c r="FO30">
        <v>1736195724.0999999</v>
      </c>
      <c r="FP30" t="s">
        <v>838</v>
      </c>
      <c r="FQ30">
        <v>1736195718.0999999</v>
      </c>
      <c r="FR30">
        <v>1736195724.0999999</v>
      </c>
      <c r="FS30">
        <v>48</v>
      </c>
      <c r="FT30">
        <v>7.3999999999999996E-2</v>
      </c>
      <c r="FU30">
        <v>0.01</v>
      </c>
      <c r="FV30">
        <v>-4.6630000000000003</v>
      </c>
      <c r="FW30">
        <v>0.36199999999999999</v>
      </c>
      <c r="FX30">
        <v>418</v>
      </c>
      <c r="FY30">
        <v>36</v>
      </c>
      <c r="FZ30">
        <v>1.69</v>
      </c>
      <c r="GA30">
        <v>0.17</v>
      </c>
      <c r="GB30">
        <v>1.71498225</v>
      </c>
      <c r="GC30">
        <v>0.84793677298311199</v>
      </c>
      <c r="GD30">
        <v>0.16948651373320969</v>
      </c>
      <c r="GE30">
        <v>1</v>
      </c>
      <c r="GF30">
        <v>665.09826470588234</v>
      </c>
      <c r="GG30">
        <v>-0.88004583474105569</v>
      </c>
      <c r="GH30">
        <v>0.17800517322679851</v>
      </c>
      <c r="GI30">
        <v>1</v>
      </c>
      <c r="GJ30">
        <v>2.4065252500000001</v>
      </c>
      <c r="GK30">
        <v>0.43040679174483443</v>
      </c>
      <c r="GL30">
        <v>0.1210641674688985</v>
      </c>
      <c r="GM30">
        <v>1</v>
      </c>
      <c r="GN30">
        <v>3</v>
      </c>
      <c r="GO30">
        <v>3</v>
      </c>
      <c r="GP30" t="s">
        <v>599</v>
      </c>
      <c r="GQ30">
        <v>3.1345100000000001</v>
      </c>
      <c r="GR30">
        <v>2.7265999999999999</v>
      </c>
      <c r="GS30">
        <v>9.0727100000000005E-2</v>
      </c>
      <c r="GT30">
        <v>9.03645E-2</v>
      </c>
      <c r="GU30">
        <v>0.15128900000000001</v>
      </c>
      <c r="GV30">
        <v>0.14605299999999999</v>
      </c>
      <c r="GW30">
        <v>22732.7</v>
      </c>
      <c r="GX30">
        <v>30606.3</v>
      </c>
      <c r="GY30">
        <v>27128.1</v>
      </c>
      <c r="GZ30">
        <v>34611.4</v>
      </c>
      <c r="HA30">
        <v>33737.599999999999</v>
      </c>
      <c r="HB30">
        <v>37769.5</v>
      </c>
      <c r="HC30">
        <v>40063.800000000003</v>
      </c>
      <c r="HD30">
        <v>44304.3</v>
      </c>
      <c r="HE30">
        <v>1.948</v>
      </c>
      <c r="HF30">
        <v>1.7263999999999999</v>
      </c>
      <c r="HG30">
        <v>4.6789600000000001E-2</v>
      </c>
      <c r="HH30">
        <v>0</v>
      </c>
      <c r="HI30">
        <v>33.6843</v>
      </c>
      <c r="HJ30">
        <v>999.9</v>
      </c>
      <c r="HK30">
        <v>54.7</v>
      </c>
      <c r="HL30">
        <v>40.4</v>
      </c>
      <c r="HM30">
        <v>42.482199999999999</v>
      </c>
      <c r="HN30">
        <v>59.840299999999999</v>
      </c>
      <c r="HO30">
        <v>7.4439099999999998</v>
      </c>
      <c r="HP30">
        <v>1</v>
      </c>
      <c r="HQ30">
        <v>0.69256099999999998</v>
      </c>
      <c r="HR30">
        <v>0</v>
      </c>
      <c r="HS30">
        <v>20.293800000000001</v>
      </c>
      <c r="HT30">
        <v>5.2112999999999996</v>
      </c>
      <c r="HU30">
        <v>11.908099999999999</v>
      </c>
      <c r="HV30">
        <v>4.9832000000000001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1.8675200000000001</v>
      </c>
      <c r="IC30">
        <v>1.8631</v>
      </c>
      <c r="ID30">
        <v>1.8626100000000001</v>
      </c>
      <c r="IE30">
        <v>1.86212</v>
      </c>
      <c r="IF30">
        <v>1.86209</v>
      </c>
      <c r="IG30">
        <v>1.86276</v>
      </c>
      <c r="IH30">
        <v>1.8635900000000001</v>
      </c>
      <c r="II30">
        <v>1.8615699999999999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-4.6630000000000003</v>
      </c>
      <c r="IX30">
        <v>0.42849999999999999</v>
      </c>
      <c r="IY30">
        <v>-4.6628499999999917</v>
      </c>
      <c r="IZ30">
        <v>0</v>
      </c>
      <c r="JA30">
        <v>0</v>
      </c>
      <c r="JB30">
        <v>0</v>
      </c>
      <c r="JC30">
        <v>-0.365317232866115</v>
      </c>
      <c r="JD30">
        <v>2.7492919904454862E-4</v>
      </c>
      <c r="JE30">
        <v>8.6739513355948885E-4</v>
      </c>
      <c r="JF30">
        <v>-8.2500691715147318E-6</v>
      </c>
      <c r="JG30">
        <v>-1</v>
      </c>
      <c r="JH30">
        <v>-1</v>
      </c>
      <c r="JI30">
        <v>2</v>
      </c>
      <c r="JJ30">
        <v>37</v>
      </c>
      <c r="JK30">
        <v>0.6</v>
      </c>
      <c r="JL30">
        <v>0.5</v>
      </c>
      <c r="JM30">
        <v>1.09375</v>
      </c>
      <c r="JN30">
        <v>2.5451700000000002</v>
      </c>
      <c r="JO30">
        <v>1.50024</v>
      </c>
      <c r="JP30">
        <v>2.2717299999999998</v>
      </c>
      <c r="JQ30">
        <v>1.4477500000000001</v>
      </c>
      <c r="JR30">
        <v>2.4670399999999999</v>
      </c>
      <c r="JS30">
        <v>43.726900000000001</v>
      </c>
      <c r="JT30">
        <v>14.5961</v>
      </c>
      <c r="JU30">
        <v>18</v>
      </c>
      <c r="JV30">
        <v>547.59</v>
      </c>
      <c r="JW30">
        <v>416.02300000000002</v>
      </c>
      <c r="JX30">
        <v>34.930900000000001</v>
      </c>
      <c r="JY30">
        <v>35.829700000000003</v>
      </c>
      <c r="JZ30">
        <v>29.9998</v>
      </c>
      <c r="KA30">
        <v>35.808799999999998</v>
      </c>
      <c r="KB30">
        <v>35.764000000000003</v>
      </c>
      <c r="KC30">
        <v>21.8706</v>
      </c>
      <c r="KD30">
        <v>29.4343</v>
      </c>
      <c r="KE30">
        <v>49.709099999999999</v>
      </c>
      <c r="KF30">
        <v>-999.9</v>
      </c>
      <c r="KG30">
        <v>418.12</v>
      </c>
      <c r="KH30">
        <v>35.672800000000002</v>
      </c>
      <c r="KI30">
        <v>100.126</v>
      </c>
      <c r="KJ30">
        <v>99.292699999999996</v>
      </c>
    </row>
    <row r="31" spans="1:296" x14ac:dyDescent="0.3">
      <c r="A31">
        <v>15</v>
      </c>
      <c r="B31">
        <v>1736195917.5999999</v>
      </c>
      <c r="C31">
        <v>2096.599999904633</v>
      </c>
      <c r="D31" t="s">
        <v>839</v>
      </c>
      <c r="E31" t="s">
        <v>840</v>
      </c>
      <c r="F31">
        <v>15</v>
      </c>
      <c r="H31">
        <v>1736195909.599999</v>
      </c>
      <c r="I31">
        <f t="shared" si="0"/>
        <v>1.9163237846632564E-3</v>
      </c>
      <c r="J31">
        <f t="shared" si="1"/>
        <v>1.9163237846632564</v>
      </c>
      <c r="K31">
        <f t="shared" si="2"/>
        <v>-5.2289110739545954</v>
      </c>
      <c r="L31">
        <f t="shared" si="3"/>
        <v>420.00309677419352</v>
      </c>
      <c r="M31">
        <f t="shared" si="4"/>
        <v>489.43563566766949</v>
      </c>
      <c r="N31">
        <f t="shared" si="5"/>
        <v>47.750624593290325</v>
      </c>
      <c r="O31">
        <f t="shared" si="6"/>
        <v>40.976603950640154</v>
      </c>
      <c r="P31">
        <f t="shared" si="7"/>
        <v>0.10210128658881101</v>
      </c>
      <c r="Q31">
        <f t="shared" si="8"/>
        <v>2.8874967872315049</v>
      </c>
      <c r="R31">
        <f t="shared" si="9"/>
        <v>0.10013720204399341</v>
      </c>
      <c r="S31">
        <f t="shared" si="10"/>
        <v>6.2759069545242643E-2</v>
      </c>
      <c r="T31">
        <f t="shared" si="11"/>
        <v>1.5966703903835998E-4</v>
      </c>
      <c r="U31">
        <f t="shared" si="12"/>
        <v>34.345104492952814</v>
      </c>
      <c r="V31">
        <f t="shared" si="13"/>
        <v>34.437838709677408</v>
      </c>
      <c r="W31">
        <f t="shared" si="14"/>
        <v>5.4748948939758435</v>
      </c>
      <c r="X31">
        <f t="shared" si="15"/>
        <v>65.983003083663334</v>
      </c>
      <c r="Y31">
        <f t="shared" si="16"/>
        <v>3.6955884587558061</v>
      </c>
      <c r="Z31">
        <f t="shared" si="17"/>
        <v>5.6008188261300793</v>
      </c>
      <c r="AA31">
        <f t="shared" si="18"/>
        <v>1.7793064352200374</v>
      </c>
      <c r="AB31">
        <f t="shared" si="19"/>
        <v>-84.509878903649607</v>
      </c>
      <c r="AC31">
        <f t="shared" si="20"/>
        <v>63.758712385428616</v>
      </c>
      <c r="AD31">
        <f t="shared" si="21"/>
        <v>5.1388856859085505</v>
      </c>
      <c r="AE31">
        <f t="shared" si="22"/>
        <v>-15.6121211652734</v>
      </c>
      <c r="AF31">
        <f t="shared" si="23"/>
        <v>-5.2289110739545954</v>
      </c>
      <c r="AG31">
        <f t="shared" si="24"/>
        <v>1.9163237846632564</v>
      </c>
      <c r="AH31">
        <f t="shared" si="25"/>
        <v>-5.2715436062615106</v>
      </c>
      <c r="AI31">
        <v>430.06338471986311</v>
      </c>
      <c r="AJ31">
        <v>436.60227272727269</v>
      </c>
      <c r="AK31">
        <v>4.0994183123627959E-3</v>
      </c>
      <c r="AL31">
        <v>67.088165296934292</v>
      </c>
      <c r="AM31">
        <f t="shared" si="26"/>
        <v>1.963531385954973</v>
      </c>
      <c r="AN31">
        <v>35.662015145221062</v>
      </c>
      <c r="AO31">
        <v>37.907284848484842</v>
      </c>
      <c r="AP31">
        <v>3.6340396466397048E-3</v>
      </c>
      <c r="AQ31">
        <v>78.239664457487279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50301.586561459982</v>
      </c>
      <c r="AW31" t="s">
        <v>724</v>
      </c>
      <c r="AX31">
        <v>5111.67</v>
      </c>
      <c r="AY31">
        <v>545.84117647058815</v>
      </c>
      <c r="AZ31">
        <v>2426.21</v>
      </c>
      <c r="BA31">
        <f t="shared" si="30"/>
        <v>0.77502311157295201</v>
      </c>
      <c r="BB31">
        <v>-5.2289110739545492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-5.2289110739545954</v>
      </c>
      <c r="BK31" t="e">
        <f t="shared" si="34"/>
        <v>#DIV/0!</v>
      </c>
      <c r="BL31">
        <f t="shared" si="35"/>
        <v>-5.4959388233716766E-11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1.290284102586883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1736195909.599999</v>
      </c>
      <c r="DQ31">
        <v>420.00309677419352</v>
      </c>
      <c r="DR31">
        <v>414.69422580645158</v>
      </c>
      <c r="DS31">
        <v>37.879141935483872</v>
      </c>
      <c r="DT31">
        <v>35.666654838709682</v>
      </c>
      <c r="DU31">
        <v>424.63912903225798</v>
      </c>
      <c r="DV31">
        <v>37.447174193548399</v>
      </c>
      <c r="DW31">
        <v>499.99887096774188</v>
      </c>
      <c r="DX31">
        <v>97.511932258064519</v>
      </c>
      <c r="DY31">
        <v>5.069112580645161E-2</v>
      </c>
      <c r="DZ31">
        <v>34.847412903225809</v>
      </c>
      <c r="EA31">
        <v>34.437838709677408</v>
      </c>
      <c r="EB31">
        <v>999.90000000000032</v>
      </c>
      <c r="EC31">
        <v>0</v>
      </c>
      <c r="ED31">
        <v>0</v>
      </c>
      <c r="EE31">
        <v>10011.290322580649</v>
      </c>
      <c r="EF31">
        <v>0</v>
      </c>
      <c r="EG31">
        <v>412.82990322580639</v>
      </c>
      <c r="EH31">
        <v>5.3089251612903219</v>
      </c>
      <c r="EI31">
        <v>436.53887096774201</v>
      </c>
      <c r="EJ31">
        <v>430.03206451612903</v>
      </c>
      <c r="EK31">
        <v>2.2124745161290318</v>
      </c>
      <c r="EL31">
        <v>414.69422580645158</v>
      </c>
      <c r="EM31">
        <v>35.666654838709682</v>
      </c>
      <c r="EN31">
        <v>3.6936683870967748</v>
      </c>
      <c r="EO31">
        <v>3.4779248387096779</v>
      </c>
      <c r="EP31">
        <v>27.53726774193548</v>
      </c>
      <c r="EQ31">
        <v>26.512367741935481</v>
      </c>
      <c r="ER31">
        <v>1.00021E-2</v>
      </c>
      <c r="ES31">
        <v>0</v>
      </c>
      <c r="ET31">
        <v>0</v>
      </c>
      <c r="EU31">
        <v>0</v>
      </c>
      <c r="EV31">
        <v>545.92580645161297</v>
      </c>
      <c r="EW31">
        <v>1.00021E-2</v>
      </c>
      <c r="EX31">
        <v>2031.245161290323</v>
      </c>
      <c r="EY31">
        <v>1.7532258064516131</v>
      </c>
      <c r="EZ31">
        <v>38.945129032258052</v>
      </c>
      <c r="FA31">
        <v>42.536000000000001</v>
      </c>
      <c r="FB31">
        <v>41.033999999999999</v>
      </c>
      <c r="FC31">
        <v>42.465451612903202</v>
      </c>
      <c r="FD31">
        <v>41.602645161290312</v>
      </c>
      <c r="FE31">
        <v>0</v>
      </c>
      <c r="FF31">
        <v>0</v>
      </c>
      <c r="FG31">
        <v>0</v>
      </c>
      <c r="FH31">
        <v>164.69999980926511</v>
      </c>
      <c r="FI31">
        <v>0</v>
      </c>
      <c r="FJ31">
        <v>545.84117647058815</v>
      </c>
      <c r="FK31">
        <v>-17.340686264078158</v>
      </c>
      <c r="FL31">
        <v>32.071078770536403</v>
      </c>
      <c r="FM31">
        <v>2029.285294117647</v>
      </c>
      <c r="FN31">
        <v>10</v>
      </c>
      <c r="FO31">
        <v>1736195873.0999999</v>
      </c>
      <c r="FP31" t="s">
        <v>841</v>
      </c>
      <c r="FQ31">
        <v>1736195867.0999999</v>
      </c>
      <c r="FR31">
        <v>1736195873.0999999</v>
      </c>
      <c r="FS31">
        <v>49</v>
      </c>
      <c r="FT31">
        <v>2.7E-2</v>
      </c>
      <c r="FU31">
        <v>4.0000000000000001E-3</v>
      </c>
      <c r="FV31">
        <v>-4.6360000000000001</v>
      </c>
      <c r="FW31">
        <v>0.36499999999999999</v>
      </c>
      <c r="FX31">
        <v>415</v>
      </c>
      <c r="FY31">
        <v>36</v>
      </c>
      <c r="FZ31">
        <v>1.32</v>
      </c>
      <c r="GA31">
        <v>0.16</v>
      </c>
      <c r="GB31">
        <v>5.3534600000000001</v>
      </c>
      <c r="GC31">
        <v>-0.45805944250872099</v>
      </c>
      <c r="GD31">
        <v>0.12708475078831</v>
      </c>
      <c r="GE31">
        <v>1</v>
      </c>
      <c r="GF31">
        <v>546.11176470588236</v>
      </c>
      <c r="GG31">
        <v>-9.2803666646241627</v>
      </c>
      <c r="GH31">
        <v>4.6699769936378948</v>
      </c>
      <c r="GI31">
        <v>1</v>
      </c>
      <c r="GJ31">
        <v>2.229549756097561</v>
      </c>
      <c r="GK31">
        <v>-0.10631979094076011</v>
      </c>
      <c r="GL31">
        <v>5.4730072907208091E-2</v>
      </c>
      <c r="GM31">
        <v>1</v>
      </c>
      <c r="GN31">
        <v>3</v>
      </c>
      <c r="GO31">
        <v>3</v>
      </c>
      <c r="GP31" t="s">
        <v>599</v>
      </c>
      <c r="GQ31">
        <v>3.13361</v>
      </c>
      <c r="GR31">
        <v>2.72899</v>
      </c>
      <c r="GS31">
        <v>9.0761900000000006E-2</v>
      </c>
      <c r="GT31">
        <v>8.9846599999999999E-2</v>
      </c>
      <c r="GU31">
        <v>0.15135999999999999</v>
      </c>
      <c r="GV31">
        <v>0.146201</v>
      </c>
      <c r="GW31">
        <v>22736.1</v>
      </c>
      <c r="GX31">
        <v>30631.1</v>
      </c>
      <c r="GY31">
        <v>27132.7</v>
      </c>
      <c r="GZ31">
        <v>34618.9</v>
      </c>
      <c r="HA31">
        <v>33739.1</v>
      </c>
      <c r="HB31">
        <v>37769.599999999999</v>
      </c>
      <c r="HC31">
        <v>40070.199999999997</v>
      </c>
      <c r="HD31">
        <v>44312.7</v>
      </c>
      <c r="HE31">
        <v>1.9478</v>
      </c>
      <c r="HF31">
        <v>1.7316</v>
      </c>
      <c r="HG31">
        <v>4.0471600000000003E-2</v>
      </c>
      <c r="HH31">
        <v>0</v>
      </c>
      <c r="HI31">
        <v>33.769300000000001</v>
      </c>
      <c r="HJ31">
        <v>999.9</v>
      </c>
      <c r="HK31">
        <v>54.7</v>
      </c>
      <c r="HL31">
        <v>40.4</v>
      </c>
      <c r="HM31">
        <v>42.484900000000003</v>
      </c>
      <c r="HN31">
        <v>59.660299999999999</v>
      </c>
      <c r="HO31">
        <v>7.2075300000000002</v>
      </c>
      <c r="HP31">
        <v>1</v>
      </c>
      <c r="HQ31">
        <v>0.68292699999999995</v>
      </c>
      <c r="HR31">
        <v>0</v>
      </c>
      <c r="HS31">
        <v>20.2944</v>
      </c>
      <c r="HT31">
        <v>5.2088999999999999</v>
      </c>
      <c r="HU31">
        <v>11.908099999999999</v>
      </c>
      <c r="HV31">
        <v>4.9836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1.8674599999999999</v>
      </c>
      <c r="IC31">
        <v>1.8631</v>
      </c>
      <c r="ID31">
        <v>1.86249</v>
      </c>
      <c r="IE31">
        <v>1.86209</v>
      </c>
      <c r="IF31">
        <v>1.8621799999999999</v>
      </c>
      <c r="IG31">
        <v>1.86267</v>
      </c>
      <c r="IH31">
        <v>1.8635600000000001</v>
      </c>
      <c r="II31">
        <v>1.8615699999999999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-4.6360000000000001</v>
      </c>
      <c r="IX31">
        <v>0.43269999999999997</v>
      </c>
      <c r="IY31">
        <v>-4.6360476190475879</v>
      </c>
      <c r="IZ31">
        <v>0</v>
      </c>
      <c r="JA31">
        <v>0</v>
      </c>
      <c r="JB31">
        <v>0</v>
      </c>
      <c r="JC31">
        <v>-0.36144068622958742</v>
      </c>
      <c r="JD31">
        <v>2.7492919904454862E-4</v>
      </c>
      <c r="JE31">
        <v>8.6739513355948885E-4</v>
      </c>
      <c r="JF31">
        <v>-8.2500691715147318E-6</v>
      </c>
      <c r="JG31">
        <v>-1</v>
      </c>
      <c r="JH31">
        <v>-1</v>
      </c>
      <c r="JI31">
        <v>2</v>
      </c>
      <c r="JJ31">
        <v>37</v>
      </c>
      <c r="JK31">
        <v>0.8</v>
      </c>
      <c r="JL31">
        <v>0.7</v>
      </c>
      <c r="JM31">
        <v>1.08765</v>
      </c>
      <c r="JN31">
        <v>2.5573700000000001</v>
      </c>
      <c r="JO31">
        <v>1.50024</v>
      </c>
      <c r="JP31">
        <v>2.2717299999999998</v>
      </c>
      <c r="JQ31">
        <v>1.4477500000000001</v>
      </c>
      <c r="JR31">
        <v>2.3339799999999999</v>
      </c>
      <c r="JS31">
        <v>43.5627</v>
      </c>
      <c r="JT31">
        <v>14.569800000000001</v>
      </c>
      <c r="JU31">
        <v>18</v>
      </c>
      <c r="JV31">
        <v>546.36500000000001</v>
      </c>
      <c r="JW31">
        <v>418.358</v>
      </c>
      <c r="JX31">
        <v>34.890300000000003</v>
      </c>
      <c r="JY31">
        <v>35.708100000000002</v>
      </c>
      <c r="JZ31">
        <v>29.9999</v>
      </c>
      <c r="KA31">
        <v>35.672800000000002</v>
      </c>
      <c r="KB31">
        <v>35.630000000000003</v>
      </c>
      <c r="KC31">
        <v>21.742799999999999</v>
      </c>
      <c r="KD31">
        <v>29.421600000000002</v>
      </c>
      <c r="KE31">
        <v>50.079799999999999</v>
      </c>
      <c r="KF31">
        <v>-999.9</v>
      </c>
      <c r="KG31">
        <v>414.66399999999999</v>
      </c>
      <c r="KH31">
        <v>35.505899999999997</v>
      </c>
      <c r="KI31">
        <v>100.143</v>
      </c>
      <c r="KJ31">
        <v>99.312700000000007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4971-E0C4-4010-8E59-6922780701D3}">
  <dimension ref="A2:KJ31"/>
  <sheetViews>
    <sheetView workbookViewId="0">
      <selection activeCell="D37" sqref="D37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780</v>
      </c>
      <c r="G13" t="s">
        <v>781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1736190428.5</v>
      </c>
      <c r="C17">
        <v>0</v>
      </c>
      <c r="D17" t="s">
        <v>842</v>
      </c>
      <c r="E17" t="s">
        <v>843</v>
      </c>
      <c r="F17">
        <v>15</v>
      </c>
      <c r="H17">
        <v>1736190420.5</v>
      </c>
      <c r="I17">
        <f t="shared" ref="I17:I31" si="0">(J17)/1000</f>
        <v>4.4325968744288059E-3</v>
      </c>
      <c r="J17">
        <f t="shared" ref="J17:J31" si="1">IF(DO17, AM17, AG17)</f>
        <v>4.432596874428806</v>
      </c>
      <c r="K17">
        <f t="shared" ref="K17:K31" si="2">IF(DO17, AH17, AF17)</f>
        <v>44.13060190592951</v>
      </c>
      <c r="L17">
        <f t="shared" ref="L17:L31" si="3">DQ17 - IF(AT17&gt;1, K17*DK17*100/(AV17), 0)</f>
        <v>418.0402258064517</v>
      </c>
      <c r="M17">
        <f t="shared" ref="M17:M31" si="4">((S17-I17/2)*L17-K17)/(S17+I17/2)</f>
        <v>106.12774761442424</v>
      </c>
      <c r="N17">
        <f t="shared" ref="N17:N31" si="5">M17*(DX17+DY17)/1000</f>
        <v>10.354419359635182</v>
      </c>
      <c r="O17">
        <f t="shared" ref="O17:O31" si="6">(DQ17 - IF(AT17&gt;1, K17*DK17*100/(AV17), 0))*(DX17+DY17)/1000</f>
        <v>40.786353281733781</v>
      </c>
      <c r="P17">
        <f t="shared" ref="P17:P31" si="7">2/((1/R17-1/Q17)+SIGN(R17)*SQRT((1/R17-1/Q17)*(1/R17-1/Q17) + 4*DL17/((DL17+1)*(DL17+1))*(2*1/R17*1/Q17-1/Q17*1/Q17)))</f>
        <v>0.24155319056267482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2.8866337489751253</v>
      </c>
      <c r="R17">
        <f t="shared" ref="R17:R31" si="9">I17*(1000-(1000*0.61365*EXP(17.502*V17/(240.97+V17))/(DX17+DY17)+DS17)/2)/(1000*0.61365*EXP(17.502*V17/(240.97+V17))/(DX17+DY17)-DS17)</f>
        <v>0.23085929628214216</v>
      </c>
      <c r="S17">
        <f t="shared" ref="S17:S31" si="10">1/((DL17+1)/(P17/1.6)+1/(Q17/1.37)) + DL17/((DL17+1)/(P17/1.6) + DL17/(Q17/1.37))</f>
        <v>0.14520840855355596</v>
      </c>
      <c r="T17">
        <f t="shared" ref="T17:T31" si="11">(DG17*DJ17)</f>
        <v>319.77440494860548</v>
      </c>
      <c r="U17">
        <f t="shared" ref="U17:U31" si="12">(DZ17+(T17+2*0.95*0.0000000567*(((DZ17+$B$7)+273)^4-(DZ17+273)^4)-44100*I17)/(1.84*29.3*Q17+8*0.95*0.0000000567*(DZ17+273)^3))</f>
        <v>35.480598419526956</v>
      </c>
      <c r="V17">
        <f t="shared" ref="V17:V31" si="13">($C$7*EA17+$D$7*EB17+$E$7*U17)</f>
        <v>34.318319354838707</v>
      </c>
      <c r="W17">
        <f t="shared" ref="W17:W31" si="14">0.61365*EXP(17.502*V17/(240.97+V17))</f>
        <v>5.4386156945769155</v>
      </c>
      <c r="X17">
        <f t="shared" ref="X17:X31" si="15">(Y17/Z17*100)</f>
        <v>65.599356925899798</v>
      </c>
      <c r="Y17">
        <f t="shared" ref="Y17:Y31" si="16">DS17*(DX17+DY17)/1000</f>
        <v>3.6525917641638563</v>
      </c>
      <c r="Z17">
        <f t="shared" ref="Z17:Z31" si="17">0.61365*EXP(17.502*DZ17/(240.97+DZ17))</f>
        <v>5.568029833417083</v>
      </c>
      <c r="AA17">
        <f t="shared" ref="AA17:AA31" si="18">(W17-DS17*(DX17+DY17)/1000)</f>
        <v>1.7860239304130592</v>
      </c>
      <c r="AB17">
        <f t="shared" ref="AB17:AB31" si="19">(-I17*44100)</f>
        <v>-195.47752216231035</v>
      </c>
      <c r="AC17">
        <f t="shared" ref="AC17:AC31" si="20">2*29.3*Q17*0.92*(DZ17-V17)</f>
        <v>65.863674973962532</v>
      </c>
      <c r="AD17">
        <f t="shared" ref="AD17:AD31" si="21">2*0.95*0.0000000567*(((DZ17+$B$7)+273)^4-(V17+273)^4)</f>
        <v>5.3042973110657323</v>
      </c>
      <c r="AE17">
        <f t="shared" ref="AE17:AE31" si="22">T17+AD17+AB17+AC17</f>
        <v>195.4648550713234</v>
      </c>
      <c r="AF17">
        <f t="shared" ref="AF17:AF31" si="23">DW17*AT17*(DR17-DQ17*(1000-AT17*DT17)/(1000-AT17*DS17))/(100*DK17)</f>
        <v>44.13060190592951</v>
      </c>
      <c r="AG17">
        <f t="shared" ref="AG17:AG31" si="24">1000*DW17*AT17*(DS17-DT17)/(100*DK17*(1000-AT17*DS17))</f>
        <v>4.432596874428806</v>
      </c>
      <c r="AH17">
        <f t="shared" ref="AH17:AH31" si="25">(AI17 - AJ17 - DX17*1000/(8.314*(DZ17+273.15)) * AL17/DW17 * AK17) * DW17/(100*DK17) * (1000 - DT17)/1000</f>
        <v>44.481433074478417</v>
      </c>
      <c r="AI17">
        <v>489.85454443722728</v>
      </c>
      <c r="AJ17">
        <v>434.54523636363609</v>
      </c>
      <c r="AK17">
        <v>3.0136368775618559E-2</v>
      </c>
      <c r="AL17">
        <v>67.085575447149878</v>
      </c>
      <c r="AM17">
        <f t="shared" ref="AM17:AM31" si="26">(AO17 - AN17 + DX17*1000/(8.314*(DZ17+273.15)) * AQ17/DW17 * AP17) * DW17/(100*DK17) * 1000/(1000 - AO17)</f>
        <v>4.6094170319488379</v>
      </c>
      <c r="AN17">
        <v>32.356760181649939</v>
      </c>
      <c r="AO17">
        <v>37.633813333333322</v>
      </c>
      <c r="AP17">
        <v>7.6495059765036323E-3</v>
      </c>
      <c r="AQ17">
        <v>78.229746521881253</v>
      </c>
      <c r="AR17">
        <v>20</v>
      </c>
      <c r="AS17">
        <v>4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50295.139597217858</v>
      </c>
      <c r="AW17" t="s">
        <v>844</v>
      </c>
      <c r="AX17">
        <v>5116.59</v>
      </c>
      <c r="AY17">
        <v>526.90294117647045</v>
      </c>
      <c r="AZ17">
        <v>2506.5</v>
      </c>
      <c r="BA17">
        <f t="shared" ref="BA17:BA31" si="30">1-AY17/AZ17</f>
        <v>0.78978538153741451</v>
      </c>
      <c r="BB17">
        <v>-4.2280439564527317</v>
      </c>
      <c r="BC17" t="s">
        <v>845</v>
      </c>
      <c r="BD17">
        <v>5104.96</v>
      </c>
      <c r="BE17">
        <v>708.41864705882369</v>
      </c>
      <c r="BF17">
        <v>866.39</v>
      </c>
      <c r="BG17">
        <f t="shared" ref="BG17:BG31" si="31">1-BE17/BF17</f>
        <v>0.18233284426317975</v>
      </c>
      <c r="BH17">
        <v>0.5</v>
      </c>
      <c r="BI17">
        <f t="shared" ref="BI17:BI31" si="32">DH17</f>
        <v>1680.2785643557872</v>
      </c>
      <c r="BJ17">
        <f t="shared" ref="BJ17:BJ31" si="33">K17</f>
        <v>44.13060190592951</v>
      </c>
      <c r="BK17">
        <f t="shared" ref="BK17:BK31" si="34">BG17*BH17*BI17</f>
        <v>153.18498489672152</v>
      </c>
      <c r="BL17">
        <f t="shared" ref="BL17:BL31" si="35">(BJ17-BB17)/BI17</f>
        <v>2.8780136156127643E-2</v>
      </c>
      <c r="BM17">
        <f t="shared" ref="BM17:BM31" si="36">(AZ17-BF17)/BF17</f>
        <v>1.8930389316589529</v>
      </c>
      <c r="BN17">
        <f t="shared" ref="BN17:BN31" si="37">AY17/(BA17+AY17/BF17)</f>
        <v>376.91264386863742</v>
      </c>
      <c r="BO17" t="s">
        <v>407</v>
      </c>
      <c r="BP17">
        <v>0</v>
      </c>
      <c r="BQ17">
        <f t="shared" ref="BQ17:BQ31" si="38">IF(BP17&lt;&gt;0, BP17, BN17)</f>
        <v>376.91264386863742</v>
      </c>
      <c r="BR17">
        <f t="shared" ref="BR17:BR31" si="39">1-BQ17/BF17</f>
        <v>0.56496191799462436</v>
      </c>
      <c r="BS17">
        <f t="shared" ref="BS17:BS31" si="40">(BF17-BE17)/(BF17-BQ17)</f>
        <v>0.32273475159243326</v>
      </c>
      <c r="BT17">
        <f t="shared" ref="BT17:BT31" si="41">(AZ17-BF17)/(AZ17-BQ17)</f>
        <v>0.77015389637711151</v>
      </c>
      <c r="BU17">
        <f t="shared" ref="BU17:BU31" si="42">(BF17-BE17)/(BF17-AY17)</f>
        <v>0.46532363704412122</v>
      </c>
      <c r="BV17">
        <f t="shared" ref="BV17:BV31" si="43">(AZ17-BF17)/(AZ17-AY17)</f>
        <v>0.82850698968744385</v>
      </c>
      <c r="BW17">
        <f t="shared" ref="BW17:BW31" si="44">(BS17*BQ17/BE17)</f>
        <v>0.17171034245925393</v>
      </c>
      <c r="BX17">
        <f t="shared" ref="BX17:BX31" si="45">(1-BW17)</f>
        <v>0.82828965754074613</v>
      </c>
      <c r="DG17">
        <f t="shared" ref="DG17:DG31" si="46">$B$11*EF17+$C$11*EG17+$F$11*ER17*(1-EU17)</f>
        <v>1999.974838709677</v>
      </c>
      <c r="DH17">
        <f t="shared" ref="DH17:DH31" si="47">DG17*DI17</f>
        <v>1680.2785643557872</v>
      </c>
      <c r="DI17">
        <f t="shared" ref="DI17:DI31" si="48">($B$11*$D$9+$C$11*$D$9+$F$11*((FE17+EW17)/MAX(FE17+EW17+FF17, 0.1)*$I$9+FF17/MAX(FE17+EW17+FF17, 0.1)*$J$9))/($B$11+$C$11+$F$11)</f>
        <v>0.84014985180506163</v>
      </c>
      <c r="DJ17">
        <f t="shared" ref="DJ17:DJ31" si="49">($B$11*$K$9+$C$11*$K$9+$F$11*((FE17+EW17)/MAX(FE17+EW17+FF17, 0.1)*$P$9+FF17/MAX(FE17+EW17+FF17, 0.1)*$Q$9))/($B$11+$C$11+$F$11)</f>
        <v>0.15988921398376901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1736190420.5</v>
      </c>
      <c r="DQ17">
        <v>418.0402258064517</v>
      </c>
      <c r="DR17">
        <v>473.21545161290322</v>
      </c>
      <c r="DS17">
        <v>37.43728387096774</v>
      </c>
      <c r="DT17">
        <v>32.317774193548388</v>
      </c>
      <c r="DU17">
        <v>422.71112903225799</v>
      </c>
      <c r="DV17">
        <v>37.092283870967741</v>
      </c>
      <c r="DW17">
        <v>500.0462258064515</v>
      </c>
      <c r="DX17">
        <v>97.520141935483863</v>
      </c>
      <c r="DY17">
        <v>4.5476787096774197E-2</v>
      </c>
      <c r="DZ17">
        <v>34.741541935483873</v>
      </c>
      <c r="EA17">
        <v>34.318319354838707</v>
      </c>
      <c r="EB17">
        <v>999.90000000000032</v>
      </c>
      <c r="EC17">
        <v>0</v>
      </c>
      <c r="ED17">
        <v>0</v>
      </c>
      <c r="EE17">
        <v>10005.483870967741</v>
      </c>
      <c r="EF17">
        <v>0</v>
      </c>
      <c r="EG17">
        <v>217.66380645161291</v>
      </c>
      <c r="EH17">
        <v>-55.175238709677423</v>
      </c>
      <c r="EI17">
        <v>434.36196774193542</v>
      </c>
      <c r="EJ17">
        <v>489.0195161290323</v>
      </c>
      <c r="EK17">
        <v>5.2588851612903218</v>
      </c>
      <c r="EL17">
        <v>473.21545161290322</v>
      </c>
      <c r="EM17">
        <v>32.317774193548388</v>
      </c>
      <c r="EN17">
        <v>3.6644819354838698</v>
      </c>
      <c r="EO17">
        <v>3.151633548387097</v>
      </c>
      <c r="EP17">
        <v>27.401719354838711</v>
      </c>
      <c r="EQ17">
        <v>24.8514870967742</v>
      </c>
      <c r="ER17">
        <v>1999.974838709677</v>
      </c>
      <c r="ES17">
        <v>0.99499199999999999</v>
      </c>
      <c r="ET17">
        <v>5.0078635483870957E-3</v>
      </c>
      <c r="EU17">
        <v>0</v>
      </c>
      <c r="EV17">
        <v>708.27474193548403</v>
      </c>
      <c r="EW17">
        <v>5.0010700000000003</v>
      </c>
      <c r="EX17">
        <v>17788.322580645159</v>
      </c>
      <c r="EY17">
        <v>18241.351612903229</v>
      </c>
      <c r="EZ17">
        <v>40.729580645161278</v>
      </c>
      <c r="FA17">
        <v>41.852645161290319</v>
      </c>
      <c r="FB17">
        <v>41.056193548387093</v>
      </c>
      <c r="FC17">
        <v>41.923064516129017</v>
      </c>
      <c r="FD17">
        <v>42.552193548387088</v>
      </c>
      <c r="FE17">
        <v>1984.984838709677</v>
      </c>
      <c r="FF17">
        <v>9.990000000000002</v>
      </c>
      <c r="FG17">
        <v>0</v>
      </c>
      <c r="FH17">
        <v>316.40000009536737</v>
      </c>
      <c r="FI17">
        <v>0</v>
      </c>
      <c r="FJ17">
        <v>708.41864705882369</v>
      </c>
      <c r="FK17">
        <v>0.51813728843753171</v>
      </c>
      <c r="FL17">
        <v>24.90196129475261</v>
      </c>
      <c r="FM17">
        <v>17792.582352941179</v>
      </c>
      <c r="FN17">
        <v>10</v>
      </c>
      <c r="FO17">
        <v>1736190449.5</v>
      </c>
      <c r="FP17" t="s">
        <v>846</v>
      </c>
      <c r="FQ17">
        <v>1736189776</v>
      </c>
      <c r="FR17">
        <v>1736190449.5</v>
      </c>
      <c r="FS17">
        <v>20</v>
      </c>
      <c r="FT17">
        <v>2.8000000000000001E-2</v>
      </c>
      <c r="FU17">
        <v>1.7000000000000001E-2</v>
      </c>
      <c r="FV17">
        <v>-4.6710000000000003</v>
      </c>
      <c r="FW17">
        <v>0.34499999999999997</v>
      </c>
      <c r="FX17">
        <v>414</v>
      </c>
      <c r="FY17">
        <v>32</v>
      </c>
      <c r="FZ17">
        <v>1.29</v>
      </c>
      <c r="GA17">
        <v>0.08</v>
      </c>
      <c r="GB17">
        <v>-54.803032499999993</v>
      </c>
      <c r="GC17">
        <v>-7.8298750469041556</v>
      </c>
      <c r="GD17">
        <v>0.7674149700088928</v>
      </c>
      <c r="GE17">
        <v>0</v>
      </c>
      <c r="GF17">
        <v>708.16723529411763</v>
      </c>
      <c r="GG17">
        <v>2.1677005425262421</v>
      </c>
      <c r="GH17">
        <v>0.31100189698905961</v>
      </c>
      <c r="GI17">
        <v>1</v>
      </c>
      <c r="GJ17">
        <v>5.2590035000000004</v>
      </c>
      <c r="GK17">
        <v>-8.1047054409017563E-2</v>
      </c>
      <c r="GL17">
        <v>1.9550520523761029E-2</v>
      </c>
      <c r="GM17">
        <v>1</v>
      </c>
      <c r="GN17">
        <v>2</v>
      </c>
      <c r="GO17">
        <v>3</v>
      </c>
      <c r="GP17" t="s">
        <v>598</v>
      </c>
      <c r="GQ17">
        <v>3.1339299999999999</v>
      </c>
      <c r="GR17">
        <v>2.7209500000000002</v>
      </c>
      <c r="GS17">
        <v>9.0757199999999996E-2</v>
      </c>
      <c r="GT17">
        <v>9.9681699999999998E-2</v>
      </c>
      <c r="GU17">
        <v>0.15093599999999999</v>
      </c>
      <c r="GV17">
        <v>0.13745099999999999</v>
      </c>
      <c r="GW17">
        <v>22788.2</v>
      </c>
      <c r="GX17">
        <v>30372.7</v>
      </c>
      <c r="GY17">
        <v>27188.799999999999</v>
      </c>
      <c r="GZ17">
        <v>34693.4</v>
      </c>
      <c r="HA17">
        <v>33807.599999999999</v>
      </c>
      <c r="HB17">
        <v>38217.4</v>
      </c>
      <c r="HC17">
        <v>40144.800000000003</v>
      </c>
      <c r="HD17">
        <v>44387.7</v>
      </c>
      <c r="HE17">
        <v>1.9088000000000001</v>
      </c>
      <c r="HF17">
        <v>1.7592000000000001</v>
      </c>
      <c r="HG17">
        <v>8.1956399999999999E-2</v>
      </c>
      <c r="HH17">
        <v>0</v>
      </c>
      <c r="HI17">
        <v>33.011699999999998</v>
      </c>
      <c r="HJ17">
        <v>999.9</v>
      </c>
      <c r="HK17">
        <v>67</v>
      </c>
      <c r="HL17">
        <v>37.700000000000003</v>
      </c>
      <c r="HM17">
        <v>45.000900000000001</v>
      </c>
      <c r="HN17">
        <v>59.960999999999999</v>
      </c>
      <c r="HO17">
        <v>7.2556099999999999</v>
      </c>
      <c r="HP17">
        <v>1</v>
      </c>
      <c r="HQ17">
        <v>0.57134099999999999</v>
      </c>
      <c r="HR17">
        <v>0</v>
      </c>
      <c r="HS17">
        <v>20.278400000000001</v>
      </c>
      <c r="HT17">
        <v>5.2065099999999997</v>
      </c>
      <c r="HU17">
        <v>11.9069</v>
      </c>
      <c r="HV17">
        <v>4.9843999999999999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1.8629500000000001</v>
      </c>
      <c r="ID17">
        <v>1.8624000000000001</v>
      </c>
      <c r="IE17">
        <v>1.8619399999999999</v>
      </c>
      <c r="IF17">
        <v>1.8619699999999999</v>
      </c>
      <c r="IG17">
        <v>1.8626400000000001</v>
      </c>
      <c r="IH17">
        <v>1.8634599999999999</v>
      </c>
      <c r="II17">
        <v>1.86148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-4.6710000000000003</v>
      </c>
      <c r="IX17">
        <v>0.34499999999999997</v>
      </c>
      <c r="IY17">
        <v>-4.6709000000000174</v>
      </c>
      <c r="IZ17">
        <v>0</v>
      </c>
      <c r="JA17">
        <v>0</v>
      </c>
      <c r="JB17">
        <v>0</v>
      </c>
      <c r="JC17">
        <v>-0.298183675902914</v>
      </c>
      <c r="JD17">
        <v>2.7492919904454862E-4</v>
      </c>
      <c r="JE17">
        <v>8.6739513355948885E-4</v>
      </c>
      <c r="JF17">
        <v>-8.2500691715147318E-6</v>
      </c>
      <c r="JG17">
        <v>-1</v>
      </c>
      <c r="JH17">
        <v>-1</v>
      </c>
      <c r="JI17">
        <v>2</v>
      </c>
      <c r="JJ17">
        <v>37</v>
      </c>
      <c r="JK17">
        <v>10.9</v>
      </c>
      <c r="JL17">
        <v>5</v>
      </c>
      <c r="JM17">
        <v>1.2048300000000001</v>
      </c>
      <c r="JN17">
        <v>2.52197</v>
      </c>
      <c r="JO17">
        <v>1.50024</v>
      </c>
      <c r="JP17">
        <v>2.2692899999999998</v>
      </c>
      <c r="JQ17">
        <v>1.4477500000000001</v>
      </c>
      <c r="JR17">
        <v>2.4352999999999998</v>
      </c>
      <c r="JS17">
        <v>41.3001</v>
      </c>
      <c r="JT17">
        <v>15.375400000000001</v>
      </c>
      <c r="JU17">
        <v>18</v>
      </c>
      <c r="JV17">
        <v>510.41500000000002</v>
      </c>
      <c r="JW17">
        <v>426.84</v>
      </c>
      <c r="JX17">
        <v>34.062399999999997</v>
      </c>
      <c r="JY17">
        <v>34.3996</v>
      </c>
      <c r="JZ17">
        <v>29.9999</v>
      </c>
      <c r="KA17">
        <v>34.364699999999999</v>
      </c>
      <c r="KB17">
        <v>34.320900000000002</v>
      </c>
      <c r="KC17">
        <v>24.1036</v>
      </c>
      <c r="KD17">
        <v>38.6004</v>
      </c>
      <c r="KE17">
        <v>75.326300000000003</v>
      </c>
      <c r="KF17">
        <v>-999.9</v>
      </c>
      <c r="KG17">
        <v>474.94499999999999</v>
      </c>
      <c r="KH17">
        <v>32.382300000000001</v>
      </c>
      <c r="KI17">
        <v>100.337</v>
      </c>
      <c r="KJ17">
        <v>99.500900000000001</v>
      </c>
    </row>
    <row r="18" spans="1:296" x14ac:dyDescent="0.3">
      <c r="A18">
        <v>2</v>
      </c>
      <c r="B18">
        <v>1736190630.5</v>
      </c>
      <c r="C18">
        <v>202</v>
      </c>
      <c r="D18" t="s">
        <v>847</v>
      </c>
      <c r="E18" t="s">
        <v>848</v>
      </c>
      <c r="F18">
        <v>15</v>
      </c>
      <c r="H18">
        <v>1736190622.5</v>
      </c>
      <c r="I18">
        <f t="shared" si="0"/>
        <v>5.3422145045140682E-3</v>
      </c>
      <c r="J18">
        <f t="shared" si="1"/>
        <v>5.3422145045140681</v>
      </c>
      <c r="K18">
        <f t="shared" si="2"/>
        <v>54.329602822030381</v>
      </c>
      <c r="L18">
        <f t="shared" si="3"/>
        <v>419.45135483870962</v>
      </c>
      <c r="M18">
        <f t="shared" si="4"/>
        <v>115.22965204519447</v>
      </c>
      <c r="N18">
        <f t="shared" si="5"/>
        <v>11.242677647147081</v>
      </c>
      <c r="O18">
        <f t="shared" si="6"/>
        <v>40.924851263641266</v>
      </c>
      <c r="P18">
        <f t="shared" si="7"/>
        <v>0.30808278594368355</v>
      </c>
      <c r="Q18">
        <f t="shared" si="8"/>
        <v>2.885737167799284</v>
      </c>
      <c r="R18">
        <f t="shared" si="9"/>
        <v>0.29090685445568848</v>
      </c>
      <c r="S18">
        <f t="shared" si="10"/>
        <v>0.18328012967242721</v>
      </c>
      <c r="T18">
        <f t="shared" si="11"/>
        <v>271.90673179066289</v>
      </c>
      <c r="U18">
        <f t="shared" si="12"/>
        <v>34.983603013726125</v>
      </c>
      <c r="V18">
        <f t="shared" si="13"/>
        <v>34.116990322580648</v>
      </c>
      <c r="W18">
        <f t="shared" si="14"/>
        <v>5.3779762620894029</v>
      </c>
      <c r="X18">
        <f t="shared" si="15"/>
        <v>65.804476005339481</v>
      </c>
      <c r="Y18">
        <f t="shared" si="16"/>
        <v>3.6693172458851788</v>
      </c>
      <c r="Z18">
        <f t="shared" si="17"/>
        <v>5.5760906683421414</v>
      </c>
      <c r="AA18">
        <f t="shared" si="18"/>
        <v>1.7086590162042241</v>
      </c>
      <c r="AB18">
        <f t="shared" si="19"/>
        <v>-235.59165964907041</v>
      </c>
      <c r="AC18">
        <f t="shared" si="20"/>
        <v>101.22217265964886</v>
      </c>
      <c r="AD18">
        <f t="shared" si="21"/>
        <v>8.147445380812588</v>
      </c>
      <c r="AE18">
        <f t="shared" si="22"/>
        <v>145.68469018205394</v>
      </c>
      <c r="AF18">
        <f t="shared" si="23"/>
        <v>54.329602822030381</v>
      </c>
      <c r="AG18">
        <f t="shared" si="24"/>
        <v>5.3422145045140681</v>
      </c>
      <c r="AH18">
        <f t="shared" si="25"/>
        <v>54.663640093937445</v>
      </c>
      <c r="AI18">
        <v>503.20546689305468</v>
      </c>
      <c r="AJ18">
        <v>435.80084848484842</v>
      </c>
      <c r="AK18">
        <v>-6.3754203484082839E-2</v>
      </c>
      <c r="AL18">
        <v>67.035372424556215</v>
      </c>
      <c r="AM18">
        <f t="shared" si="26"/>
        <v>5.5067351712869215</v>
      </c>
      <c r="AN18">
        <v>31.399483289197061</v>
      </c>
      <c r="AO18">
        <v>37.760021818181798</v>
      </c>
      <c r="AP18">
        <v>-2.577783776249206E-4</v>
      </c>
      <c r="AQ18">
        <v>78.068370548148621</v>
      </c>
      <c r="AR18">
        <v>9</v>
      </c>
      <c r="AS18">
        <v>2</v>
      </c>
      <c r="AT18">
        <f t="shared" si="27"/>
        <v>1</v>
      </c>
      <c r="AU18">
        <f t="shared" si="28"/>
        <v>0</v>
      </c>
      <c r="AV18">
        <f t="shared" si="29"/>
        <v>50266.062984324089</v>
      </c>
      <c r="AW18" t="s">
        <v>844</v>
      </c>
      <c r="AX18">
        <v>5116.59</v>
      </c>
      <c r="AY18">
        <v>526.90294117647045</v>
      </c>
      <c r="AZ18">
        <v>2506.5</v>
      </c>
      <c r="BA18">
        <f t="shared" si="30"/>
        <v>0.78978538153741451</v>
      </c>
      <c r="BB18">
        <v>-4.2280439564527317</v>
      </c>
      <c r="BC18" t="s">
        <v>849</v>
      </c>
      <c r="BD18">
        <v>5103.63</v>
      </c>
      <c r="BE18">
        <v>721.64752941176471</v>
      </c>
      <c r="BF18">
        <v>969.65</v>
      </c>
      <c r="BG18">
        <f t="shared" si="31"/>
        <v>0.25576493640822495</v>
      </c>
      <c r="BH18">
        <v>0.5</v>
      </c>
      <c r="BI18">
        <f t="shared" si="32"/>
        <v>1428.2939901305454</v>
      </c>
      <c r="BJ18">
        <f t="shared" si="33"/>
        <v>54.329602822030381</v>
      </c>
      <c r="BK18">
        <f t="shared" si="34"/>
        <v>182.65376077899441</v>
      </c>
      <c r="BL18">
        <f t="shared" si="35"/>
        <v>4.0998314900933648E-2</v>
      </c>
      <c r="BM18">
        <f t="shared" si="36"/>
        <v>1.5849533336771</v>
      </c>
      <c r="BN18">
        <f t="shared" si="37"/>
        <v>395.22254967064259</v>
      </c>
      <c r="BO18" t="s">
        <v>407</v>
      </c>
      <c r="BP18">
        <v>0</v>
      </c>
      <c r="BQ18">
        <f t="shared" si="38"/>
        <v>395.22254967064259</v>
      </c>
      <c r="BR18">
        <f t="shared" si="39"/>
        <v>0.59240700286635117</v>
      </c>
      <c r="BS18">
        <f t="shared" si="40"/>
        <v>0.43173854321557753</v>
      </c>
      <c r="BT18">
        <f t="shared" si="41"/>
        <v>0.72792422415171087</v>
      </c>
      <c r="BU18">
        <f t="shared" si="42"/>
        <v>0.56014481778202907</v>
      </c>
      <c r="BV18">
        <f t="shared" si="43"/>
        <v>0.7763448592479455</v>
      </c>
      <c r="BW18">
        <f t="shared" si="44"/>
        <v>0.23644896003432184</v>
      </c>
      <c r="BX18">
        <f t="shared" si="45"/>
        <v>0.76355103996567819</v>
      </c>
      <c r="DG18">
        <f t="shared" si="46"/>
        <v>1699.9867741935479</v>
      </c>
      <c r="DH18">
        <f t="shared" si="47"/>
        <v>1428.2939901305454</v>
      </c>
      <c r="DI18">
        <f t="shared" si="48"/>
        <v>0.84017947187154429</v>
      </c>
      <c r="DJ18">
        <f t="shared" si="49"/>
        <v>0.15994638071208053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1736190622.5</v>
      </c>
      <c r="DQ18">
        <v>419.45135483870962</v>
      </c>
      <c r="DR18">
        <v>487.34058064516131</v>
      </c>
      <c r="DS18">
        <v>37.60795806451614</v>
      </c>
      <c r="DT18">
        <v>31.43796129032258</v>
      </c>
      <c r="DU18">
        <v>424.12229032258062</v>
      </c>
      <c r="DV18">
        <v>37.278958064516139</v>
      </c>
      <c r="DW18">
        <v>499.96506451612908</v>
      </c>
      <c r="DX18">
        <v>97.521777419354848</v>
      </c>
      <c r="DY18">
        <v>4.5796964516129038E-2</v>
      </c>
      <c r="DZ18">
        <v>34.7676193548387</v>
      </c>
      <c r="EA18">
        <v>34.116990322580648</v>
      </c>
      <c r="EB18">
        <v>999.90000000000032</v>
      </c>
      <c r="EC18">
        <v>0</v>
      </c>
      <c r="ED18">
        <v>0</v>
      </c>
      <c r="EE18">
        <v>10000.16129032258</v>
      </c>
      <c r="EF18">
        <v>0</v>
      </c>
      <c r="EG18">
        <v>194.3625161290322</v>
      </c>
      <c r="EH18">
        <v>-67.889319354838705</v>
      </c>
      <c r="EI18">
        <v>435.92296774193551</v>
      </c>
      <c r="EJ18">
        <v>503.15899999999999</v>
      </c>
      <c r="EK18">
        <v>6.3478096774193551</v>
      </c>
      <c r="EL18">
        <v>487.34058064516131</v>
      </c>
      <c r="EM18">
        <v>31.43796129032258</v>
      </c>
      <c r="EN18">
        <v>3.684935483870968</v>
      </c>
      <c r="EO18">
        <v>3.0658854838709679</v>
      </c>
      <c r="EP18">
        <v>27.49680967741935</v>
      </c>
      <c r="EQ18">
        <v>24.390122580645169</v>
      </c>
      <c r="ER18">
        <v>1699.9867741935479</v>
      </c>
      <c r="ES18">
        <v>0.99400274193548388</v>
      </c>
      <c r="ET18">
        <v>5.9975496774193537E-3</v>
      </c>
      <c r="EU18">
        <v>0</v>
      </c>
      <c r="EV18">
        <v>721.3170967741936</v>
      </c>
      <c r="EW18">
        <v>5.0010700000000003</v>
      </c>
      <c r="EX18">
        <v>15730.10322580645</v>
      </c>
      <c r="EY18">
        <v>15492.41290322581</v>
      </c>
      <c r="EZ18">
        <v>41.668999999999983</v>
      </c>
      <c r="FA18">
        <v>42.797999999999981</v>
      </c>
      <c r="FB18">
        <v>42.186999999999983</v>
      </c>
      <c r="FC18">
        <v>42.75</v>
      </c>
      <c r="FD18">
        <v>43.561999999999969</v>
      </c>
      <c r="FE18">
        <v>1684.8167741935481</v>
      </c>
      <c r="FF18">
        <v>10.17</v>
      </c>
      <c r="FG18">
        <v>0</v>
      </c>
      <c r="FH18">
        <v>201.4000000953674</v>
      </c>
      <c r="FI18">
        <v>0</v>
      </c>
      <c r="FJ18">
        <v>721.64752941176471</v>
      </c>
      <c r="FK18">
        <v>4.3593137017639414</v>
      </c>
      <c r="FL18">
        <v>-759.19117820275551</v>
      </c>
      <c r="FM18">
        <v>15727.811764705881</v>
      </c>
      <c r="FN18">
        <v>10</v>
      </c>
      <c r="FO18">
        <v>1736190662</v>
      </c>
      <c r="FP18" t="s">
        <v>850</v>
      </c>
      <c r="FQ18">
        <v>1736189776</v>
      </c>
      <c r="FR18">
        <v>1736190662</v>
      </c>
      <c r="FS18">
        <v>21</v>
      </c>
      <c r="FT18">
        <v>2.8000000000000001E-2</v>
      </c>
      <c r="FU18">
        <v>1.4E-2</v>
      </c>
      <c r="FV18">
        <v>-4.6710000000000003</v>
      </c>
      <c r="FW18">
        <v>0.32900000000000001</v>
      </c>
      <c r="FX18">
        <v>414</v>
      </c>
      <c r="FY18">
        <v>31</v>
      </c>
      <c r="FZ18">
        <v>1.29</v>
      </c>
      <c r="GA18">
        <v>0.05</v>
      </c>
      <c r="GB18">
        <v>-67.795892499999994</v>
      </c>
      <c r="GC18">
        <v>-1.6154690431518961</v>
      </c>
      <c r="GD18">
        <v>0.2240130692476443</v>
      </c>
      <c r="GE18">
        <v>0</v>
      </c>
      <c r="GF18">
        <v>720.94726470588228</v>
      </c>
      <c r="GG18">
        <v>6.7671046584192167</v>
      </c>
      <c r="GH18">
        <v>0.71428484632917688</v>
      </c>
      <c r="GI18">
        <v>1</v>
      </c>
      <c r="GJ18">
        <v>6.3416827499999986</v>
      </c>
      <c r="GK18">
        <v>0.1544621763602162</v>
      </c>
      <c r="GL18">
        <v>1.816975962795056E-2</v>
      </c>
      <c r="GM18">
        <v>1</v>
      </c>
      <c r="GN18">
        <v>2</v>
      </c>
      <c r="GO18">
        <v>3</v>
      </c>
      <c r="GP18" t="s">
        <v>598</v>
      </c>
      <c r="GQ18">
        <v>3.1339000000000001</v>
      </c>
      <c r="GR18">
        <v>2.7238199999999999</v>
      </c>
      <c r="GS18">
        <v>9.0964799999999998E-2</v>
      </c>
      <c r="GT18">
        <v>0.10172100000000001</v>
      </c>
      <c r="GU18">
        <v>0.15126899999999999</v>
      </c>
      <c r="GV18">
        <v>0.13473299999999999</v>
      </c>
      <c r="GW18">
        <v>22786.1</v>
      </c>
      <c r="GX18">
        <v>30309.8</v>
      </c>
      <c r="GY18">
        <v>27191.9</v>
      </c>
      <c r="GZ18">
        <v>34699.599999999999</v>
      </c>
      <c r="HA18">
        <v>33797.5</v>
      </c>
      <c r="HB18">
        <v>38343.5</v>
      </c>
      <c r="HC18">
        <v>40149.5</v>
      </c>
      <c r="HD18">
        <v>44394.5</v>
      </c>
      <c r="HE18">
        <v>1.9294</v>
      </c>
      <c r="HF18">
        <v>1.7589999999999999</v>
      </c>
      <c r="HG18">
        <v>6.5565100000000001E-2</v>
      </c>
      <c r="HH18">
        <v>0</v>
      </c>
      <c r="HI18">
        <v>33.032299999999999</v>
      </c>
      <c r="HJ18">
        <v>999.9</v>
      </c>
      <c r="HK18">
        <v>65.599999999999994</v>
      </c>
      <c r="HL18">
        <v>37.799999999999997</v>
      </c>
      <c r="HM18">
        <v>44.304299999999998</v>
      </c>
      <c r="HN18">
        <v>59.771000000000001</v>
      </c>
      <c r="HO18">
        <v>7.7243599999999999</v>
      </c>
      <c r="HP18">
        <v>1</v>
      </c>
      <c r="HQ18">
        <v>0.562195</v>
      </c>
      <c r="HR18">
        <v>0</v>
      </c>
      <c r="HS18">
        <v>20.2818</v>
      </c>
      <c r="HT18">
        <v>5.2088999999999999</v>
      </c>
      <c r="HU18">
        <v>11.908099999999999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1.8629500000000001</v>
      </c>
      <c r="ID18">
        <v>1.86246</v>
      </c>
      <c r="IE18">
        <v>1.8619699999999999</v>
      </c>
      <c r="IF18">
        <v>1.8620000000000001</v>
      </c>
      <c r="IG18">
        <v>1.8626400000000001</v>
      </c>
      <c r="IH18">
        <v>1.8634599999999999</v>
      </c>
      <c r="II18">
        <v>1.86145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-4.6710000000000003</v>
      </c>
      <c r="IX18">
        <v>0.32900000000000001</v>
      </c>
      <c r="IY18">
        <v>-4.6709000000000174</v>
      </c>
      <c r="IZ18">
        <v>0</v>
      </c>
      <c r="JA18">
        <v>0</v>
      </c>
      <c r="JB18">
        <v>0</v>
      </c>
      <c r="JC18">
        <v>-0.28145339569585792</v>
      </c>
      <c r="JD18">
        <v>2.7492919904454862E-4</v>
      </c>
      <c r="JE18">
        <v>8.6739513355948885E-4</v>
      </c>
      <c r="JF18">
        <v>-8.2500691715147318E-6</v>
      </c>
      <c r="JG18">
        <v>-1</v>
      </c>
      <c r="JH18">
        <v>-1</v>
      </c>
      <c r="JI18">
        <v>2</v>
      </c>
      <c r="JJ18">
        <v>37</v>
      </c>
      <c r="JK18">
        <v>14.2</v>
      </c>
      <c r="JL18">
        <v>3</v>
      </c>
      <c r="JM18">
        <v>1.23169</v>
      </c>
      <c r="JN18">
        <v>2.5268600000000001</v>
      </c>
      <c r="JO18">
        <v>1.50024</v>
      </c>
      <c r="JP18">
        <v>2.2680699999999998</v>
      </c>
      <c r="JQ18">
        <v>1.4477500000000001</v>
      </c>
      <c r="JR18">
        <v>2.4340799999999998</v>
      </c>
      <c r="JS18">
        <v>41.326099999999997</v>
      </c>
      <c r="JT18">
        <v>15.3491</v>
      </c>
      <c r="JU18">
        <v>18</v>
      </c>
      <c r="JV18">
        <v>522.86800000000005</v>
      </c>
      <c r="JW18">
        <v>425.90100000000001</v>
      </c>
      <c r="JX18">
        <v>34.148699999999998</v>
      </c>
      <c r="JY18">
        <v>34.296900000000001</v>
      </c>
      <c r="JZ18">
        <v>29.9999</v>
      </c>
      <c r="KA18">
        <v>34.244100000000003</v>
      </c>
      <c r="KB18">
        <v>34.197899999999997</v>
      </c>
      <c r="KC18">
        <v>24.635999999999999</v>
      </c>
      <c r="KD18">
        <v>38.9893</v>
      </c>
      <c r="KE18">
        <v>66.402000000000001</v>
      </c>
      <c r="KF18">
        <v>-999.9</v>
      </c>
      <c r="KG18">
        <v>487.99400000000003</v>
      </c>
      <c r="KH18">
        <v>31.435099999999998</v>
      </c>
      <c r="KI18">
        <v>100.349</v>
      </c>
      <c r="KJ18">
        <v>99.517200000000003</v>
      </c>
    </row>
    <row r="19" spans="1:296" x14ac:dyDescent="0.3">
      <c r="A19">
        <v>3</v>
      </c>
      <c r="B19">
        <v>1736190843</v>
      </c>
      <c r="C19">
        <v>414.5</v>
      </c>
      <c r="D19" t="s">
        <v>851</v>
      </c>
      <c r="E19" t="s">
        <v>852</v>
      </c>
      <c r="F19">
        <v>15</v>
      </c>
      <c r="H19">
        <v>1736190835.25</v>
      </c>
      <c r="I19">
        <f t="shared" si="0"/>
        <v>6.0958717089592664E-3</v>
      </c>
      <c r="J19">
        <f t="shared" si="1"/>
        <v>6.0958717089592662</v>
      </c>
      <c r="K19">
        <f t="shared" si="2"/>
        <v>56.886404177350052</v>
      </c>
      <c r="L19">
        <f t="shared" si="3"/>
        <v>419.56893333333329</v>
      </c>
      <c r="M19">
        <f t="shared" si="4"/>
        <v>155.20469664826831</v>
      </c>
      <c r="N19">
        <f t="shared" si="5"/>
        <v>15.144138975299729</v>
      </c>
      <c r="O19">
        <f t="shared" si="6"/>
        <v>40.939548694959946</v>
      </c>
      <c r="P19">
        <f t="shared" si="7"/>
        <v>0.37684330004656685</v>
      </c>
      <c r="Q19">
        <f t="shared" si="8"/>
        <v>2.8847101864315543</v>
      </c>
      <c r="R19">
        <f t="shared" si="9"/>
        <v>0.35147502871047431</v>
      </c>
      <c r="S19">
        <f t="shared" si="10"/>
        <v>0.22180866091291956</v>
      </c>
      <c r="T19">
        <f t="shared" si="11"/>
        <v>255.9111296298276</v>
      </c>
      <c r="U19">
        <f t="shared" si="12"/>
        <v>34.423377074354462</v>
      </c>
      <c r="V19">
        <f t="shared" si="13"/>
        <v>33.714826666666667</v>
      </c>
      <c r="W19">
        <f t="shared" si="14"/>
        <v>5.2586042382663054</v>
      </c>
      <c r="X19">
        <f t="shared" si="15"/>
        <v>66.318537956765397</v>
      </c>
      <c r="Y19">
        <f t="shared" si="16"/>
        <v>3.6434872876152178</v>
      </c>
      <c r="Z19">
        <f t="shared" si="17"/>
        <v>5.493919799604889</v>
      </c>
      <c r="AA19">
        <f t="shared" si="18"/>
        <v>1.6151169506510876</v>
      </c>
      <c r="AB19">
        <f t="shared" si="19"/>
        <v>-268.82794236510364</v>
      </c>
      <c r="AC19">
        <f t="shared" si="20"/>
        <v>122.14787082799049</v>
      </c>
      <c r="AD19">
        <f t="shared" si="21"/>
        <v>9.8031814311724634</v>
      </c>
      <c r="AE19">
        <f t="shared" si="22"/>
        <v>119.0342395238869</v>
      </c>
      <c r="AF19">
        <f t="shared" si="23"/>
        <v>56.886404177350052</v>
      </c>
      <c r="AG19">
        <f t="shared" si="24"/>
        <v>6.0958717089592662</v>
      </c>
      <c r="AH19">
        <f t="shared" si="25"/>
        <v>57.371866267372802</v>
      </c>
      <c r="AI19">
        <v>506.46766613761542</v>
      </c>
      <c r="AJ19">
        <v>435.49517575757568</v>
      </c>
      <c r="AK19">
        <v>-6.1280010245983304E-3</v>
      </c>
      <c r="AL19">
        <v>67.093389118451555</v>
      </c>
      <c r="AM19">
        <f t="shared" si="26"/>
        <v>6.075980765563747</v>
      </c>
      <c r="AN19">
        <v>30.27088141053148</v>
      </c>
      <c r="AO19">
        <v>37.309256363636372</v>
      </c>
      <c r="AP19">
        <v>-3.1127383912706941E-3</v>
      </c>
      <c r="AQ19">
        <v>78.259311968674709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50281.443240106266</v>
      </c>
      <c r="AW19" t="s">
        <v>844</v>
      </c>
      <c r="AX19">
        <v>5116.59</v>
      </c>
      <c r="AY19">
        <v>526.90294117647045</v>
      </c>
      <c r="AZ19">
        <v>2506.5</v>
      </c>
      <c r="BA19">
        <f t="shared" si="30"/>
        <v>0.78978538153741451</v>
      </c>
      <c r="BB19">
        <v>-4.2280439564527317</v>
      </c>
      <c r="BC19" t="s">
        <v>853</v>
      </c>
      <c r="BD19">
        <v>5102.6499999999996</v>
      </c>
      <c r="BE19">
        <v>739.75</v>
      </c>
      <c r="BF19">
        <v>1043.6199999999999</v>
      </c>
      <c r="BG19">
        <f t="shared" si="31"/>
        <v>0.29116919951706555</v>
      </c>
      <c r="BH19">
        <v>0.5</v>
      </c>
      <c r="BI19">
        <f t="shared" si="32"/>
        <v>1344.274199808201</v>
      </c>
      <c r="BJ19">
        <f t="shared" si="33"/>
        <v>56.886404177350052</v>
      </c>
      <c r="BK19">
        <f t="shared" si="34"/>
        <v>195.70562134479886</v>
      </c>
      <c r="BL19">
        <f t="shared" si="35"/>
        <v>4.5462784409997972E-2</v>
      </c>
      <c r="BM19">
        <f t="shared" si="36"/>
        <v>1.4017362641574522</v>
      </c>
      <c r="BN19">
        <f t="shared" si="37"/>
        <v>406.97999592624711</v>
      </c>
      <c r="BO19" t="s">
        <v>407</v>
      </c>
      <c r="BP19">
        <v>0</v>
      </c>
      <c r="BQ19">
        <f t="shared" si="38"/>
        <v>406.97999592624711</v>
      </c>
      <c r="BR19">
        <f t="shared" si="39"/>
        <v>0.61003047476452432</v>
      </c>
      <c r="BS19">
        <f t="shared" si="40"/>
        <v>0.47730271119563117</v>
      </c>
      <c r="BT19">
        <f t="shared" si="41"/>
        <v>0.69676878389419317</v>
      </c>
      <c r="BU19">
        <f t="shared" si="42"/>
        <v>0.58807812672540072</v>
      </c>
      <c r="BV19">
        <f t="shared" si="43"/>
        <v>0.73897866915875632</v>
      </c>
      <c r="BW19">
        <f t="shared" si="44"/>
        <v>0.262592302072301</v>
      </c>
      <c r="BX19">
        <f t="shared" si="45"/>
        <v>0.737407697927699</v>
      </c>
      <c r="DG19">
        <f t="shared" si="46"/>
        <v>1599.9849999999999</v>
      </c>
      <c r="DH19">
        <f t="shared" si="47"/>
        <v>1344.274199808201</v>
      </c>
      <c r="DI19">
        <f t="shared" si="48"/>
        <v>0.84017925156060902</v>
      </c>
      <c r="DJ19">
        <f t="shared" si="49"/>
        <v>0.15994595551197519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1736190835.25</v>
      </c>
      <c r="DQ19">
        <v>419.56893333333329</v>
      </c>
      <c r="DR19">
        <v>490.90836666666672</v>
      </c>
      <c r="DS19">
        <v>37.340276666666668</v>
      </c>
      <c r="DT19">
        <v>30.297726666666669</v>
      </c>
      <c r="DU19">
        <v>424.4581</v>
      </c>
      <c r="DV19">
        <v>36.827556666666659</v>
      </c>
      <c r="DW19">
        <v>499.95386666666673</v>
      </c>
      <c r="DX19">
        <v>97.529183333333322</v>
      </c>
      <c r="DY19">
        <v>4.6078899999999999E-2</v>
      </c>
      <c r="DZ19">
        <v>34.500239999999998</v>
      </c>
      <c r="EA19">
        <v>33.714826666666667</v>
      </c>
      <c r="EB19">
        <v>999.9000000000002</v>
      </c>
      <c r="EC19">
        <v>0</v>
      </c>
      <c r="ED19">
        <v>0</v>
      </c>
      <c r="EE19">
        <v>9993.5</v>
      </c>
      <c r="EF19">
        <v>0</v>
      </c>
      <c r="EG19">
        <v>216.1617</v>
      </c>
      <c r="EH19">
        <v>-71.33932333333334</v>
      </c>
      <c r="EI19">
        <v>435.84346666666659</v>
      </c>
      <c r="EJ19">
        <v>506.24643333333341</v>
      </c>
      <c r="EK19">
        <v>7.0425530000000007</v>
      </c>
      <c r="EL19">
        <v>490.90836666666672</v>
      </c>
      <c r="EM19">
        <v>30.297726666666669</v>
      </c>
      <c r="EN19">
        <v>3.6417670000000011</v>
      </c>
      <c r="EO19">
        <v>2.9549120000000002</v>
      </c>
      <c r="EP19">
        <v>27.295566666666669</v>
      </c>
      <c r="EQ19">
        <v>23.77599</v>
      </c>
      <c r="ER19">
        <v>1599.9849999999999</v>
      </c>
      <c r="ES19">
        <v>0.99400400000000011</v>
      </c>
      <c r="ET19">
        <v>5.995539999999998E-3</v>
      </c>
      <c r="EU19">
        <v>0</v>
      </c>
      <c r="EV19">
        <v>739.65899999999999</v>
      </c>
      <c r="EW19">
        <v>5.0010700000000003</v>
      </c>
      <c r="EX19">
        <v>15170.17</v>
      </c>
      <c r="EY19">
        <v>14578.4</v>
      </c>
      <c r="EZ19">
        <v>41.875</v>
      </c>
      <c r="FA19">
        <v>43.016533333333307</v>
      </c>
      <c r="FB19">
        <v>42.5</v>
      </c>
      <c r="FC19">
        <v>42.970599999999997</v>
      </c>
      <c r="FD19">
        <v>43.75</v>
      </c>
      <c r="FE19">
        <v>1585.425</v>
      </c>
      <c r="FF19">
        <v>9.56</v>
      </c>
      <c r="FG19">
        <v>0</v>
      </c>
      <c r="FH19">
        <v>211.5</v>
      </c>
      <c r="FI19">
        <v>0</v>
      </c>
      <c r="FJ19">
        <v>739.75</v>
      </c>
      <c r="FK19">
        <v>3.3352941499102711</v>
      </c>
      <c r="FL19">
        <v>76.519609111015086</v>
      </c>
      <c r="FM19">
        <v>15172.78823529412</v>
      </c>
      <c r="FN19">
        <v>10</v>
      </c>
      <c r="FO19">
        <v>1736190804</v>
      </c>
      <c r="FP19" t="s">
        <v>854</v>
      </c>
      <c r="FQ19">
        <v>1736190800</v>
      </c>
      <c r="FR19">
        <v>1736190804</v>
      </c>
      <c r="FS19">
        <v>22</v>
      </c>
      <c r="FT19">
        <v>-0.218</v>
      </c>
      <c r="FU19">
        <v>5.0000000000000001E-3</v>
      </c>
      <c r="FV19">
        <v>-4.8890000000000002</v>
      </c>
      <c r="FW19">
        <v>0.309</v>
      </c>
      <c r="FX19">
        <v>491</v>
      </c>
      <c r="FY19">
        <v>30</v>
      </c>
      <c r="FZ19">
        <v>0.15</v>
      </c>
      <c r="GA19">
        <v>0.03</v>
      </c>
      <c r="GB19">
        <v>-71.799814999999995</v>
      </c>
      <c r="GC19">
        <v>5.2880690431521762</v>
      </c>
      <c r="GD19">
        <v>1.007062905569954</v>
      </c>
      <c r="GE19">
        <v>0</v>
      </c>
      <c r="GF19">
        <v>739.49717647058822</v>
      </c>
      <c r="GG19">
        <v>3.6476088591426761</v>
      </c>
      <c r="GH19">
        <v>0.44688592244740249</v>
      </c>
      <c r="GI19">
        <v>1</v>
      </c>
      <c r="GJ19">
        <v>7.040807749999999</v>
      </c>
      <c r="GK19">
        <v>4.230382739210959E-2</v>
      </c>
      <c r="GL19">
        <v>8.4933054482633306E-3</v>
      </c>
      <c r="GM19">
        <v>1</v>
      </c>
      <c r="GN19">
        <v>2</v>
      </c>
      <c r="GO19">
        <v>3</v>
      </c>
      <c r="GP19" t="s">
        <v>598</v>
      </c>
      <c r="GQ19">
        <v>3.13266</v>
      </c>
      <c r="GR19">
        <v>2.72336</v>
      </c>
      <c r="GS19">
        <v>9.1053499999999996E-2</v>
      </c>
      <c r="GT19">
        <v>0.102355</v>
      </c>
      <c r="GU19">
        <v>0.15004799999999999</v>
      </c>
      <c r="GV19">
        <v>0.13139999999999999</v>
      </c>
      <c r="GW19">
        <v>22789.3</v>
      </c>
      <c r="GX19">
        <v>30297.9</v>
      </c>
      <c r="GY19">
        <v>27197.7</v>
      </c>
      <c r="GZ19">
        <v>34709.5</v>
      </c>
      <c r="HA19">
        <v>33851.199999999997</v>
      </c>
      <c r="HB19">
        <v>38501.199999999997</v>
      </c>
      <c r="HC19">
        <v>40157.199999999997</v>
      </c>
      <c r="HD19">
        <v>44406.400000000001</v>
      </c>
      <c r="HE19">
        <v>1.9574</v>
      </c>
      <c r="HF19">
        <v>1.7598</v>
      </c>
      <c r="HG19">
        <v>6.5535300000000005E-2</v>
      </c>
      <c r="HH19">
        <v>0</v>
      </c>
      <c r="HI19">
        <v>32.654800000000002</v>
      </c>
      <c r="HJ19">
        <v>999.9</v>
      </c>
      <c r="HK19">
        <v>63.7</v>
      </c>
      <c r="HL19">
        <v>37.799999999999997</v>
      </c>
      <c r="HM19">
        <v>43.012599999999999</v>
      </c>
      <c r="HN19">
        <v>59.6511</v>
      </c>
      <c r="HO19">
        <v>7.6081700000000003</v>
      </c>
      <c r="HP19">
        <v>1</v>
      </c>
      <c r="HQ19">
        <v>0.54792700000000005</v>
      </c>
      <c r="HR19">
        <v>0</v>
      </c>
      <c r="HS19">
        <v>20.282599999999999</v>
      </c>
      <c r="HT19">
        <v>5.2100999999999997</v>
      </c>
      <c r="HU19">
        <v>11.9033</v>
      </c>
      <c r="HV19">
        <v>4.9836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1.8623700000000001</v>
      </c>
      <c r="IE19">
        <v>1.8619699999999999</v>
      </c>
      <c r="IF19">
        <v>1.8620300000000001</v>
      </c>
      <c r="IG19">
        <v>1.8626400000000001</v>
      </c>
      <c r="IH19">
        <v>1.8634999999999999</v>
      </c>
      <c r="II19">
        <v>1.86145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-4.8890000000000002</v>
      </c>
      <c r="IX19">
        <v>0.51160000000000005</v>
      </c>
      <c r="IY19">
        <v>-4.8891499999998587</v>
      </c>
      <c r="IZ19">
        <v>0</v>
      </c>
      <c r="JA19">
        <v>0</v>
      </c>
      <c r="JB19">
        <v>0</v>
      </c>
      <c r="JC19">
        <v>-0.26174921908418058</v>
      </c>
      <c r="JD19">
        <v>2.7492919904454862E-4</v>
      </c>
      <c r="JE19">
        <v>8.6739513355948885E-4</v>
      </c>
      <c r="JF19">
        <v>-8.2500691715147318E-6</v>
      </c>
      <c r="JG19">
        <v>-1</v>
      </c>
      <c r="JH19">
        <v>-1</v>
      </c>
      <c r="JI19">
        <v>2</v>
      </c>
      <c r="JJ19">
        <v>37</v>
      </c>
      <c r="JK19">
        <v>0.7</v>
      </c>
      <c r="JL19">
        <v>0.7</v>
      </c>
      <c r="JM19">
        <v>1.2377899999999999</v>
      </c>
      <c r="JN19">
        <v>2.5293000000000001</v>
      </c>
      <c r="JO19">
        <v>1.50024</v>
      </c>
      <c r="JP19">
        <v>2.2680699999999998</v>
      </c>
      <c r="JQ19">
        <v>1.4477500000000001</v>
      </c>
      <c r="JR19">
        <v>2.3999000000000001</v>
      </c>
      <c r="JS19">
        <v>41.170499999999997</v>
      </c>
      <c r="JT19">
        <v>15.322800000000001</v>
      </c>
      <c r="JU19">
        <v>18</v>
      </c>
      <c r="JV19">
        <v>539.97199999999998</v>
      </c>
      <c r="JW19">
        <v>425.33699999999999</v>
      </c>
      <c r="JX19">
        <v>33.940199999999997</v>
      </c>
      <c r="JY19">
        <v>34.129899999999999</v>
      </c>
      <c r="JZ19">
        <v>29.999700000000001</v>
      </c>
      <c r="KA19">
        <v>34.089100000000002</v>
      </c>
      <c r="KB19">
        <v>34.038899999999998</v>
      </c>
      <c r="KC19">
        <v>24.762899999999998</v>
      </c>
      <c r="KD19">
        <v>39.070799999999998</v>
      </c>
      <c r="KE19">
        <v>58.436900000000001</v>
      </c>
      <c r="KF19">
        <v>-999.9</v>
      </c>
      <c r="KG19">
        <v>491.54199999999997</v>
      </c>
      <c r="KH19">
        <v>30.178699999999999</v>
      </c>
      <c r="KI19">
        <v>100.369</v>
      </c>
      <c r="KJ19">
        <v>99.544499999999999</v>
      </c>
    </row>
    <row r="20" spans="1:296" x14ac:dyDescent="0.3">
      <c r="A20">
        <v>4</v>
      </c>
      <c r="B20">
        <v>1736190977.5</v>
      </c>
      <c r="C20">
        <v>549</v>
      </c>
      <c r="D20" t="s">
        <v>855</v>
      </c>
      <c r="E20" t="s">
        <v>856</v>
      </c>
      <c r="F20">
        <v>15</v>
      </c>
      <c r="H20">
        <v>1736190969.75</v>
      </c>
      <c r="I20">
        <f t="shared" si="0"/>
        <v>6.2013953782793473E-3</v>
      </c>
      <c r="J20">
        <f t="shared" si="1"/>
        <v>6.2013953782793472</v>
      </c>
      <c r="K20">
        <f t="shared" si="2"/>
        <v>55.435174992139899</v>
      </c>
      <c r="L20">
        <f t="shared" si="3"/>
        <v>419.77789999999999</v>
      </c>
      <c r="M20">
        <f t="shared" si="4"/>
        <v>168.54437152350053</v>
      </c>
      <c r="N20">
        <f t="shared" si="5"/>
        <v>16.446000851474661</v>
      </c>
      <c r="O20">
        <f t="shared" si="6"/>
        <v>40.960535427121343</v>
      </c>
      <c r="P20">
        <f t="shared" si="7"/>
        <v>0.38787054142051813</v>
      </c>
      <c r="Q20">
        <f t="shared" si="8"/>
        <v>2.884789718810234</v>
      </c>
      <c r="R20">
        <f t="shared" si="9"/>
        <v>0.3610532118705751</v>
      </c>
      <c r="S20">
        <f t="shared" si="10"/>
        <v>0.2279129893495816</v>
      </c>
      <c r="T20">
        <f t="shared" si="11"/>
        <v>224.00455916721103</v>
      </c>
      <c r="U20">
        <f t="shared" si="12"/>
        <v>34.093678605446243</v>
      </c>
      <c r="V20">
        <f t="shared" si="13"/>
        <v>33.57239666666667</v>
      </c>
      <c r="W20">
        <f t="shared" si="14"/>
        <v>5.2168836897550541</v>
      </c>
      <c r="X20">
        <f t="shared" si="15"/>
        <v>66.244190661651487</v>
      </c>
      <c r="Y20">
        <f t="shared" si="16"/>
        <v>3.6167841932106475</v>
      </c>
      <c r="Z20">
        <f t="shared" si="17"/>
        <v>5.4597756529077657</v>
      </c>
      <c r="AA20">
        <f t="shared" si="18"/>
        <v>1.6000994965444066</v>
      </c>
      <c r="AB20">
        <f t="shared" si="19"/>
        <v>-273.48153618211921</v>
      </c>
      <c r="AC20">
        <f t="shared" si="20"/>
        <v>126.86415783425171</v>
      </c>
      <c r="AD20">
        <f t="shared" si="21"/>
        <v>10.168761962996788</v>
      </c>
      <c r="AE20">
        <f t="shared" si="22"/>
        <v>87.555942782340324</v>
      </c>
      <c r="AF20">
        <f t="shared" si="23"/>
        <v>55.435174992139899</v>
      </c>
      <c r="AG20">
        <f t="shared" si="24"/>
        <v>6.2013953782793472</v>
      </c>
      <c r="AH20">
        <f t="shared" si="25"/>
        <v>55.182248493330491</v>
      </c>
      <c r="AI20">
        <v>504.57467863220478</v>
      </c>
      <c r="AJ20">
        <v>436.14848484848471</v>
      </c>
      <c r="AK20">
        <v>3.2215973196658573E-2</v>
      </c>
      <c r="AL20">
        <v>67.035376993638266</v>
      </c>
      <c r="AM20">
        <f t="shared" si="26"/>
        <v>6.1676769100741673</v>
      </c>
      <c r="AN20">
        <v>29.873056728335541</v>
      </c>
      <c r="AO20">
        <v>37.042963030303021</v>
      </c>
      <c r="AP20">
        <v>-7.164674112565975E-3</v>
      </c>
      <c r="AQ20">
        <v>78.068243503771143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50302.016295287911</v>
      </c>
      <c r="AW20" t="s">
        <v>844</v>
      </c>
      <c r="AX20">
        <v>5116.59</v>
      </c>
      <c r="AY20">
        <v>526.90294117647045</v>
      </c>
      <c r="AZ20">
        <v>2506.5</v>
      </c>
      <c r="BA20">
        <f t="shared" si="30"/>
        <v>0.78978538153741451</v>
      </c>
      <c r="BB20">
        <v>-4.2280439564527317</v>
      </c>
      <c r="BC20" t="s">
        <v>857</v>
      </c>
      <c r="BD20">
        <v>5104.01</v>
      </c>
      <c r="BE20">
        <v>747.86617647058824</v>
      </c>
      <c r="BF20">
        <v>1121.97</v>
      </c>
      <c r="BG20">
        <f t="shared" si="31"/>
        <v>0.33343478304180307</v>
      </c>
      <c r="BH20">
        <v>0.5</v>
      </c>
      <c r="BI20">
        <f t="shared" si="32"/>
        <v>1176.2844397757567</v>
      </c>
      <c r="BJ20">
        <f t="shared" si="33"/>
        <v>55.435174992139899</v>
      </c>
      <c r="BK20">
        <f t="shared" si="34"/>
        <v>196.10707348603916</v>
      </c>
      <c r="BL20">
        <f t="shared" si="35"/>
        <v>5.0721761617425323E-2</v>
      </c>
      <c r="BM20">
        <f t="shared" si="36"/>
        <v>1.2340169523249285</v>
      </c>
      <c r="BN20">
        <f t="shared" si="37"/>
        <v>418.37337276860654</v>
      </c>
      <c r="BO20" t="s">
        <v>407</v>
      </c>
      <c r="BP20">
        <v>0</v>
      </c>
      <c r="BQ20">
        <f t="shared" si="38"/>
        <v>418.37337276860654</v>
      </c>
      <c r="BR20">
        <f t="shared" si="39"/>
        <v>0.62710823572055707</v>
      </c>
      <c r="BS20">
        <f t="shared" si="40"/>
        <v>0.53170212739860012</v>
      </c>
      <c r="BT20">
        <f t="shared" si="41"/>
        <v>0.66304886971137456</v>
      </c>
      <c r="BU20">
        <f t="shared" si="42"/>
        <v>0.62867506776300042</v>
      </c>
      <c r="BV20">
        <f t="shared" si="43"/>
        <v>0.69939990758665971</v>
      </c>
      <c r="BW20">
        <f t="shared" si="44"/>
        <v>0.29744628029282733</v>
      </c>
      <c r="BX20">
        <f t="shared" si="45"/>
        <v>0.70255371970717273</v>
      </c>
      <c r="DG20">
        <f t="shared" si="46"/>
        <v>1399.989333333333</v>
      </c>
      <c r="DH20">
        <f t="shared" si="47"/>
        <v>1176.2844397757567</v>
      </c>
      <c r="DI20">
        <f t="shared" si="48"/>
        <v>0.84020957286514353</v>
      </c>
      <c r="DJ20">
        <f t="shared" si="49"/>
        <v>0.160004475629727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1736190969.75</v>
      </c>
      <c r="DQ20">
        <v>419.77789999999999</v>
      </c>
      <c r="DR20">
        <v>489.42576666666668</v>
      </c>
      <c r="DS20">
        <v>37.066070000000003</v>
      </c>
      <c r="DT20">
        <v>29.90004333333334</v>
      </c>
      <c r="DU20">
        <v>424.66109999999998</v>
      </c>
      <c r="DV20">
        <v>36.555819999999997</v>
      </c>
      <c r="DW20">
        <v>499.98703333333339</v>
      </c>
      <c r="DX20">
        <v>97.530389999999983</v>
      </c>
      <c r="DY20">
        <v>4.6293829999999987E-2</v>
      </c>
      <c r="DZ20">
        <v>34.388113333333337</v>
      </c>
      <c r="EA20">
        <v>33.57239666666667</v>
      </c>
      <c r="EB20">
        <v>999.9000000000002</v>
      </c>
      <c r="EC20">
        <v>0</v>
      </c>
      <c r="ED20">
        <v>0</v>
      </c>
      <c r="EE20">
        <v>9993.8333333333339</v>
      </c>
      <c r="EF20">
        <v>0</v>
      </c>
      <c r="EG20">
        <v>193.19723333333329</v>
      </c>
      <c r="EH20">
        <v>-69.647850000000005</v>
      </c>
      <c r="EI20">
        <v>435.93623333333329</v>
      </c>
      <c r="EJ20">
        <v>504.51066666666668</v>
      </c>
      <c r="EK20">
        <v>7.1660219999999999</v>
      </c>
      <c r="EL20">
        <v>489.42576666666668</v>
      </c>
      <c r="EM20">
        <v>29.90004333333334</v>
      </c>
      <c r="EN20">
        <v>3.6150686666666672</v>
      </c>
      <c r="EO20">
        <v>2.9161626666666658</v>
      </c>
      <c r="EP20">
        <v>27.170063333333331</v>
      </c>
      <c r="EQ20">
        <v>23.556809999999999</v>
      </c>
      <c r="ER20">
        <v>1399.989333333333</v>
      </c>
      <c r="ES20">
        <v>0.99299083333333316</v>
      </c>
      <c r="ET20">
        <v>7.0089906666666686E-3</v>
      </c>
      <c r="EU20">
        <v>0</v>
      </c>
      <c r="EV20">
        <v>747.79316666666671</v>
      </c>
      <c r="EW20">
        <v>5.0010700000000003</v>
      </c>
      <c r="EX20">
        <v>13792.15</v>
      </c>
      <c r="EY20">
        <v>12745.38333333333</v>
      </c>
      <c r="EZ20">
        <v>41.816199999999988</v>
      </c>
      <c r="FA20">
        <v>43.186999999999983</v>
      </c>
      <c r="FB20">
        <v>42.625</v>
      </c>
      <c r="FC20">
        <v>43.110300000000009</v>
      </c>
      <c r="FD20">
        <v>43.762399999999992</v>
      </c>
      <c r="FE20">
        <v>1385.209333333333</v>
      </c>
      <c r="FF20">
        <v>9.7799999999999958</v>
      </c>
      <c r="FG20">
        <v>0</v>
      </c>
      <c r="FH20">
        <v>134</v>
      </c>
      <c r="FI20">
        <v>0</v>
      </c>
      <c r="FJ20">
        <v>747.86617647058824</v>
      </c>
      <c r="FK20">
        <v>-0.9767157023979508</v>
      </c>
      <c r="FL20">
        <v>183.3578424996706</v>
      </c>
      <c r="FM20">
        <v>13804.47058823529</v>
      </c>
      <c r="FN20">
        <v>10</v>
      </c>
      <c r="FO20">
        <v>1736190922.5</v>
      </c>
      <c r="FP20" t="s">
        <v>858</v>
      </c>
      <c r="FQ20">
        <v>1736190912</v>
      </c>
      <c r="FR20">
        <v>1736190922.5</v>
      </c>
      <c r="FS20">
        <v>23</v>
      </c>
      <c r="FT20">
        <v>6.0000000000000001E-3</v>
      </c>
      <c r="FU20">
        <v>6.0000000000000001E-3</v>
      </c>
      <c r="FV20">
        <v>-4.883</v>
      </c>
      <c r="FW20">
        <v>0.30199999999999999</v>
      </c>
      <c r="FX20">
        <v>490</v>
      </c>
      <c r="FY20">
        <v>30</v>
      </c>
      <c r="FZ20">
        <v>0.08</v>
      </c>
      <c r="GA20">
        <v>0.06</v>
      </c>
      <c r="GB20">
        <v>-69.602659999999986</v>
      </c>
      <c r="GC20">
        <v>-0.55232195121953243</v>
      </c>
      <c r="GD20">
        <v>0.175290793825574</v>
      </c>
      <c r="GE20">
        <v>1</v>
      </c>
      <c r="GF20">
        <v>747.72373529411755</v>
      </c>
      <c r="GG20">
        <v>1.0578915147205541</v>
      </c>
      <c r="GH20">
        <v>0.2342983654412456</v>
      </c>
      <c r="GI20">
        <v>1</v>
      </c>
      <c r="GJ20">
        <v>7.1591929999999993</v>
      </c>
      <c r="GK20">
        <v>0.143531932457761</v>
      </c>
      <c r="GL20">
        <v>1.6209693118625031E-2</v>
      </c>
      <c r="GM20">
        <v>1</v>
      </c>
      <c r="GN20">
        <v>3</v>
      </c>
      <c r="GO20">
        <v>3</v>
      </c>
      <c r="GP20" t="s">
        <v>599</v>
      </c>
      <c r="GQ20">
        <v>3.1330399999999998</v>
      </c>
      <c r="GR20">
        <v>2.7224499999999998</v>
      </c>
      <c r="GS20">
        <v>9.1172500000000004E-2</v>
      </c>
      <c r="GT20">
        <v>0.102075</v>
      </c>
      <c r="GU20">
        <v>0.149368</v>
      </c>
      <c r="GV20">
        <v>0.130305</v>
      </c>
      <c r="GW20">
        <v>22789</v>
      </c>
      <c r="GX20">
        <v>30312.2</v>
      </c>
      <c r="GY20">
        <v>27200.5</v>
      </c>
      <c r="GZ20">
        <v>34714.400000000001</v>
      </c>
      <c r="HA20">
        <v>33881.800000000003</v>
      </c>
      <c r="HB20">
        <v>38553.800000000003</v>
      </c>
      <c r="HC20">
        <v>40162.1</v>
      </c>
      <c r="HD20">
        <v>44411.5</v>
      </c>
      <c r="HE20">
        <v>1.9530000000000001</v>
      </c>
      <c r="HF20">
        <v>1.7614000000000001</v>
      </c>
      <c r="HG20">
        <v>6.0796700000000002E-2</v>
      </c>
      <c r="HH20">
        <v>0</v>
      </c>
      <c r="HI20">
        <v>32.593899999999998</v>
      </c>
      <c r="HJ20">
        <v>999.9</v>
      </c>
      <c r="HK20">
        <v>62.6</v>
      </c>
      <c r="HL20">
        <v>37.799999999999997</v>
      </c>
      <c r="HM20">
        <v>42.2697</v>
      </c>
      <c r="HN20">
        <v>59.661099999999998</v>
      </c>
      <c r="HO20">
        <v>7.9807699999999997</v>
      </c>
      <c r="HP20">
        <v>1</v>
      </c>
      <c r="HQ20">
        <v>0.54</v>
      </c>
      <c r="HR20">
        <v>0</v>
      </c>
      <c r="HS20">
        <v>20.283799999999999</v>
      </c>
      <c r="HT20">
        <v>5.2088999999999999</v>
      </c>
      <c r="HU20">
        <v>11.908099999999999</v>
      </c>
      <c r="HV20">
        <v>4.9851999999999999</v>
      </c>
      <c r="HW20">
        <v>3.2707999999999999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1.86246</v>
      </c>
      <c r="IE20">
        <v>1.86191</v>
      </c>
      <c r="IF20">
        <v>1.8620000000000001</v>
      </c>
      <c r="IG20">
        <v>1.8626100000000001</v>
      </c>
      <c r="IH20">
        <v>1.8634999999999999</v>
      </c>
      <c r="II20">
        <v>1.86151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-4.883</v>
      </c>
      <c r="IX20">
        <v>0.50970000000000004</v>
      </c>
      <c r="IY20">
        <v>-4.8832500000000891</v>
      </c>
      <c r="IZ20">
        <v>0</v>
      </c>
      <c r="JA20">
        <v>0</v>
      </c>
      <c r="JB20">
        <v>0</v>
      </c>
      <c r="JC20">
        <v>-0.25590359217001551</v>
      </c>
      <c r="JD20">
        <v>2.7492919904454862E-4</v>
      </c>
      <c r="JE20">
        <v>8.6739513355948885E-4</v>
      </c>
      <c r="JF20">
        <v>-8.2500691715147318E-6</v>
      </c>
      <c r="JG20">
        <v>-1</v>
      </c>
      <c r="JH20">
        <v>-1</v>
      </c>
      <c r="JI20">
        <v>2</v>
      </c>
      <c r="JJ20">
        <v>37</v>
      </c>
      <c r="JK20">
        <v>1.1000000000000001</v>
      </c>
      <c r="JL20">
        <v>0.9</v>
      </c>
      <c r="JM20">
        <v>1.2341299999999999</v>
      </c>
      <c r="JN20">
        <v>2.5317400000000001</v>
      </c>
      <c r="JO20">
        <v>1.50024</v>
      </c>
      <c r="JP20">
        <v>2.2680699999999998</v>
      </c>
      <c r="JQ20">
        <v>1.4477500000000001</v>
      </c>
      <c r="JR20">
        <v>2.3840300000000001</v>
      </c>
      <c r="JS20">
        <v>41.118699999999997</v>
      </c>
      <c r="JT20">
        <v>15.305300000000001</v>
      </c>
      <c r="JU20">
        <v>18</v>
      </c>
      <c r="JV20">
        <v>536.28399999999999</v>
      </c>
      <c r="JW20">
        <v>425.714</v>
      </c>
      <c r="JX20">
        <v>33.881</v>
      </c>
      <c r="JY20">
        <v>34.037500000000001</v>
      </c>
      <c r="JZ20">
        <v>29.999700000000001</v>
      </c>
      <c r="KA20">
        <v>33.995600000000003</v>
      </c>
      <c r="KB20">
        <v>33.947600000000001</v>
      </c>
      <c r="KC20">
        <v>24.677</v>
      </c>
      <c r="KD20">
        <v>38.714399999999998</v>
      </c>
      <c r="KE20">
        <v>53.505600000000001</v>
      </c>
      <c r="KF20">
        <v>-999.9</v>
      </c>
      <c r="KG20">
        <v>489.31599999999997</v>
      </c>
      <c r="KH20">
        <v>29.846900000000002</v>
      </c>
      <c r="KI20">
        <v>100.381</v>
      </c>
      <c r="KJ20">
        <v>99.557199999999995</v>
      </c>
    </row>
    <row r="21" spans="1:296" x14ac:dyDescent="0.3">
      <c r="A21">
        <v>5</v>
      </c>
      <c r="B21">
        <v>1736191100</v>
      </c>
      <c r="C21">
        <v>671.5</v>
      </c>
      <c r="D21" t="s">
        <v>859</v>
      </c>
      <c r="E21" t="s">
        <v>860</v>
      </c>
      <c r="F21">
        <v>15</v>
      </c>
      <c r="H21">
        <v>1736191092.25</v>
      </c>
      <c r="I21">
        <f t="shared" si="0"/>
        <v>6.0509316745869903E-3</v>
      </c>
      <c r="J21">
        <f t="shared" si="1"/>
        <v>6.0509316745869901</v>
      </c>
      <c r="K21">
        <f t="shared" si="2"/>
        <v>49.724541976988206</v>
      </c>
      <c r="L21">
        <f t="shared" si="3"/>
        <v>419.95299999999992</v>
      </c>
      <c r="M21">
        <f t="shared" si="4"/>
        <v>188.80833877084314</v>
      </c>
      <c r="N21">
        <f t="shared" si="5"/>
        <v>18.422664977217497</v>
      </c>
      <c r="O21">
        <f t="shared" si="6"/>
        <v>40.976227403639207</v>
      </c>
      <c r="P21">
        <f t="shared" si="7"/>
        <v>0.37919049358347318</v>
      </c>
      <c r="Q21">
        <f t="shared" si="8"/>
        <v>2.8806168441597904</v>
      </c>
      <c r="R21">
        <f t="shared" si="9"/>
        <v>0.353482934208799</v>
      </c>
      <c r="S21">
        <f t="shared" si="10"/>
        <v>0.22309115138671359</v>
      </c>
      <c r="T21">
        <f t="shared" si="11"/>
        <v>176.12669684522814</v>
      </c>
      <c r="U21">
        <f t="shared" si="12"/>
        <v>33.800318350178237</v>
      </c>
      <c r="V21">
        <f t="shared" si="13"/>
        <v>33.518173333333337</v>
      </c>
      <c r="W21">
        <f t="shared" si="14"/>
        <v>5.2010764451498446</v>
      </c>
      <c r="X21">
        <f t="shared" si="15"/>
        <v>66.223843411377132</v>
      </c>
      <c r="Y21">
        <f t="shared" si="16"/>
        <v>3.6061941616757016</v>
      </c>
      <c r="Z21">
        <f t="shared" si="17"/>
        <v>5.4454618999901845</v>
      </c>
      <c r="AA21">
        <f t="shared" si="18"/>
        <v>1.594882283474143</v>
      </c>
      <c r="AB21">
        <f t="shared" si="19"/>
        <v>-266.84608684928628</v>
      </c>
      <c r="AC21">
        <f t="shared" si="20"/>
        <v>127.77344070605308</v>
      </c>
      <c r="AD21">
        <f t="shared" si="21"/>
        <v>10.251400240017631</v>
      </c>
      <c r="AE21">
        <f t="shared" si="22"/>
        <v>47.30545094201257</v>
      </c>
      <c r="AF21">
        <f t="shared" si="23"/>
        <v>49.724541976988206</v>
      </c>
      <c r="AG21">
        <f t="shared" si="24"/>
        <v>6.0509316745869901</v>
      </c>
      <c r="AH21">
        <f t="shared" si="25"/>
        <v>49.927338951418662</v>
      </c>
      <c r="AI21">
        <v>497.7510907993547</v>
      </c>
      <c r="AJ21">
        <v>435.95355757575771</v>
      </c>
      <c r="AK21">
        <v>4.4342352684958288E-3</v>
      </c>
      <c r="AL21">
        <v>67.035465969743655</v>
      </c>
      <c r="AM21">
        <f t="shared" si="26"/>
        <v>6.0690995823077651</v>
      </c>
      <c r="AN21">
        <v>29.91989220459886</v>
      </c>
      <c r="AO21">
        <v>36.941976363636343</v>
      </c>
      <c r="AP21">
        <v>-1.1624485447882271E-3</v>
      </c>
      <c r="AQ21">
        <v>78.068542060909579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50193.944996034494</v>
      </c>
      <c r="AW21" t="s">
        <v>844</v>
      </c>
      <c r="AX21">
        <v>5116.59</v>
      </c>
      <c r="AY21">
        <v>526.90294117647045</v>
      </c>
      <c r="AZ21">
        <v>2506.5</v>
      </c>
      <c r="BA21">
        <f t="shared" si="30"/>
        <v>0.78978538153741451</v>
      </c>
      <c r="BB21">
        <v>-4.2280439564527317</v>
      </c>
      <c r="BC21" t="s">
        <v>861</v>
      </c>
      <c r="BD21">
        <v>5107.1499999999996</v>
      </c>
      <c r="BE21">
        <v>753.93194117647056</v>
      </c>
      <c r="BF21">
        <v>1259.78</v>
      </c>
      <c r="BG21">
        <f t="shared" si="31"/>
        <v>0.40153682295601567</v>
      </c>
      <c r="BH21">
        <v>0.5</v>
      </c>
      <c r="BI21">
        <f t="shared" si="32"/>
        <v>924.27645971255333</v>
      </c>
      <c r="BJ21">
        <f t="shared" si="33"/>
        <v>49.724541976988206</v>
      </c>
      <c r="BK21">
        <f t="shared" si="34"/>
        <v>185.56551658300623</v>
      </c>
      <c r="BL21">
        <f t="shared" si="35"/>
        <v>5.8372779449797949E-2</v>
      </c>
      <c r="BM21">
        <f t="shared" si="36"/>
        <v>0.98963311054311076</v>
      </c>
      <c r="BN21">
        <f t="shared" si="37"/>
        <v>436.16516900244272</v>
      </c>
      <c r="BO21" t="s">
        <v>407</v>
      </c>
      <c r="BP21">
        <v>0</v>
      </c>
      <c r="BQ21">
        <f t="shared" si="38"/>
        <v>436.16516900244272</v>
      </c>
      <c r="BR21">
        <f t="shared" si="39"/>
        <v>0.65377671577383134</v>
      </c>
      <c r="BS21">
        <f t="shared" si="40"/>
        <v>0.61418036658088027</v>
      </c>
      <c r="BT21">
        <f t="shared" si="41"/>
        <v>0.60218278769878408</v>
      </c>
      <c r="BU21">
        <f t="shared" si="42"/>
        <v>0.69022225860849773</v>
      </c>
      <c r="BV21">
        <f t="shared" si="43"/>
        <v>0.62978473040413752</v>
      </c>
      <c r="BW21">
        <f t="shared" si="44"/>
        <v>0.35531600235654304</v>
      </c>
      <c r="BX21">
        <f t="shared" si="45"/>
        <v>0.64468399764345696</v>
      </c>
      <c r="DG21">
        <f t="shared" si="46"/>
        <v>1099.977333333333</v>
      </c>
      <c r="DH21">
        <f t="shared" si="47"/>
        <v>924.27645971255333</v>
      </c>
      <c r="DI21">
        <f t="shared" si="48"/>
        <v>0.84026864163796733</v>
      </c>
      <c r="DJ21">
        <f t="shared" si="49"/>
        <v>0.16011847836127671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1736191092.25</v>
      </c>
      <c r="DQ21">
        <v>419.95299999999992</v>
      </c>
      <c r="DR21">
        <v>482.68326666666673</v>
      </c>
      <c r="DS21">
        <v>36.958796666666657</v>
      </c>
      <c r="DT21">
        <v>29.964759999999991</v>
      </c>
      <c r="DU21">
        <v>424.78406666666649</v>
      </c>
      <c r="DV21">
        <v>36.450693333333327</v>
      </c>
      <c r="DW21">
        <v>499.90843333333328</v>
      </c>
      <c r="DX21">
        <v>97.52754000000003</v>
      </c>
      <c r="DY21">
        <v>4.5825123333333342E-2</v>
      </c>
      <c r="DZ21">
        <v>34.340926666666668</v>
      </c>
      <c r="EA21">
        <v>33.518173333333337</v>
      </c>
      <c r="EB21">
        <v>999.9000000000002</v>
      </c>
      <c r="EC21">
        <v>0</v>
      </c>
      <c r="ED21">
        <v>0</v>
      </c>
      <c r="EE21">
        <v>9970.1666666666661</v>
      </c>
      <c r="EF21">
        <v>0</v>
      </c>
      <c r="EG21">
        <v>181.62773333333331</v>
      </c>
      <c r="EH21">
        <v>-62.730196666666671</v>
      </c>
      <c r="EI21">
        <v>436.06966666666659</v>
      </c>
      <c r="EJ21">
        <v>497.59353333333343</v>
      </c>
      <c r="EK21">
        <v>6.9940320000000007</v>
      </c>
      <c r="EL21">
        <v>482.68326666666673</v>
      </c>
      <c r="EM21">
        <v>29.964759999999991</v>
      </c>
      <c r="EN21">
        <v>3.6045003333333341</v>
      </c>
      <c r="EO21">
        <v>2.9223896666666671</v>
      </c>
      <c r="EP21">
        <v>27.120180000000001</v>
      </c>
      <c r="EQ21">
        <v>23.592183333333331</v>
      </c>
      <c r="ER21">
        <v>1099.977333333333</v>
      </c>
      <c r="ES21">
        <v>0.99100186666666656</v>
      </c>
      <c r="ET21">
        <v>8.9982073333333343E-3</v>
      </c>
      <c r="EU21">
        <v>0</v>
      </c>
      <c r="EV21">
        <v>754.02870000000007</v>
      </c>
      <c r="EW21">
        <v>5.0010700000000003</v>
      </c>
      <c r="EX21">
        <v>11533.93</v>
      </c>
      <c r="EY21">
        <v>9996.5543333333317</v>
      </c>
      <c r="EZ21">
        <v>41.549599999999991</v>
      </c>
      <c r="FA21">
        <v>43.274800000000013</v>
      </c>
      <c r="FB21">
        <v>42.587199999999967</v>
      </c>
      <c r="FC21">
        <v>43.178733333333312</v>
      </c>
      <c r="FD21">
        <v>43.625</v>
      </c>
      <c r="FE21">
        <v>1085.1273333333329</v>
      </c>
      <c r="FF21">
        <v>9.8500000000000014</v>
      </c>
      <c r="FG21">
        <v>0</v>
      </c>
      <c r="FH21">
        <v>122.2000000476837</v>
      </c>
      <c r="FI21">
        <v>0</v>
      </c>
      <c r="FJ21">
        <v>753.93194117647056</v>
      </c>
      <c r="FK21">
        <v>-1.5345588137840049</v>
      </c>
      <c r="FL21">
        <v>167.52451034175431</v>
      </c>
      <c r="FM21">
        <v>11535.835294117651</v>
      </c>
      <c r="FN21">
        <v>10</v>
      </c>
      <c r="FO21">
        <v>1736191058</v>
      </c>
      <c r="FP21" t="s">
        <v>862</v>
      </c>
      <c r="FQ21">
        <v>1736191049.5</v>
      </c>
      <c r="FR21">
        <v>1736191058</v>
      </c>
      <c r="FS21">
        <v>24</v>
      </c>
      <c r="FT21">
        <v>5.1999999999999998E-2</v>
      </c>
      <c r="FU21">
        <v>1E-3</v>
      </c>
      <c r="FV21">
        <v>-4.8310000000000004</v>
      </c>
      <c r="FW21">
        <v>0.29899999999999999</v>
      </c>
      <c r="FX21">
        <v>484</v>
      </c>
      <c r="FY21">
        <v>30</v>
      </c>
      <c r="FZ21">
        <v>0.11</v>
      </c>
      <c r="GA21">
        <v>0.04</v>
      </c>
      <c r="GB21">
        <v>-62.838810000000002</v>
      </c>
      <c r="GC21">
        <v>0.8382956848030868</v>
      </c>
      <c r="GD21">
        <v>0.52369484234618935</v>
      </c>
      <c r="GE21">
        <v>1</v>
      </c>
      <c r="GF21">
        <v>754.07961764705874</v>
      </c>
      <c r="GG21">
        <v>-0.81517189180878424</v>
      </c>
      <c r="GH21">
        <v>0.25998574787927281</v>
      </c>
      <c r="GI21">
        <v>1</v>
      </c>
      <c r="GJ21">
        <v>6.9941232499999986</v>
      </c>
      <c r="GK21">
        <v>3.8745478424017002E-2</v>
      </c>
      <c r="GL21">
        <v>6.8786863258455802E-2</v>
      </c>
      <c r="GM21">
        <v>1</v>
      </c>
      <c r="GN21">
        <v>3</v>
      </c>
      <c r="GO21">
        <v>3</v>
      </c>
      <c r="GP21" t="s">
        <v>599</v>
      </c>
      <c r="GQ21">
        <v>3.1333299999999999</v>
      </c>
      <c r="GR21">
        <v>2.7232400000000001</v>
      </c>
      <c r="GS21">
        <v>9.1161099999999995E-2</v>
      </c>
      <c r="GT21">
        <v>0.101102</v>
      </c>
      <c r="GU21">
        <v>0.14910200000000001</v>
      </c>
      <c r="GV21">
        <v>0.13025100000000001</v>
      </c>
      <c r="GW21">
        <v>22792.400000000001</v>
      </c>
      <c r="GX21">
        <v>30348.400000000001</v>
      </c>
      <c r="GY21">
        <v>27203.9</v>
      </c>
      <c r="GZ21">
        <v>34717.699999999997</v>
      </c>
      <c r="HA21">
        <v>33896</v>
      </c>
      <c r="HB21">
        <v>38559.4</v>
      </c>
      <c r="HC21">
        <v>40167.1</v>
      </c>
      <c r="HD21">
        <v>44415.5</v>
      </c>
      <c r="HE21">
        <v>1.9581999999999999</v>
      </c>
      <c r="HF21">
        <v>1.7625999999999999</v>
      </c>
      <c r="HG21">
        <v>5.2154100000000002E-2</v>
      </c>
      <c r="HH21">
        <v>0</v>
      </c>
      <c r="HI21">
        <v>32.660600000000002</v>
      </c>
      <c r="HJ21">
        <v>999.9</v>
      </c>
      <c r="HK21">
        <v>61.8</v>
      </c>
      <c r="HL21">
        <v>37.799999999999997</v>
      </c>
      <c r="HM21">
        <v>41.729700000000001</v>
      </c>
      <c r="HN21">
        <v>59.511099999999999</v>
      </c>
      <c r="HO21">
        <v>7.62019</v>
      </c>
      <c r="HP21">
        <v>1</v>
      </c>
      <c r="HQ21">
        <v>0.53353700000000004</v>
      </c>
      <c r="HR21">
        <v>0</v>
      </c>
      <c r="HS21">
        <v>20.286300000000001</v>
      </c>
      <c r="HT21">
        <v>5.2112999999999996</v>
      </c>
      <c r="HU21">
        <v>11.902100000000001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1.86243</v>
      </c>
      <c r="IE21">
        <v>1.8619699999999999</v>
      </c>
      <c r="IF21">
        <v>1.8620300000000001</v>
      </c>
      <c r="IG21">
        <v>1.8626400000000001</v>
      </c>
      <c r="IH21">
        <v>1.8634999999999999</v>
      </c>
      <c r="II21">
        <v>1.86151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-4.8310000000000004</v>
      </c>
      <c r="IX21">
        <v>0.50749999999999995</v>
      </c>
      <c r="IY21">
        <v>-4.8310952380952017</v>
      </c>
      <c r="IZ21">
        <v>0</v>
      </c>
      <c r="JA21">
        <v>0</v>
      </c>
      <c r="JB21">
        <v>0</v>
      </c>
      <c r="JC21">
        <v>-0.25483486185888421</v>
      </c>
      <c r="JD21">
        <v>2.7492919904454862E-4</v>
      </c>
      <c r="JE21">
        <v>8.6739513355948885E-4</v>
      </c>
      <c r="JF21">
        <v>-8.2500691715147318E-6</v>
      </c>
      <c r="JG21">
        <v>-1</v>
      </c>
      <c r="JH21">
        <v>-1</v>
      </c>
      <c r="JI21">
        <v>2</v>
      </c>
      <c r="JJ21">
        <v>37</v>
      </c>
      <c r="JK21">
        <v>0.8</v>
      </c>
      <c r="JL21">
        <v>0.7</v>
      </c>
      <c r="JM21">
        <v>1.2206999999999999</v>
      </c>
      <c r="JN21">
        <v>2.52563</v>
      </c>
      <c r="JO21">
        <v>1.50024</v>
      </c>
      <c r="JP21">
        <v>2.2680699999999998</v>
      </c>
      <c r="JQ21">
        <v>1.4477500000000001</v>
      </c>
      <c r="JR21">
        <v>2.4548299999999998</v>
      </c>
      <c r="JS21">
        <v>41.118699999999997</v>
      </c>
      <c r="JT21">
        <v>15.305300000000001</v>
      </c>
      <c r="JU21">
        <v>18</v>
      </c>
      <c r="JV21">
        <v>539.15200000000004</v>
      </c>
      <c r="JW21">
        <v>425.98700000000002</v>
      </c>
      <c r="JX21">
        <v>33.873699999999999</v>
      </c>
      <c r="JY21">
        <v>33.97</v>
      </c>
      <c r="JZ21">
        <v>29.9999</v>
      </c>
      <c r="KA21">
        <v>33.9236</v>
      </c>
      <c r="KB21">
        <v>33.877200000000002</v>
      </c>
      <c r="KC21">
        <v>24.4117</v>
      </c>
      <c r="KD21">
        <v>38.027099999999997</v>
      </c>
      <c r="KE21">
        <v>49.438099999999999</v>
      </c>
      <c r="KF21">
        <v>-999.9</v>
      </c>
      <c r="KG21">
        <v>482.89</v>
      </c>
      <c r="KH21">
        <v>29.8216</v>
      </c>
      <c r="KI21">
        <v>100.393</v>
      </c>
      <c r="KJ21">
        <v>99.566400000000002</v>
      </c>
    </row>
    <row r="22" spans="1:296" x14ac:dyDescent="0.3">
      <c r="A22">
        <v>6</v>
      </c>
      <c r="B22">
        <v>1736191246.0999999</v>
      </c>
      <c r="C22">
        <v>817.59999990463257</v>
      </c>
      <c r="D22" t="s">
        <v>863</v>
      </c>
      <c r="E22" t="s">
        <v>864</v>
      </c>
      <c r="F22">
        <v>15</v>
      </c>
      <c r="H22">
        <v>1736191238.349999</v>
      </c>
      <c r="I22">
        <f t="shared" si="0"/>
        <v>6.2268817566532028E-3</v>
      </c>
      <c r="J22">
        <f t="shared" si="1"/>
        <v>6.2268817566532029</v>
      </c>
      <c r="K22">
        <f t="shared" si="2"/>
        <v>47.056606181922767</v>
      </c>
      <c r="L22">
        <f t="shared" si="3"/>
        <v>419.97876666666667</v>
      </c>
      <c r="M22">
        <f t="shared" si="4"/>
        <v>206.78426624576775</v>
      </c>
      <c r="N22">
        <f t="shared" si="5"/>
        <v>20.175624960858105</v>
      </c>
      <c r="O22">
        <f t="shared" si="6"/>
        <v>40.976686677504055</v>
      </c>
      <c r="P22">
        <f t="shared" si="7"/>
        <v>0.39140891103061565</v>
      </c>
      <c r="Q22">
        <f t="shared" si="8"/>
        <v>2.8863224163801604</v>
      </c>
      <c r="R22">
        <f t="shared" si="9"/>
        <v>0.36413192627033758</v>
      </c>
      <c r="S22">
        <f t="shared" si="10"/>
        <v>0.22987457806304729</v>
      </c>
      <c r="T22">
        <f t="shared" si="11"/>
        <v>160.17438053419309</v>
      </c>
      <c r="U22">
        <f t="shared" si="12"/>
        <v>33.544370989922527</v>
      </c>
      <c r="V22">
        <f t="shared" si="13"/>
        <v>33.392193333333331</v>
      </c>
      <c r="W22">
        <f t="shared" si="14"/>
        <v>5.1645113678299523</v>
      </c>
      <c r="X22">
        <f t="shared" si="15"/>
        <v>65.996563093978864</v>
      </c>
      <c r="Y22">
        <f t="shared" si="16"/>
        <v>3.5707189109850894</v>
      </c>
      <c r="Z22">
        <f t="shared" si="17"/>
        <v>5.4104619143581747</v>
      </c>
      <c r="AA22">
        <f t="shared" si="18"/>
        <v>1.5937924568448629</v>
      </c>
      <c r="AB22">
        <f t="shared" si="19"/>
        <v>-274.60548546840624</v>
      </c>
      <c r="AC22">
        <f t="shared" si="20"/>
        <v>129.60489652240881</v>
      </c>
      <c r="AD22">
        <f t="shared" si="21"/>
        <v>10.365525851208778</v>
      </c>
      <c r="AE22">
        <f t="shared" si="22"/>
        <v>25.539317439404442</v>
      </c>
      <c r="AF22">
        <f t="shared" si="23"/>
        <v>47.056606181922767</v>
      </c>
      <c r="AG22">
        <f t="shared" si="24"/>
        <v>6.2268817566532029</v>
      </c>
      <c r="AH22">
        <f t="shared" si="25"/>
        <v>47.164930946270083</v>
      </c>
      <c r="AI22">
        <v>494.00929775095773</v>
      </c>
      <c r="AJ22">
        <v>435.86024242424241</v>
      </c>
      <c r="AK22">
        <v>-3.2006785880040592E-2</v>
      </c>
      <c r="AL22">
        <v>67.092617635005112</v>
      </c>
      <c r="AM22">
        <f t="shared" si="26"/>
        <v>6.1914542254792968</v>
      </c>
      <c r="AN22">
        <v>29.390681921369019</v>
      </c>
      <c r="AO22">
        <v>36.550416969696968</v>
      </c>
      <c r="AP22">
        <v>-2.4380520710242011E-4</v>
      </c>
      <c r="AQ22">
        <v>78.258591123033767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50371.08212960542</v>
      </c>
      <c r="AW22" t="s">
        <v>844</v>
      </c>
      <c r="AX22">
        <v>5116.59</v>
      </c>
      <c r="AY22">
        <v>526.90294117647045</v>
      </c>
      <c r="AZ22">
        <v>2506.5</v>
      </c>
      <c r="BA22">
        <f t="shared" si="30"/>
        <v>0.78978538153741451</v>
      </c>
      <c r="BB22">
        <v>-4.2280439564527317</v>
      </c>
      <c r="BC22" t="s">
        <v>865</v>
      </c>
      <c r="BD22">
        <v>5107.74</v>
      </c>
      <c r="BE22">
        <v>755.28411764705879</v>
      </c>
      <c r="BF22">
        <v>1324.42</v>
      </c>
      <c r="BG22">
        <f t="shared" si="31"/>
        <v>0.42972462085512242</v>
      </c>
      <c r="BH22">
        <v>0.5</v>
      </c>
      <c r="BI22">
        <f t="shared" si="32"/>
        <v>840.28667604880468</v>
      </c>
      <c r="BJ22">
        <f t="shared" si="33"/>
        <v>47.056606181922767</v>
      </c>
      <c r="BK22">
        <f t="shared" si="34"/>
        <v>180.54593663734184</v>
      </c>
      <c r="BL22">
        <f t="shared" si="35"/>
        <v>6.1032325752832517E-2</v>
      </c>
      <c r="BM22">
        <f t="shared" si="36"/>
        <v>0.89252653991936082</v>
      </c>
      <c r="BN22">
        <f t="shared" si="37"/>
        <v>443.66211239755478</v>
      </c>
      <c r="BO22" t="s">
        <v>407</v>
      </c>
      <c r="BP22">
        <v>0</v>
      </c>
      <c r="BQ22">
        <f t="shared" si="38"/>
        <v>443.66211239755478</v>
      </c>
      <c r="BR22">
        <f t="shared" si="39"/>
        <v>0.66501403452261765</v>
      </c>
      <c r="BS22">
        <f t="shared" si="40"/>
        <v>0.64618879985533173</v>
      </c>
      <c r="BT22">
        <f t="shared" si="41"/>
        <v>0.57303581978217621</v>
      </c>
      <c r="BU22">
        <f t="shared" si="42"/>
        <v>0.7136347443056722</v>
      </c>
      <c r="BV22">
        <f t="shared" si="43"/>
        <v>0.5971316206655245</v>
      </c>
      <c r="BW22">
        <f t="shared" si="44"/>
        <v>0.37957833516290895</v>
      </c>
      <c r="BX22">
        <f t="shared" si="45"/>
        <v>0.62042166483709105</v>
      </c>
      <c r="DG22">
        <f t="shared" si="46"/>
        <v>999.98556666666673</v>
      </c>
      <c r="DH22">
        <f t="shared" si="47"/>
        <v>840.28667604880468</v>
      </c>
      <c r="DI22">
        <f t="shared" si="48"/>
        <v>0.84029880436154758</v>
      </c>
      <c r="DJ22">
        <f t="shared" si="49"/>
        <v>0.16017669241778698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1736191238.349999</v>
      </c>
      <c r="DQ22">
        <v>419.97876666666667</v>
      </c>
      <c r="DR22">
        <v>479.58566666666673</v>
      </c>
      <c r="DS22">
        <v>36.597056666666667</v>
      </c>
      <c r="DT22">
        <v>29.398166666666668</v>
      </c>
      <c r="DU22">
        <v>424.79299999999989</v>
      </c>
      <c r="DV22">
        <v>36.101483333333327</v>
      </c>
      <c r="DW22">
        <v>499.99343333333343</v>
      </c>
      <c r="DX22">
        <v>97.522030000000001</v>
      </c>
      <c r="DY22">
        <v>4.644233666666666E-2</v>
      </c>
      <c r="DZ22">
        <v>34.225089999999987</v>
      </c>
      <c r="EA22">
        <v>33.392193333333331</v>
      </c>
      <c r="EB22">
        <v>999.9000000000002</v>
      </c>
      <c r="EC22">
        <v>0</v>
      </c>
      <c r="ED22">
        <v>0</v>
      </c>
      <c r="EE22">
        <v>10003.5</v>
      </c>
      <c r="EF22">
        <v>0</v>
      </c>
      <c r="EG22">
        <v>173.76006000000001</v>
      </c>
      <c r="EH22">
        <v>-59.607013333333327</v>
      </c>
      <c r="EI22">
        <v>435.93256666666667</v>
      </c>
      <c r="EJ22">
        <v>494.11176666666671</v>
      </c>
      <c r="EK22">
        <v>7.198888666666666</v>
      </c>
      <c r="EL22">
        <v>479.58566666666673</v>
      </c>
      <c r="EM22">
        <v>29.398166666666668</v>
      </c>
      <c r="EN22">
        <v>3.569018666666667</v>
      </c>
      <c r="EO22">
        <v>2.8669683333333329</v>
      </c>
      <c r="EP22">
        <v>26.951693333333331</v>
      </c>
      <c r="EQ22">
        <v>23.274783333333339</v>
      </c>
      <c r="ER22">
        <v>999.98556666666673</v>
      </c>
      <c r="ES22">
        <v>0.98998799999999987</v>
      </c>
      <c r="ET22">
        <v>1.001169333333333E-2</v>
      </c>
      <c r="EU22">
        <v>0</v>
      </c>
      <c r="EV22">
        <v>755.33236666666687</v>
      </c>
      <c r="EW22">
        <v>5.0010700000000003</v>
      </c>
      <c r="EX22">
        <v>10882.37</v>
      </c>
      <c r="EY22">
        <v>9080.1026666666676</v>
      </c>
      <c r="EZ22">
        <v>41.245800000000003</v>
      </c>
      <c r="FA22">
        <v>43.186999999999983</v>
      </c>
      <c r="FB22">
        <v>42.375</v>
      </c>
      <c r="FC22">
        <v>43.114499999999992</v>
      </c>
      <c r="FD22">
        <v>43.393599999999992</v>
      </c>
      <c r="FE22">
        <v>985.02433333333329</v>
      </c>
      <c r="FF22">
        <v>9.9599999999999991</v>
      </c>
      <c r="FG22">
        <v>0</v>
      </c>
      <c r="FH22">
        <v>145.20000004768369</v>
      </c>
      <c r="FI22">
        <v>0</v>
      </c>
      <c r="FJ22">
        <v>755.28411764705879</v>
      </c>
      <c r="FK22">
        <v>-3.166911783008421</v>
      </c>
      <c r="FL22">
        <v>-181.86274529031891</v>
      </c>
      <c r="FM22">
        <v>10882.017647058819</v>
      </c>
      <c r="FN22">
        <v>10</v>
      </c>
      <c r="FO22">
        <v>1736191178.0999999</v>
      </c>
      <c r="FP22" t="s">
        <v>866</v>
      </c>
      <c r="FQ22">
        <v>1736191174.0999999</v>
      </c>
      <c r="FR22">
        <v>1736191178.0999999</v>
      </c>
      <c r="FS22">
        <v>25</v>
      </c>
      <c r="FT22">
        <v>1.7000000000000001E-2</v>
      </c>
      <c r="FU22">
        <v>-2E-3</v>
      </c>
      <c r="FV22">
        <v>-4.8140000000000001</v>
      </c>
      <c r="FW22">
        <v>0.29499999999999998</v>
      </c>
      <c r="FX22">
        <v>480</v>
      </c>
      <c r="FY22">
        <v>30</v>
      </c>
      <c r="FZ22">
        <v>0.13</v>
      </c>
      <c r="GA22">
        <v>0.04</v>
      </c>
      <c r="GB22">
        <v>-59.659932499999996</v>
      </c>
      <c r="GC22">
        <v>0.8385872420264473</v>
      </c>
      <c r="GD22">
        <v>0.1471109553831729</v>
      </c>
      <c r="GE22">
        <v>1</v>
      </c>
      <c r="GF22">
        <v>755.26649999999995</v>
      </c>
      <c r="GG22">
        <v>-1.8838809412701722E-2</v>
      </c>
      <c r="GH22">
        <v>0.24457240597563051</v>
      </c>
      <c r="GI22">
        <v>1</v>
      </c>
      <c r="GJ22">
        <v>7.1730275000000008</v>
      </c>
      <c r="GK22">
        <v>0.171280975609748</v>
      </c>
      <c r="GL22">
        <v>8.2551762662889286E-2</v>
      </c>
      <c r="GM22">
        <v>1</v>
      </c>
      <c r="GN22">
        <v>3</v>
      </c>
      <c r="GO22">
        <v>3</v>
      </c>
      <c r="GP22" t="s">
        <v>599</v>
      </c>
      <c r="GQ22">
        <v>3.1331799999999999</v>
      </c>
      <c r="GR22">
        <v>2.7219500000000001</v>
      </c>
      <c r="GS22">
        <v>9.1177999999999995E-2</v>
      </c>
      <c r="GT22">
        <v>0.10059700000000001</v>
      </c>
      <c r="GU22">
        <v>0.14807500000000001</v>
      </c>
      <c r="GV22">
        <v>0.12939800000000001</v>
      </c>
      <c r="GW22">
        <v>22793.5</v>
      </c>
      <c r="GX22">
        <v>30370.3</v>
      </c>
      <c r="GY22">
        <v>27205.4</v>
      </c>
      <c r="GZ22">
        <v>34722.800000000003</v>
      </c>
      <c r="HA22">
        <v>33937.800000000003</v>
      </c>
      <c r="HB22">
        <v>38601.4</v>
      </c>
      <c r="HC22">
        <v>40168.699999999997</v>
      </c>
      <c r="HD22">
        <v>44420.6</v>
      </c>
      <c r="HE22">
        <v>1.9596</v>
      </c>
      <c r="HF22">
        <v>1.7624</v>
      </c>
      <c r="HG22">
        <v>4.9889099999999999E-2</v>
      </c>
      <c r="HH22">
        <v>0</v>
      </c>
      <c r="HI22">
        <v>32.570799999999998</v>
      </c>
      <c r="HJ22">
        <v>999.9</v>
      </c>
      <c r="HK22">
        <v>60.6</v>
      </c>
      <c r="HL22">
        <v>37.799999999999997</v>
      </c>
      <c r="HM22">
        <v>40.9238</v>
      </c>
      <c r="HN22">
        <v>60.211100000000002</v>
      </c>
      <c r="HO22">
        <v>7.7083399999999997</v>
      </c>
      <c r="HP22">
        <v>1</v>
      </c>
      <c r="HQ22">
        <v>0.52792700000000004</v>
      </c>
      <c r="HR22">
        <v>0</v>
      </c>
      <c r="HS22">
        <v>20.287600000000001</v>
      </c>
      <c r="HT22">
        <v>5.2112999999999996</v>
      </c>
      <c r="HU22">
        <v>11.9033</v>
      </c>
      <c r="HV22">
        <v>4.9855999999999998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1.8629500000000001</v>
      </c>
      <c r="ID22">
        <v>1.86246</v>
      </c>
      <c r="IE22">
        <v>1.8620000000000001</v>
      </c>
      <c r="IF22">
        <v>1.8620000000000001</v>
      </c>
      <c r="IG22">
        <v>1.8626400000000001</v>
      </c>
      <c r="IH22">
        <v>1.8634599999999999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-4.8140000000000001</v>
      </c>
      <c r="IX22">
        <v>0.49419999999999997</v>
      </c>
      <c r="IY22">
        <v>-4.8142380952378403</v>
      </c>
      <c r="IZ22">
        <v>0</v>
      </c>
      <c r="JA22">
        <v>0</v>
      </c>
      <c r="JB22">
        <v>0</v>
      </c>
      <c r="JC22">
        <v>-0.25665899443182488</v>
      </c>
      <c r="JD22">
        <v>2.7492919904454862E-4</v>
      </c>
      <c r="JE22">
        <v>8.6739513355948885E-4</v>
      </c>
      <c r="JF22">
        <v>-8.2500691715147318E-6</v>
      </c>
      <c r="JG22">
        <v>-1</v>
      </c>
      <c r="JH22">
        <v>-1</v>
      </c>
      <c r="JI22">
        <v>2</v>
      </c>
      <c r="JJ22">
        <v>37</v>
      </c>
      <c r="JK22">
        <v>1.2</v>
      </c>
      <c r="JL22">
        <v>1.1000000000000001</v>
      </c>
      <c r="JM22">
        <v>1.2133799999999999</v>
      </c>
      <c r="JN22">
        <v>2.5366200000000001</v>
      </c>
      <c r="JO22">
        <v>1.50024</v>
      </c>
      <c r="JP22">
        <v>2.2680699999999998</v>
      </c>
      <c r="JQ22">
        <v>1.4477500000000001</v>
      </c>
      <c r="JR22">
        <v>2.3925800000000002</v>
      </c>
      <c r="JS22">
        <v>41.118699999999997</v>
      </c>
      <c r="JT22">
        <v>15.2791</v>
      </c>
      <c r="JU22">
        <v>18</v>
      </c>
      <c r="JV22">
        <v>539.471</v>
      </c>
      <c r="JW22">
        <v>425.38099999999997</v>
      </c>
      <c r="JX22">
        <v>33.818600000000004</v>
      </c>
      <c r="JY22">
        <v>33.905799999999999</v>
      </c>
      <c r="JZ22">
        <v>29.9998</v>
      </c>
      <c r="KA22">
        <v>33.849499999999999</v>
      </c>
      <c r="KB22">
        <v>33.805300000000003</v>
      </c>
      <c r="KC22">
        <v>24.273800000000001</v>
      </c>
      <c r="KD22">
        <v>37.187100000000001</v>
      </c>
      <c r="KE22">
        <v>44.615000000000002</v>
      </c>
      <c r="KF22">
        <v>-999.9</v>
      </c>
      <c r="KG22">
        <v>479.649</v>
      </c>
      <c r="KH22">
        <v>29.535</v>
      </c>
      <c r="KI22">
        <v>100.398</v>
      </c>
      <c r="KJ22">
        <v>99.579300000000003</v>
      </c>
    </row>
    <row r="23" spans="1:296" x14ac:dyDescent="0.3">
      <c r="A23">
        <v>7</v>
      </c>
      <c r="B23">
        <v>1736191416.5999999</v>
      </c>
      <c r="C23">
        <v>988.09999990463257</v>
      </c>
      <c r="D23" t="s">
        <v>867</v>
      </c>
      <c r="E23" t="s">
        <v>868</v>
      </c>
      <c r="F23">
        <v>15</v>
      </c>
      <c r="H23">
        <v>1736191408.599999</v>
      </c>
      <c r="I23">
        <f t="shared" si="0"/>
        <v>6.1168710530241071E-3</v>
      </c>
      <c r="J23">
        <f t="shared" si="1"/>
        <v>6.1168710530241075</v>
      </c>
      <c r="K23">
        <f t="shared" si="2"/>
        <v>40.518876253506697</v>
      </c>
      <c r="L23">
        <f t="shared" si="3"/>
        <v>419.81170967741929</v>
      </c>
      <c r="M23">
        <f t="shared" si="4"/>
        <v>231.86296896408976</v>
      </c>
      <c r="N23">
        <f t="shared" si="5"/>
        <v>22.623066531541724</v>
      </c>
      <c r="O23">
        <f t="shared" si="6"/>
        <v>40.961384567724863</v>
      </c>
      <c r="P23">
        <f t="shared" si="7"/>
        <v>0.38469928874564119</v>
      </c>
      <c r="Q23">
        <f t="shared" si="8"/>
        <v>2.8911768534391347</v>
      </c>
      <c r="R23">
        <f t="shared" si="9"/>
        <v>0.35835672322426998</v>
      </c>
      <c r="S23">
        <f t="shared" si="10"/>
        <v>0.22618923160136517</v>
      </c>
      <c r="T23">
        <f t="shared" si="11"/>
        <v>128.27619030674271</v>
      </c>
      <c r="U23">
        <f t="shared" si="12"/>
        <v>33.28723318742405</v>
      </c>
      <c r="V23">
        <f t="shared" si="13"/>
        <v>33.327935483870966</v>
      </c>
      <c r="W23">
        <f t="shared" si="14"/>
        <v>5.1459471117017221</v>
      </c>
      <c r="X23">
        <f t="shared" si="15"/>
        <v>66.059140862310599</v>
      </c>
      <c r="Y23">
        <f t="shared" si="16"/>
        <v>3.5547455180355692</v>
      </c>
      <c r="Z23">
        <f t="shared" si="17"/>
        <v>5.3811561452863144</v>
      </c>
      <c r="AA23">
        <f t="shared" si="18"/>
        <v>1.591201593666153</v>
      </c>
      <c r="AB23">
        <f t="shared" si="19"/>
        <v>-269.75401343836313</v>
      </c>
      <c r="AC23">
        <f t="shared" si="20"/>
        <v>124.64250683652136</v>
      </c>
      <c r="AD23">
        <f t="shared" si="21"/>
        <v>9.9440371382464097</v>
      </c>
      <c r="AE23">
        <f t="shared" si="22"/>
        <v>-6.8912791568526472</v>
      </c>
      <c r="AF23">
        <f t="shared" si="23"/>
        <v>40.518876253506697</v>
      </c>
      <c r="AG23">
        <f t="shared" si="24"/>
        <v>6.1168710530241075</v>
      </c>
      <c r="AH23">
        <f t="shared" si="25"/>
        <v>40.844690389652932</v>
      </c>
      <c r="AI23">
        <v>485.91170736081648</v>
      </c>
      <c r="AJ23">
        <v>435.47667272727273</v>
      </c>
      <c r="AK23">
        <v>-1.011296761033874E-2</v>
      </c>
      <c r="AL23">
        <v>67.035742575988493</v>
      </c>
      <c r="AM23">
        <f t="shared" si="26"/>
        <v>6.1177293908099388</v>
      </c>
      <c r="AN23">
        <v>29.348591428582559</v>
      </c>
      <c r="AO23">
        <v>36.418778181818183</v>
      </c>
      <c r="AP23">
        <v>4.0317848328476807E-4</v>
      </c>
      <c r="AQ23">
        <v>78.068970113288898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50522.034268472671</v>
      </c>
      <c r="AW23" t="s">
        <v>844</v>
      </c>
      <c r="AX23">
        <v>5116.59</v>
      </c>
      <c r="AY23">
        <v>526.90294117647045</v>
      </c>
      <c r="AZ23">
        <v>2506.5</v>
      </c>
      <c r="BA23">
        <f t="shared" si="30"/>
        <v>0.78978538153741451</v>
      </c>
      <c r="BB23">
        <v>-4.2280439564527317</v>
      </c>
      <c r="BC23" t="s">
        <v>869</v>
      </c>
      <c r="BD23">
        <v>5109.09</v>
      </c>
      <c r="BE23">
        <v>752.61870588235308</v>
      </c>
      <c r="BF23">
        <v>1457.75</v>
      </c>
      <c r="BG23">
        <f t="shared" si="31"/>
        <v>0.48371208651527831</v>
      </c>
      <c r="BH23">
        <v>0.5</v>
      </c>
      <c r="BI23">
        <f t="shared" si="32"/>
        <v>672.30255529849603</v>
      </c>
      <c r="BJ23">
        <f t="shared" si="33"/>
        <v>40.518876253506697</v>
      </c>
      <c r="BK23">
        <f t="shared" si="34"/>
        <v>162.60043589649439</v>
      </c>
      <c r="BL23">
        <f t="shared" si="35"/>
        <v>6.6557712531811239E-2</v>
      </c>
      <c r="BM23">
        <f t="shared" si="36"/>
        <v>0.719430629394615</v>
      </c>
      <c r="BN23">
        <f t="shared" si="37"/>
        <v>457.68502223405022</v>
      </c>
      <c r="BO23" t="s">
        <v>407</v>
      </c>
      <c r="BP23">
        <v>0</v>
      </c>
      <c r="BQ23">
        <f t="shared" si="38"/>
        <v>457.68502223405022</v>
      </c>
      <c r="BR23">
        <f t="shared" si="39"/>
        <v>0.68603325519873071</v>
      </c>
      <c r="BS23">
        <f t="shared" si="40"/>
        <v>0.70508547923840237</v>
      </c>
      <c r="BT23">
        <f t="shared" si="41"/>
        <v>0.51188126374572318</v>
      </c>
      <c r="BU23">
        <f t="shared" si="42"/>
        <v>0.75751573519375115</v>
      </c>
      <c r="BV23">
        <f t="shared" si="43"/>
        <v>0.52977953029656955</v>
      </c>
      <c r="BW23">
        <f t="shared" si="44"/>
        <v>0.42877895635586111</v>
      </c>
      <c r="BX23">
        <f t="shared" si="45"/>
        <v>0.57122104364413895</v>
      </c>
      <c r="DG23">
        <f t="shared" si="46"/>
        <v>799.9916129032257</v>
      </c>
      <c r="DH23">
        <f t="shared" si="47"/>
        <v>672.30255529849603</v>
      </c>
      <c r="DI23">
        <f t="shared" si="48"/>
        <v>0.84038700463203975</v>
      </c>
      <c r="DJ23">
        <f t="shared" si="49"/>
        <v>0.16034691893983666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1736191408.599999</v>
      </c>
      <c r="DQ23">
        <v>419.81170967741929</v>
      </c>
      <c r="DR23">
        <v>471.5061935483871</v>
      </c>
      <c r="DS23">
        <v>36.432454838709681</v>
      </c>
      <c r="DT23">
        <v>29.360958064516129</v>
      </c>
      <c r="DU23">
        <v>424.64322580645171</v>
      </c>
      <c r="DV23">
        <v>35.938070967741943</v>
      </c>
      <c r="DW23">
        <v>500.09370967741938</v>
      </c>
      <c r="DX23">
        <v>97.525022580645171</v>
      </c>
      <c r="DY23">
        <v>4.5825548387096772E-2</v>
      </c>
      <c r="DZ23">
        <v>34.127596774193528</v>
      </c>
      <c r="EA23">
        <v>33.327935483870966</v>
      </c>
      <c r="EB23">
        <v>999.90000000000032</v>
      </c>
      <c r="EC23">
        <v>0</v>
      </c>
      <c r="ED23">
        <v>0</v>
      </c>
      <c r="EE23">
        <v>10031.129032258061</v>
      </c>
      <c r="EF23">
        <v>0</v>
      </c>
      <c r="EG23">
        <v>223.19451612903231</v>
      </c>
      <c r="EH23">
        <v>-51.694616129032248</v>
      </c>
      <c r="EI23">
        <v>435.68477419354838</v>
      </c>
      <c r="EJ23">
        <v>485.76890322580641</v>
      </c>
      <c r="EK23">
        <v>7.0714906451612896</v>
      </c>
      <c r="EL23">
        <v>471.5061935483871</v>
      </c>
      <c r="EM23">
        <v>29.360958064516129</v>
      </c>
      <c r="EN23">
        <v>3.553074516129032</v>
      </c>
      <c r="EO23">
        <v>2.8634270967741942</v>
      </c>
      <c r="EP23">
        <v>26.875519354838708</v>
      </c>
      <c r="EQ23">
        <v>23.254370967741931</v>
      </c>
      <c r="ER23">
        <v>799.9916129032257</v>
      </c>
      <c r="ES23">
        <v>0.98701716129032302</v>
      </c>
      <c r="ET23">
        <v>1.2982641935483871E-2</v>
      </c>
      <c r="EU23">
        <v>0</v>
      </c>
      <c r="EV23">
        <v>752.67625806451599</v>
      </c>
      <c r="EW23">
        <v>5.0010700000000003</v>
      </c>
      <c r="EX23">
        <v>9479.2151612903235</v>
      </c>
      <c r="EY23">
        <v>7246.5929032258045</v>
      </c>
      <c r="EZ23">
        <v>40.783999999999978</v>
      </c>
      <c r="FA23">
        <v>43.061999999999969</v>
      </c>
      <c r="FB23">
        <v>42.125</v>
      </c>
      <c r="FC23">
        <v>43.003999999999998</v>
      </c>
      <c r="FD23">
        <v>43.061999999999969</v>
      </c>
      <c r="FE23">
        <v>784.66935483870964</v>
      </c>
      <c r="FF23">
        <v>10.32</v>
      </c>
      <c r="FG23">
        <v>0</v>
      </c>
      <c r="FH23">
        <v>170</v>
      </c>
      <c r="FI23">
        <v>0</v>
      </c>
      <c r="FJ23">
        <v>752.61870588235308</v>
      </c>
      <c r="FK23">
        <v>-0.27794117765455989</v>
      </c>
      <c r="FL23">
        <v>103.85539244271899</v>
      </c>
      <c r="FM23">
        <v>9483.5411764705877</v>
      </c>
      <c r="FN23">
        <v>10</v>
      </c>
      <c r="FO23">
        <v>1736191374.0999999</v>
      </c>
      <c r="FP23" t="s">
        <v>870</v>
      </c>
      <c r="FQ23">
        <v>1736191369.5999999</v>
      </c>
      <c r="FR23">
        <v>1736191374.0999999</v>
      </c>
      <c r="FS23">
        <v>26</v>
      </c>
      <c r="FT23">
        <v>-1.7000000000000001E-2</v>
      </c>
      <c r="FU23">
        <v>4.0000000000000001E-3</v>
      </c>
      <c r="FV23">
        <v>-4.8319999999999999</v>
      </c>
      <c r="FW23">
        <v>0.28899999999999998</v>
      </c>
      <c r="FX23">
        <v>472</v>
      </c>
      <c r="FY23">
        <v>29</v>
      </c>
      <c r="FZ23">
        <v>0.17</v>
      </c>
      <c r="GA23">
        <v>0.04</v>
      </c>
      <c r="GB23">
        <v>-51.757936585365847</v>
      </c>
      <c r="GC23">
        <v>-0.49521324041822951</v>
      </c>
      <c r="GD23">
        <v>0.45617642220275501</v>
      </c>
      <c r="GE23">
        <v>1</v>
      </c>
      <c r="GF23">
        <v>752.66014705882344</v>
      </c>
      <c r="GG23">
        <v>-0.29190220908659142</v>
      </c>
      <c r="GH23">
        <v>0.1929648142801545</v>
      </c>
      <c r="GI23">
        <v>1</v>
      </c>
      <c r="GJ23">
        <v>7.0911239024390236</v>
      </c>
      <c r="GK23">
        <v>-0.24962362369337771</v>
      </c>
      <c r="GL23">
        <v>4.2902136047682962E-2</v>
      </c>
      <c r="GM23">
        <v>1</v>
      </c>
      <c r="GN23">
        <v>3</v>
      </c>
      <c r="GO23">
        <v>3</v>
      </c>
      <c r="GP23" t="s">
        <v>599</v>
      </c>
      <c r="GQ23">
        <v>3.13348</v>
      </c>
      <c r="GR23">
        <v>2.72126</v>
      </c>
      <c r="GS23">
        <v>9.1163300000000003E-2</v>
      </c>
      <c r="GT23">
        <v>9.9394700000000002E-2</v>
      </c>
      <c r="GU23">
        <v>0.147726</v>
      </c>
      <c r="GV23">
        <v>0.12868299999999999</v>
      </c>
      <c r="GW23">
        <v>22794.9</v>
      </c>
      <c r="GX23">
        <v>30413.4</v>
      </c>
      <c r="GY23">
        <v>27206.5</v>
      </c>
      <c r="GZ23">
        <v>34725.4</v>
      </c>
      <c r="HA23">
        <v>33953.300000000003</v>
      </c>
      <c r="HB23">
        <v>38635.1</v>
      </c>
      <c r="HC23">
        <v>40171</v>
      </c>
      <c r="HD23">
        <v>44423.199999999997</v>
      </c>
      <c r="HE23">
        <v>1.9630000000000001</v>
      </c>
      <c r="HF23">
        <v>1.7625999999999999</v>
      </c>
      <c r="HG23">
        <v>4.3660400000000002E-2</v>
      </c>
      <c r="HH23">
        <v>0</v>
      </c>
      <c r="HI23">
        <v>32.608400000000003</v>
      </c>
      <c r="HJ23">
        <v>999.9</v>
      </c>
      <c r="HK23">
        <v>59.2</v>
      </c>
      <c r="HL23">
        <v>37.799999999999997</v>
      </c>
      <c r="HM23">
        <v>39.974400000000003</v>
      </c>
      <c r="HN23">
        <v>58.691099999999999</v>
      </c>
      <c r="HO23">
        <v>7.8966399999999997</v>
      </c>
      <c r="HP23">
        <v>1</v>
      </c>
      <c r="HQ23">
        <v>0.52386200000000005</v>
      </c>
      <c r="HR23">
        <v>0</v>
      </c>
      <c r="HS23">
        <v>20.289300000000001</v>
      </c>
      <c r="HT23">
        <v>5.2112999999999996</v>
      </c>
      <c r="HU23">
        <v>11.9033</v>
      </c>
      <c r="HV23">
        <v>4.9859999999999998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1.8629500000000001</v>
      </c>
      <c r="ID23">
        <v>1.86246</v>
      </c>
      <c r="IE23">
        <v>1.8619399999999999</v>
      </c>
      <c r="IF23">
        <v>1.8619699999999999</v>
      </c>
      <c r="IG23">
        <v>1.8626400000000001</v>
      </c>
      <c r="IH23">
        <v>1.8634299999999999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-4.8319999999999999</v>
      </c>
      <c r="IX23">
        <v>0.49390000000000001</v>
      </c>
      <c r="IY23">
        <v>-4.831571428571408</v>
      </c>
      <c r="IZ23">
        <v>0</v>
      </c>
      <c r="JA23">
        <v>0</v>
      </c>
      <c r="JB23">
        <v>0</v>
      </c>
      <c r="JC23">
        <v>-0.25285352968256719</v>
      </c>
      <c r="JD23">
        <v>2.7492919904454862E-4</v>
      </c>
      <c r="JE23">
        <v>8.6739513355948885E-4</v>
      </c>
      <c r="JF23">
        <v>-8.2500691715147318E-6</v>
      </c>
      <c r="JG23">
        <v>-1</v>
      </c>
      <c r="JH23">
        <v>-1</v>
      </c>
      <c r="JI23">
        <v>2</v>
      </c>
      <c r="JJ23">
        <v>37</v>
      </c>
      <c r="JK23">
        <v>0.8</v>
      </c>
      <c r="JL23">
        <v>0.7</v>
      </c>
      <c r="JM23">
        <v>1.1975100000000001</v>
      </c>
      <c r="JN23">
        <v>2.5268600000000001</v>
      </c>
      <c r="JO23">
        <v>1.50024</v>
      </c>
      <c r="JP23">
        <v>2.2680699999999998</v>
      </c>
      <c r="JQ23">
        <v>1.4477500000000001</v>
      </c>
      <c r="JR23">
        <v>2.4523899999999998</v>
      </c>
      <c r="JS23">
        <v>41.170499999999997</v>
      </c>
      <c r="JT23">
        <v>15.270300000000001</v>
      </c>
      <c r="JU23">
        <v>18</v>
      </c>
      <c r="JV23">
        <v>541.28599999999994</v>
      </c>
      <c r="JW23">
        <v>425.12200000000001</v>
      </c>
      <c r="JX23">
        <v>33.788200000000003</v>
      </c>
      <c r="JY23">
        <v>33.856900000000003</v>
      </c>
      <c r="JZ23">
        <v>30</v>
      </c>
      <c r="KA23">
        <v>33.795000000000002</v>
      </c>
      <c r="KB23">
        <v>33.747999999999998</v>
      </c>
      <c r="KC23">
        <v>23.958500000000001</v>
      </c>
      <c r="KD23">
        <v>36.368000000000002</v>
      </c>
      <c r="KE23">
        <v>39.1477</v>
      </c>
      <c r="KF23">
        <v>-999.9</v>
      </c>
      <c r="KG23">
        <v>471.98899999999998</v>
      </c>
      <c r="KH23">
        <v>29.355599999999999</v>
      </c>
      <c r="KI23">
        <v>100.40300000000001</v>
      </c>
      <c r="KJ23">
        <v>99.585800000000006</v>
      </c>
    </row>
    <row r="24" spans="1:296" x14ac:dyDescent="0.3">
      <c r="A24">
        <v>8</v>
      </c>
      <c r="B24">
        <v>1736191574.0999999</v>
      </c>
      <c r="C24">
        <v>1145.599999904633</v>
      </c>
      <c r="D24" t="s">
        <v>871</v>
      </c>
      <c r="E24" t="s">
        <v>872</v>
      </c>
      <c r="F24">
        <v>15</v>
      </c>
      <c r="H24">
        <v>1736191566.099999</v>
      </c>
      <c r="I24">
        <f t="shared" si="0"/>
        <v>5.9688099648068892E-3</v>
      </c>
      <c r="J24">
        <f t="shared" si="1"/>
        <v>5.9688099648068889</v>
      </c>
      <c r="K24">
        <f t="shared" si="2"/>
        <v>32.346512390633364</v>
      </c>
      <c r="L24">
        <f t="shared" si="3"/>
        <v>419.90425806451611</v>
      </c>
      <c r="M24">
        <f t="shared" si="4"/>
        <v>264.56963292857921</v>
      </c>
      <c r="N24">
        <f t="shared" si="5"/>
        <v>25.811719858293916</v>
      </c>
      <c r="O24">
        <f t="shared" si="6"/>
        <v>40.966345821675958</v>
      </c>
      <c r="P24">
        <f t="shared" si="7"/>
        <v>0.37605253834062136</v>
      </c>
      <c r="Q24">
        <f t="shared" si="8"/>
        <v>2.8887886854865696</v>
      </c>
      <c r="R24">
        <f t="shared" si="9"/>
        <v>0.3508198977698464</v>
      </c>
      <c r="S24">
        <f t="shared" si="10"/>
        <v>0.22138824264804707</v>
      </c>
      <c r="T24">
        <f t="shared" si="11"/>
        <v>96.343576236002008</v>
      </c>
      <c r="U24">
        <f t="shared" si="12"/>
        <v>33.017633384470095</v>
      </c>
      <c r="V24">
        <f t="shared" si="13"/>
        <v>33.223796774193538</v>
      </c>
      <c r="W24">
        <f t="shared" si="14"/>
        <v>5.1159844377160386</v>
      </c>
      <c r="X24">
        <f t="shared" si="15"/>
        <v>66.024996970343906</v>
      </c>
      <c r="Y24">
        <f t="shared" si="16"/>
        <v>3.5296377686362153</v>
      </c>
      <c r="Z24">
        <f t="shared" si="17"/>
        <v>5.3459112920847289</v>
      </c>
      <c r="AA24">
        <f t="shared" si="18"/>
        <v>1.5863466690798234</v>
      </c>
      <c r="AB24">
        <f t="shared" si="19"/>
        <v>-263.22451944798382</v>
      </c>
      <c r="AC24">
        <f t="shared" si="20"/>
        <v>122.40188746482748</v>
      </c>
      <c r="AD24">
        <f t="shared" si="21"/>
        <v>9.7627451214345111</v>
      </c>
      <c r="AE24">
        <f t="shared" si="22"/>
        <v>-34.716310625719828</v>
      </c>
      <c r="AF24">
        <f t="shared" si="23"/>
        <v>32.346512390633364</v>
      </c>
      <c r="AG24">
        <f t="shared" si="24"/>
        <v>5.9688099648068889</v>
      </c>
      <c r="AH24">
        <f t="shared" si="25"/>
        <v>32.248739416572299</v>
      </c>
      <c r="AI24">
        <v>475.59876068817209</v>
      </c>
      <c r="AJ24">
        <v>435.76019999999988</v>
      </c>
      <c r="AK24">
        <v>-4.4141145113640781E-3</v>
      </c>
      <c r="AL24">
        <v>67.093509081153925</v>
      </c>
      <c r="AM24">
        <f t="shared" si="26"/>
        <v>5.9723755658226167</v>
      </c>
      <c r="AN24">
        <v>29.258519253323751</v>
      </c>
      <c r="AO24">
        <v>36.171079393939387</v>
      </c>
      <c r="AP24">
        <v>-9.5509661889978917E-4</v>
      </c>
      <c r="AQ24">
        <v>78.259382830912827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50474.813555227651</v>
      </c>
      <c r="AW24" t="s">
        <v>844</v>
      </c>
      <c r="AX24">
        <v>5116.59</v>
      </c>
      <c r="AY24">
        <v>526.90294117647045</v>
      </c>
      <c r="AZ24">
        <v>2506.5</v>
      </c>
      <c r="BA24">
        <f t="shared" si="30"/>
        <v>0.78978538153741451</v>
      </c>
      <c r="BB24">
        <v>-4.2280439564527317</v>
      </c>
      <c r="BC24" t="s">
        <v>873</v>
      </c>
      <c r="BD24">
        <v>5111.2700000000004</v>
      </c>
      <c r="BE24">
        <v>743.49941176470588</v>
      </c>
      <c r="BF24">
        <v>1600.21</v>
      </c>
      <c r="BG24">
        <f t="shared" si="31"/>
        <v>0.53537384982926872</v>
      </c>
      <c r="BH24">
        <v>0.5</v>
      </c>
      <c r="BI24">
        <f t="shared" si="32"/>
        <v>504.29384531031354</v>
      </c>
      <c r="BJ24">
        <f t="shared" si="33"/>
        <v>32.346512390633364</v>
      </c>
      <c r="BK24">
        <f t="shared" si="34"/>
        <v>134.99286870449413</v>
      </c>
      <c r="BL24">
        <f t="shared" si="35"/>
        <v>7.2526279444438208E-2</v>
      </c>
      <c r="BM24">
        <f t="shared" si="36"/>
        <v>0.56635691565482027</v>
      </c>
      <c r="BN24">
        <f t="shared" si="37"/>
        <v>470.84569884819416</v>
      </c>
      <c r="BO24" t="s">
        <v>407</v>
      </c>
      <c r="BP24">
        <v>0</v>
      </c>
      <c r="BQ24">
        <f t="shared" si="38"/>
        <v>470.84569884819416</v>
      </c>
      <c r="BR24">
        <f t="shared" si="39"/>
        <v>0.70576005721236945</v>
      </c>
      <c r="BS24">
        <f t="shared" si="40"/>
        <v>0.75857771257827067</v>
      </c>
      <c r="BT24">
        <f t="shared" si="41"/>
        <v>0.44520820626921109</v>
      </c>
      <c r="BU24">
        <f t="shared" si="42"/>
        <v>0.79819710603072846</v>
      </c>
      <c r="BV24">
        <f t="shared" si="43"/>
        <v>0.45781539023835804</v>
      </c>
      <c r="BW24">
        <f t="shared" si="44"/>
        <v>0.48039453368473467</v>
      </c>
      <c r="BX24">
        <f t="shared" si="45"/>
        <v>0.51960546631526539</v>
      </c>
      <c r="DG24">
        <f t="shared" si="46"/>
        <v>599.98874193548386</v>
      </c>
      <c r="DH24">
        <f t="shared" si="47"/>
        <v>504.29384531031354</v>
      </c>
      <c r="DI24">
        <f t="shared" si="48"/>
        <v>0.84050551295934106</v>
      </c>
      <c r="DJ24">
        <f t="shared" si="49"/>
        <v>0.1605756400115283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1736191566.099999</v>
      </c>
      <c r="DQ24">
        <v>419.90425806451611</v>
      </c>
      <c r="DR24">
        <v>461.72303225806462</v>
      </c>
      <c r="DS24">
        <v>36.178719354838712</v>
      </c>
      <c r="DT24">
        <v>29.27604516129032</v>
      </c>
      <c r="DU24">
        <v>424.69896774193552</v>
      </c>
      <c r="DV24">
        <v>35.691212903225797</v>
      </c>
      <c r="DW24">
        <v>500.05541935483882</v>
      </c>
      <c r="DX24">
        <v>97.515212903225802</v>
      </c>
      <c r="DY24">
        <v>4.5945467741935482E-2</v>
      </c>
      <c r="DZ24">
        <v>34.009732258064517</v>
      </c>
      <c r="EA24">
        <v>33.223796774193538</v>
      </c>
      <c r="EB24">
        <v>999.90000000000032</v>
      </c>
      <c r="EC24">
        <v>0</v>
      </c>
      <c r="ED24">
        <v>0</v>
      </c>
      <c r="EE24">
        <v>10018.38709677419</v>
      </c>
      <c r="EF24">
        <v>0</v>
      </c>
      <c r="EG24">
        <v>257.096</v>
      </c>
      <c r="EH24">
        <v>-41.818832258064511</v>
      </c>
      <c r="EI24">
        <v>435.66606451612893</v>
      </c>
      <c r="EJ24">
        <v>475.64822580645159</v>
      </c>
      <c r="EK24">
        <v>6.9026738709677424</v>
      </c>
      <c r="EL24">
        <v>461.72303225806462</v>
      </c>
      <c r="EM24">
        <v>29.27604516129032</v>
      </c>
      <c r="EN24">
        <v>3.5279745161290319</v>
      </c>
      <c r="EO24">
        <v>2.8548587096774201</v>
      </c>
      <c r="EP24">
        <v>26.754970967741929</v>
      </c>
      <c r="EQ24">
        <v>23.20477096774194</v>
      </c>
      <c r="ER24">
        <v>599.98874193548386</v>
      </c>
      <c r="ES24">
        <v>0.98300203225806471</v>
      </c>
      <c r="ET24">
        <v>1.6998390322580648E-2</v>
      </c>
      <c r="EU24">
        <v>0</v>
      </c>
      <c r="EV24">
        <v>743.58070967741946</v>
      </c>
      <c r="EW24">
        <v>5.0010700000000003</v>
      </c>
      <c r="EX24">
        <v>8126.5638709677423</v>
      </c>
      <c r="EY24">
        <v>5415.0135483870972</v>
      </c>
      <c r="EZ24">
        <v>40.311999999999983</v>
      </c>
      <c r="FA24">
        <v>42.878999999999998</v>
      </c>
      <c r="FB24">
        <v>41.79</v>
      </c>
      <c r="FC24">
        <v>42.875</v>
      </c>
      <c r="FD24">
        <v>42.711387096774168</v>
      </c>
      <c r="FE24">
        <v>584.87354838709678</v>
      </c>
      <c r="FF24">
        <v>10.11</v>
      </c>
      <c r="FG24">
        <v>0</v>
      </c>
      <c r="FH24">
        <v>157</v>
      </c>
      <c r="FI24">
        <v>0</v>
      </c>
      <c r="FJ24">
        <v>743.49941176470588</v>
      </c>
      <c r="FK24">
        <v>-1.662009839852284</v>
      </c>
      <c r="FL24">
        <v>-60.821080083404809</v>
      </c>
      <c r="FM24">
        <v>8122.0288235294111</v>
      </c>
      <c r="FN24">
        <v>10</v>
      </c>
      <c r="FO24">
        <v>1736191519.5999999</v>
      </c>
      <c r="FP24" t="s">
        <v>874</v>
      </c>
      <c r="FQ24">
        <v>1736191518.5999999</v>
      </c>
      <c r="FR24">
        <v>1736191519.5999999</v>
      </c>
      <c r="FS24">
        <v>27</v>
      </c>
      <c r="FT24">
        <v>3.6999999999999998E-2</v>
      </c>
      <c r="FU24">
        <v>1E-3</v>
      </c>
      <c r="FV24">
        <v>-4.7949999999999999</v>
      </c>
      <c r="FW24">
        <v>0.28699999999999998</v>
      </c>
      <c r="FX24">
        <v>462</v>
      </c>
      <c r="FY24">
        <v>29</v>
      </c>
      <c r="FZ24">
        <v>0.17</v>
      </c>
      <c r="GA24">
        <v>0.05</v>
      </c>
      <c r="GB24">
        <v>-41.768234999999997</v>
      </c>
      <c r="GC24">
        <v>-0.41529230769223879</v>
      </c>
      <c r="GD24">
        <v>0.1675410196787637</v>
      </c>
      <c r="GE24">
        <v>1</v>
      </c>
      <c r="GF24">
        <v>743.69658823529414</v>
      </c>
      <c r="GG24">
        <v>-2.459465248010789</v>
      </c>
      <c r="GH24">
        <v>0.34976404800001082</v>
      </c>
      <c r="GI24">
        <v>1</v>
      </c>
      <c r="GJ24">
        <v>6.8997099999999989</v>
      </c>
      <c r="GK24">
        <v>7.9717598499041836E-2</v>
      </c>
      <c r="GL24">
        <v>1.1113588979263161E-2</v>
      </c>
      <c r="GM24">
        <v>1</v>
      </c>
      <c r="GN24">
        <v>3</v>
      </c>
      <c r="GO24">
        <v>3</v>
      </c>
      <c r="GP24" t="s">
        <v>599</v>
      </c>
      <c r="GQ24">
        <v>3.1331799999999999</v>
      </c>
      <c r="GR24">
        <v>2.72153</v>
      </c>
      <c r="GS24">
        <v>9.1181700000000004E-2</v>
      </c>
      <c r="GT24">
        <v>9.7779000000000005E-2</v>
      </c>
      <c r="GU24">
        <v>0.14702499999999999</v>
      </c>
      <c r="GV24">
        <v>0.12851899999999999</v>
      </c>
      <c r="GW24">
        <v>22794.5</v>
      </c>
      <c r="GX24">
        <v>30467.200000000001</v>
      </c>
      <c r="GY24">
        <v>27206.6</v>
      </c>
      <c r="GZ24">
        <v>34724.5</v>
      </c>
      <c r="HA24">
        <v>33981.9</v>
      </c>
      <c r="HB24">
        <v>38641.5</v>
      </c>
      <c r="HC24">
        <v>40171.599999999999</v>
      </c>
      <c r="HD24">
        <v>44422.3</v>
      </c>
      <c r="HE24">
        <v>1.9654</v>
      </c>
      <c r="HF24">
        <v>1.7627999999999999</v>
      </c>
      <c r="HG24">
        <v>3.9190099999999999E-2</v>
      </c>
      <c r="HH24">
        <v>0</v>
      </c>
      <c r="HI24">
        <v>32.592199999999998</v>
      </c>
      <c r="HJ24">
        <v>999.9</v>
      </c>
      <c r="HK24">
        <v>58.1</v>
      </c>
      <c r="HL24">
        <v>37.9</v>
      </c>
      <c r="HM24">
        <v>39.451999999999998</v>
      </c>
      <c r="HN24">
        <v>59.7211</v>
      </c>
      <c r="HO24">
        <v>7.7924699999999998</v>
      </c>
      <c r="HP24">
        <v>1</v>
      </c>
      <c r="HQ24">
        <v>0.524146</v>
      </c>
      <c r="HR24">
        <v>0</v>
      </c>
      <c r="HS24">
        <v>20.290800000000001</v>
      </c>
      <c r="HT24">
        <v>5.2100999999999997</v>
      </c>
      <c r="HU24">
        <v>11.908099999999999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1.8629500000000001</v>
      </c>
      <c r="ID24">
        <v>1.86249</v>
      </c>
      <c r="IE24">
        <v>1.8619699999999999</v>
      </c>
      <c r="IF24">
        <v>1.8620300000000001</v>
      </c>
      <c r="IG24">
        <v>1.8626100000000001</v>
      </c>
      <c r="IH24">
        <v>1.8634599999999999</v>
      </c>
      <c r="II24">
        <v>1.86145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-4.7949999999999999</v>
      </c>
      <c r="IX24">
        <v>0.48699999999999999</v>
      </c>
      <c r="IY24">
        <v>-4.794666666666501</v>
      </c>
      <c r="IZ24">
        <v>0</v>
      </c>
      <c r="JA24">
        <v>0</v>
      </c>
      <c r="JB24">
        <v>0</v>
      </c>
      <c r="JC24">
        <v>-0.25215238757750902</v>
      </c>
      <c r="JD24">
        <v>2.7492919904454862E-4</v>
      </c>
      <c r="JE24">
        <v>8.6739513355948885E-4</v>
      </c>
      <c r="JF24">
        <v>-8.2500691715147318E-6</v>
      </c>
      <c r="JG24">
        <v>-1</v>
      </c>
      <c r="JH24">
        <v>-1</v>
      </c>
      <c r="JI24">
        <v>2</v>
      </c>
      <c r="JJ24">
        <v>37</v>
      </c>
      <c r="JK24">
        <v>0.9</v>
      </c>
      <c r="JL24">
        <v>0.9</v>
      </c>
      <c r="JM24">
        <v>1.17676</v>
      </c>
      <c r="JN24">
        <v>2.5293000000000001</v>
      </c>
      <c r="JO24">
        <v>1.50024</v>
      </c>
      <c r="JP24">
        <v>2.2692899999999998</v>
      </c>
      <c r="JQ24">
        <v>1.4477500000000001</v>
      </c>
      <c r="JR24">
        <v>2.4365199999999998</v>
      </c>
      <c r="JS24">
        <v>41.222299999999997</v>
      </c>
      <c r="JT24">
        <v>15.252800000000001</v>
      </c>
      <c r="JU24">
        <v>18</v>
      </c>
      <c r="JV24">
        <v>542.76400000000001</v>
      </c>
      <c r="JW24">
        <v>425.16</v>
      </c>
      <c r="JX24">
        <v>33.762900000000002</v>
      </c>
      <c r="JY24">
        <v>33.856900000000003</v>
      </c>
      <c r="JZ24">
        <v>30.0002</v>
      </c>
      <c r="KA24">
        <v>33.779899999999998</v>
      </c>
      <c r="KB24">
        <v>33.7348</v>
      </c>
      <c r="KC24">
        <v>23.529399999999999</v>
      </c>
      <c r="KD24">
        <v>35.478700000000003</v>
      </c>
      <c r="KE24">
        <v>35.157299999999999</v>
      </c>
      <c r="KF24">
        <v>-999.9</v>
      </c>
      <c r="KG24">
        <v>461.68</v>
      </c>
      <c r="KH24">
        <v>29.298200000000001</v>
      </c>
      <c r="KI24">
        <v>100.404</v>
      </c>
      <c r="KJ24">
        <v>99.583600000000004</v>
      </c>
    </row>
    <row r="25" spans="1:296" x14ac:dyDescent="0.3">
      <c r="A25">
        <v>9</v>
      </c>
      <c r="B25">
        <v>1736191727.0999999</v>
      </c>
      <c r="C25">
        <v>1298.599999904633</v>
      </c>
      <c r="D25" t="s">
        <v>875</v>
      </c>
      <c r="E25" t="s">
        <v>876</v>
      </c>
      <c r="F25">
        <v>15</v>
      </c>
      <c r="H25">
        <v>1736191719.099999</v>
      </c>
      <c r="I25">
        <f t="shared" si="0"/>
        <v>5.7000220340432516E-3</v>
      </c>
      <c r="J25">
        <f t="shared" si="1"/>
        <v>5.7000220340432515</v>
      </c>
      <c r="K25">
        <f t="shared" si="2"/>
        <v>21.348421872211546</v>
      </c>
      <c r="L25">
        <f t="shared" si="3"/>
        <v>420.01467741935488</v>
      </c>
      <c r="M25">
        <f t="shared" si="4"/>
        <v>309.12519693866511</v>
      </c>
      <c r="N25">
        <f t="shared" si="5"/>
        <v>30.159817906192853</v>
      </c>
      <c r="O25">
        <f t="shared" si="6"/>
        <v>40.978756550244924</v>
      </c>
      <c r="P25">
        <f t="shared" si="7"/>
        <v>0.35787101365605251</v>
      </c>
      <c r="Q25">
        <f t="shared" si="8"/>
        <v>2.8850176557465903</v>
      </c>
      <c r="R25">
        <f t="shared" si="9"/>
        <v>0.33491161050883955</v>
      </c>
      <c r="S25">
        <f t="shared" si="10"/>
        <v>0.21125970151119189</v>
      </c>
      <c r="T25">
        <f t="shared" si="11"/>
        <v>64.409791313100243</v>
      </c>
      <c r="U25">
        <f t="shared" si="12"/>
        <v>32.836447506348101</v>
      </c>
      <c r="V25">
        <f t="shared" si="13"/>
        <v>33.201700000000002</v>
      </c>
      <c r="W25">
        <f t="shared" si="14"/>
        <v>5.10964633401748</v>
      </c>
      <c r="X25">
        <f t="shared" si="15"/>
        <v>66.115777260515401</v>
      </c>
      <c r="Y25">
        <f t="shared" si="16"/>
        <v>3.5225977652983667</v>
      </c>
      <c r="Z25">
        <f t="shared" si="17"/>
        <v>5.3279230937848707</v>
      </c>
      <c r="AA25">
        <f t="shared" si="18"/>
        <v>1.5870485687191134</v>
      </c>
      <c r="AB25">
        <f t="shared" si="19"/>
        <v>-251.37097170130738</v>
      </c>
      <c r="AC25">
        <f t="shared" si="20"/>
        <v>116.28202358244907</v>
      </c>
      <c r="AD25">
        <f t="shared" si="21"/>
        <v>9.2829995429152277</v>
      </c>
      <c r="AE25">
        <f t="shared" si="22"/>
        <v>-61.396157262842834</v>
      </c>
      <c r="AF25">
        <f t="shared" si="23"/>
        <v>21.348421872211546</v>
      </c>
      <c r="AG25">
        <f t="shared" si="24"/>
        <v>5.7000220340432515</v>
      </c>
      <c r="AH25">
        <f t="shared" si="25"/>
        <v>21.539160826057639</v>
      </c>
      <c r="AI25">
        <v>462.29176172424229</v>
      </c>
      <c r="AJ25">
        <v>435.60704848484852</v>
      </c>
      <c r="AK25">
        <v>1.01963168536118E-2</v>
      </c>
      <c r="AL25">
        <v>67.086568032124362</v>
      </c>
      <c r="AM25">
        <f t="shared" si="26"/>
        <v>5.6723683148784492</v>
      </c>
      <c r="AN25">
        <v>29.487162752553331</v>
      </c>
      <c r="AO25">
        <v>36.060792121212117</v>
      </c>
      <c r="AP25">
        <v>-2.0712557672120969E-3</v>
      </c>
      <c r="AQ25">
        <v>78.233006977898555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50380.022262415208</v>
      </c>
      <c r="AW25" t="s">
        <v>844</v>
      </c>
      <c r="AX25">
        <v>5116.59</v>
      </c>
      <c r="AY25">
        <v>526.90294117647045</v>
      </c>
      <c r="AZ25">
        <v>2506.5</v>
      </c>
      <c r="BA25">
        <f t="shared" si="30"/>
        <v>0.78978538153741451</v>
      </c>
      <c r="BB25">
        <v>-4.2280439564527317</v>
      </c>
      <c r="BC25" t="s">
        <v>877</v>
      </c>
      <c r="BD25">
        <v>5113.03</v>
      </c>
      <c r="BE25">
        <v>732.17758823529402</v>
      </c>
      <c r="BF25">
        <v>1747.71</v>
      </c>
      <c r="BG25">
        <f t="shared" si="31"/>
        <v>0.58106459982760639</v>
      </c>
      <c r="BH25">
        <v>0.5</v>
      </c>
      <c r="BI25">
        <f t="shared" si="32"/>
        <v>336.28724030596868</v>
      </c>
      <c r="BJ25">
        <f t="shared" si="33"/>
        <v>21.348421872211546</v>
      </c>
      <c r="BK25">
        <f t="shared" si="34"/>
        <v>97.702305357758902</v>
      </c>
      <c r="BL25">
        <f t="shared" si="35"/>
        <v>7.6055415618486444E-2</v>
      </c>
      <c r="BM25">
        <f t="shared" si="36"/>
        <v>0.43416241825016733</v>
      </c>
      <c r="BN25">
        <f t="shared" si="37"/>
        <v>482.83582528632746</v>
      </c>
      <c r="BO25" t="s">
        <v>407</v>
      </c>
      <c r="BP25">
        <v>0</v>
      </c>
      <c r="BQ25">
        <f t="shared" si="38"/>
        <v>482.83582528632746</v>
      </c>
      <c r="BR25">
        <f t="shared" si="39"/>
        <v>0.72373229810075612</v>
      </c>
      <c r="BS25">
        <f t="shared" si="40"/>
        <v>0.80287227936691041</v>
      </c>
      <c r="BT25">
        <f t="shared" si="41"/>
        <v>0.37495845876075801</v>
      </c>
      <c r="BU25">
        <f t="shared" si="42"/>
        <v>0.83185332557247571</v>
      </c>
      <c r="BV25">
        <f t="shared" si="43"/>
        <v>0.38330527751488341</v>
      </c>
      <c r="BW25">
        <f t="shared" si="44"/>
        <v>0.52945556629501656</v>
      </c>
      <c r="BX25">
        <f t="shared" si="45"/>
        <v>0.47054443370498344</v>
      </c>
      <c r="DG25">
        <f t="shared" si="46"/>
        <v>399.98945161290322</v>
      </c>
      <c r="DH25">
        <f t="shared" si="47"/>
        <v>336.28724030596868</v>
      </c>
      <c r="DI25">
        <f t="shared" si="48"/>
        <v>0.84074027189951128</v>
      </c>
      <c r="DJ25">
        <f t="shared" si="49"/>
        <v>0.16102872476605692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1736191719.099999</v>
      </c>
      <c r="DQ25">
        <v>420.01467741935488</v>
      </c>
      <c r="DR25">
        <v>448.50512903225803</v>
      </c>
      <c r="DS25">
        <v>36.105116129032247</v>
      </c>
      <c r="DT25">
        <v>29.51218064516128</v>
      </c>
      <c r="DU25">
        <v>424.77664516129028</v>
      </c>
      <c r="DV25">
        <v>35.621096774193553</v>
      </c>
      <c r="DW25">
        <v>500.009935483871</v>
      </c>
      <c r="DX25">
        <v>97.519196774193546</v>
      </c>
      <c r="DY25">
        <v>4.5861670967741942E-2</v>
      </c>
      <c r="DZ25">
        <v>33.949316129032248</v>
      </c>
      <c r="EA25">
        <v>33.201700000000002</v>
      </c>
      <c r="EB25">
        <v>999.90000000000032</v>
      </c>
      <c r="EC25">
        <v>0</v>
      </c>
      <c r="ED25">
        <v>0</v>
      </c>
      <c r="EE25">
        <v>9996.2903225806458</v>
      </c>
      <c r="EF25">
        <v>0</v>
      </c>
      <c r="EG25">
        <v>263.13512903225808</v>
      </c>
      <c r="EH25">
        <v>-28.490441935483869</v>
      </c>
      <c r="EI25">
        <v>435.7473870967741</v>
      </c>
      <c r="EJ25">
        <v>462.14403225806439</v>
      </c>
      <c r="EK25">
        <v>6.5929287096774196</v>
      </c>
      <c r="EL25">
        <v>448.50512903225803</v>
      </c>
      <c r="EM25">
        <v>29.51218064516128</v>
      </c>
      <c r="EN25">
        <v>3.520941612903226</v>
      </c>
      <c r="EO25">
        <v>2.8780051612903219</v>
      </c>
      <c r="EP25">
        <v>26.72105483870968</v>
      </c>
      <c r="EQ25">
        <v>23.338432258064511</v>
      </c>
      <c r="ER25">
        <v>399.98945161290322</v>
      </c>
      <c r="ES25">
        <v>0.97501045161290312</v>
      </c>
      <c r="ET25">
        <v>2.4989448387096769E-2</v>
      </c>
      <c r="EU25">
        <v>0</v>
      </c>
      <c r="EV25">
        <v>732.44351612903222</v>
      </c>
      <c r="EW25">
        <v>5.0010700000000003</v>
      </c>
      <c r="EX25">
        <v>6370.7041935483867</v>
      </c>
      <c r="EY25">
        <v>3583.594193548387</v>
      </c>
      <c r="EZ25">
        <v>39.811999999999983</v>
      </c>
      <c r="FA25">
        <v>42.741870967741932</v>
      </c>
      <c r="FB25">
        <v>41.493903225806442</v>
      </c>
      <c r="FC25">
        <v>42.75</v>
      </c>
      <c r="FD25">
        <v>42.354677419354829</v>
      </c>
      <c r="FE25">
        <v>385.11709677419361</v>
      </c>
      <c r="FF25">
        <v>9.870000000000001</v>
      </c>
      <c r="FG25">
        <v>0</v>
      </c>
      <c r="FH25">
        <v>152.20000004768369</v>
      </c>
      <c r="FI25">
        <v>0</v>
      </c>
      <c r="FJ25">
        <v>732.17758823529402</v>
      </c>
      <c r="FK25">
        <v>-4.238480365663408</v>
      </c>
      <c r="FL25">
        <v>116.5931370027798</v>
      </c>
      <c r="FM25">
        <v>6376.8282352941178</v>
      </c>
      <c r="FN25">
        <v>10</v>
      </c>
      <c r="FO25">
        <v>1736191684.5999999</v>
      </c>
      <c r="FP25" t="s">
        <v>878</v>
      </c>
      <c r="FQ25">
        <v>1736191684.5999999</v>
      </c>
      <c r="FR25">
        <v>1736191680.5999999</v>
      </c>
      <c r="FS25">
        <v>28</v>
      </c>
      <c r="FT25">
        <v>3.3000000000000002E-2</v>
      </c>
      <c r="FU25">
        <v>-1E-3</v>
      </c>
      <c r="FV25">
        <v>-4.7619999999999996</v>
      </c>
      <c r="FW25">
        <v>0.28899999999999998</v>
      </c>
      <c r="FX25">
        <v>449</v>
      </c>
      <c r="FY25">
        <v>29</v>
      </c>
      <c r="FZ25">
        <v>0.34</v>
      </c>
      <c r="GA25">
        <v>0.05</v>
      </c>
      <c r="GB25">
        <v>-28.509587499999999</v>
      </c>
      <c r="GC25">
        <v>-0.71627729831138187</v>
      </c>
      <c r="GD25">
        <v>0.27202875232914259</v>
      </c>
      <c r="GE25">
        <v>1</v>
      </c>
      <c r="GF25">
        <v>732.60958823529404</v>
      </c>
      <c r="GG25">
        <v>-4.411673023324969</v>
      </c>
      <c r="GH25">
        <v>0.48154415335076362</v>
      </c>
      <c r="GI25">
        <v>1</v>
      </c>
      <c r="GJ25">
        <v>6.5777152499999998</v>
      </c>
      <c r="GK25">
        <v>0.26471335834895948</v>
      </c>
      <c r="GL25">
        <v>3.2114007378984948E-2</v>
      </c>
      <c r="GM25">
        <v>1</v>
      </c>
      <c r="GN25">
        <v>3</v>
      </c>
      <c r="GO25">
        <v>3</v>
      </c>
      <c r="GP25" t="s">
        <v>599</v>
      </c>
      <c r="GQ25">
        <v>3.13246</v>
      </c>
      <c r="GR25">
        <v>2.7227999999999999</v>
      </c>
      <c r="GS25">
        <v>9.1173400000000002E-2</v>
      </c>
      <c r="GT25">
        <v>9.5724500000000004E-2</v>
      </c>
      <c r="GU25">
        <v>0.14674100000000001</v>
      </c>
      <c r="GV25">
        <v>0.12912799999999999</v>
      </c>
      <c r="GW25">
        <v>22794.1</v>
      </c>
      <c r="GX25">
        <v>30535.5</v>
      </c>
      <c r="GY25">
        <v>27206</v>
      </c>
      <c r="GZ25">
        <v>34723.5</v>
      </c>
      <c r="HA25">
        <v>33992.400000000001</v>
      </c>
      <c r="HB25">
        <v>38614.300000000003</v>
      </c>
      <c r="HC25">
        <v>40170.300000000003</v>
      </c>
      <c r="HD25">
        <v>44422.2</v>
      </c>
      <c r="HE25">
        <v>1.9612000000000001</v>
      </c>
      <c r="HF25">
        <v>1.7636000000000001</v>
      </c>
      <c r="HG25">
        <v>3.5583999999999998E-2</v>
      </c>
      <c r="HH25">
        <v>0</v>
      </c>
      <c r="HI25">
        <v>32.631599999999999</v>
      </c>
      <c r="HJ25">
        <v>999.9</v>
      </c>
      <c r="HK25">
        <v>57.1</v>
      </c>
      <c r="HL25">
        <v>38</v>
      </c>
      <c r="HM25">
        <v>38.981099999999998</v>
      </c>
      <c r="HN25">
        <v>59.571100000000001</v>
      </c>
      <c r="HO25">
        <v>7.7804500000000001</v>
      </c>
      <c r="HP25">
        <v>1</v>
      </c>
      <c r="HQ25">
        <v>0.52737800000000001</v>
      </c>
      <c r="HR25">
        <v>0</v>
      </c>
      <c r="HS25">
        <v>20.2926</v>
      </c>
      <c r="HT25">
        <v>5.2100999999999997</v>
      </c>
      <c r="HU25">
        <v>11.908099999999999</v>
      </c>
      <c r="HV25">
        <v>4.9851999999999999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1.8629500000000001</v>
      </c>
      <c r="ID25">
        <v>1.86249</v>
      </c>
      <c r="IE25">
        <v>1.8620000000000001</v>
      </c>
      <c r="IF25">
        <v>1.8620000000000001</v>
      </c>
      <c r="IG25">
        <v>1.8626400000000001</v>
      </c>
      <c r="IH25">
        <v>1.8635600000000001</v>
      </c>
      <c r="II25">
        <v>1.86151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-4.7619999999999996</v>
      </c>
      <c r="IX25">
        <v>0.48259999999999997</v>
      </c>
      <c r="IY25">
        <v>-4.7619500000000698</v>
      </c>
      <c r="IZ25">
        <v>0</v>
      </c>
      <c r="JA25">
        <v>0</v>
      </c>
      <c r="JB25">
        <v>0</v>
      </c>
      <c r="JC25">
        <v>-0.2535016580170999</v>
      </c>
      <c r="JD25">
        <v>2.7492919904454862E-4</v>
      </c>
      <c r="JE25">
        <v>8.6739513355948885E-4</v>
      </c>
      <c r="JF25">
        <v>-8.2500691715147318E-6</v>
      </c>
      <c r="JG25">
        <v>-1</v>
      </c>
      <c r="JH25">
        <v>-1</v>
      </c>
      <c r="JI25">
        <v>2</v>
      </c>
      <c r="JJ25">
        <v>37</v>
      </c>
      <c r="JK25">
        <v>0.7</v>
      </c>
      <c r="JL25">
        <v>0.8</v>
      </c>
      <c r="JM25">
        <v>1.1498999999999999</v>
      </c>
      <c r="JN25">
        <v>2.5293000000000001</v>
      </c>
      <c r="JO25">
        <v>1.50024</v>
      </c>
      <c r="JP25">
        <v>2.2692899999999998</v>
      </c>
      <c r="JQ25">
        <v>1.4477500000000001</v>
      </c>
      <c r="JR25">
        <v>2.4365199999999998</v>
      </c>
      <c r="JS25">
        <v>41.274099999999997</v>
      </c>
      <c r="JT25">
        <v>15.244</v>
      </c>
      <c r="JU25">
        <v>18</v>
      </c>
      <c r="JV25">
        <v>540.16300000000001</v>
      </c>
      <c r="JW25">
        <v>425.79599999999999</v>
      </c>
      <c r="JX25">
        <v>33.785899999999998</v>
      </c>
      <c r="JY25">
        <v>33.896599999999999</v>
      </c>
      <c r="JZ25">
        <v>30.000299999999999</v>
      </c>
      <c r="KA25">
        <v>33.804099999999998</v>
      </c>
      <c r="KB25">
        <v>33.757100000000001</v>
      </c>
      <c r="KC25">
        <v>22.998200000000001</v>
      </c>
      <c r="KD25">
        <v>34.703499999999998</v>
      </c>
      <c r="KE25">
        <v>31.627099999999999</v>
      </c>
      <c r="KF25">
        <v>-999.9</v>
      </c>
      <c r="KG25">
        <v>448.685</v>
      </c>
      <c r="KH25">
        <v>29.402100000000001</v>
      </c>
      <c r="KI25">
        <v>100.401</v>
      </c>
      <c r="KJ25">
        <v>99.582099999999997</v>
      </c>
    </row>
    <row r="26" spans="1:296" x14ac:dyDescent="0.3">
      <c r="A26">
        <v>10</v>
      </c>
      <c r="B26">
        <v>1736191877.5999999</v>
      </c>
      <c r="C26">
        <v>1449.099999904633</v>
      </c>
      <c r="D26" t="s">
        <v>879</v>
      </c>
      <c r="E26" t="s">
        <v>880</v>
      </c>
      <c r="F26">
        <v>15</v>
      </c>
      <c r="H26">
        <v>1736191869.849999</v>
      </c>
      <c r="I26">
        <f t="shared" si="0"/>
        <v>5.4283797709599188E-3</v>
      </c>
      <c r="J26">
        <f t="shared" si="1"/>
        <v>5.4283797709599186</v>
      </c>
      <c r="K26">
        <f t="shared" si="2"/>
        <v>15.506230527048871</v>
      </c>
      <c r="L26">
        <f t="shared" si="3"/>
        <v>419.95940000000002</v>
      </c>
      <c r="M26">
        <f t="shared" si="4"/>
        <v>330.61870576299015</v>
      </c>
      <c r="N26">
        <f t="shared" si="5"/>
        <v>32.254698325931834</v>
      </c>
      <c r="O26">
        <f t="shared" si="6"/>
        <v>40.970651448408333</v>
      </c>
      <c r="P26">
        <f t="shared" si="7"/>
        <v>0.33127530409103872</v>
      </c>
      <c r="Q26">
        <f t="shared" si="8"/>
        <v>2.8849013502862655</v>
      </c>
      <c r="R26">
        <f t="shared" si="9"/>
        <v>0.31149972172216056</v>
      </c>
      <c r="S26">
        <f t="shared" si="10"/>
        <v>0.19636563359842374</v>
      </c>
      <c r="T26">
        <f t="shared" si="11"/>
        <v>48.443034650609057</v>
      </c>
      <c r="U26">
        <f t="shared" si="12"/>
        <v>32.843349999111894</v>
      </c>
      <c r="V26">
        <f t="shared" si="13"/>
        <v>33.30040666666666</v>
      </c>
      <c r="W26">
        <f t="shared" si="14"/>
        <v>5.1380117455897842</v>
      </c>
      <c r="X26">
        <f t="shared" si="15"/>
        <v>65.828183943250394</v>
      </c>
      <c r="Y26">
        <f t="shared" si="16"/>
        <v>3.5132787053126799</v>
      </c>
      <c r="Z26">
        <f t="shared" si="17"/>
        <v>5.3370433374577537</v>
      </c>
      <c r="AA26">
        <f t="shared" si="18"/>
        <v>1.6247330402771043</v>
      </c>
      <c r="AB26">
        <f t="shared" si="19"/>
        <v>-239.39154789933241</v>
      </c>
      <c r="AC26">
        <f t="shared" si="20"/>
        <v>105.69302996901237</v>
      </c>
      <c r="AD26">
        <f t="shared" si="21"/>
        <v>8.4433412311914928</v>
      </c>
      <c r="AE26">
        <f t="shared" si="22"/>
        <v>-76.81214204851949</v>
      </c>
      <c r="AF26">
        <f t="shared" si="23"/>
        <v>15.506230527048871</v>
      </c>
      <c r="AG26">
        <f t="shared" si="24"/>
        <v>5.4283797709599186</v>
      </c>
      <c r="AH26">
        <f t="shared" si="25"/>
        <v>15.655476644567266</v>
      </c>
      <c r="AI26">
        <v>454.91684580646682</v>
      </c>
      <c r="AJ26">
        <v>435.55485454545442</v>
      </c>
      <c r="AK26">
        <v>-3.6640046802507688E-4</v>
      </c>
      <c r="AL26">
        <v>67.09276511227246</v>
      </c>
      <c r="AM26">
        <f t="shared" si="26"/>
        <v>5.4319376268883861</v>
      </c>
      <c r="AN26">
        <v>29.71962723050282</v>
      </c>
      <c r="AO26">
        <v>36.006054545454553</v>
      </c>
      <c r="AP26">
        <v>-3.8075165557322291E-4</v>
      </c>
      <c r="AQ26">
        <v>78.258781607207226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50371.614378603364</v>
      </c>
      <c r="AW26" t="s">
        <v>844</v>
      </c>
      <c r="AX26">
        <v>5116.59</v>
      </c>
      <c r="AY26">
        <v>526.90294117647045</v>
      </c>
      <c r="AZ26">
        <v>2506.5</v>
      </c>
      <c r="BA26">
        <f t="shared" si="30"/>
        <v>0.78978538153741451</v>
      </c>
      <c r="BB26">
        <v>-4.2280439564527317</v>
      </c>
      <c r="BC26" t="s">
        <v>881</v>
      </c>
      <c r="BD26">
        <v>5114.01</v>
      </c>
      <c r="BE26">
        <v>723.76400000000001</v>
      </c>
      <c r="BF26">
        <v>1827.57</v>
      </c>
      <c r="BG26">
        <f t="shared" si="31"/>
        <v>0.60397467675656746</v>
      </c>
      <c r="BH26">
        <v>0.5</v>
      </c>
      <c r="BI26">
        <f t="shared" si="32"/>
        <v>252.29013745627412</v>
      </c>
      <c r="BJ26">
        <f t="shared" si="33"/>
        <v>15.506230527048871</v>
      </c>
      <c r="BK26">
        <f t="shared" si="34"/>
        <v>76.188427109511565</v>
      </c>
      <c r="BL26">
        <f t="shared" si="35"/>
        <v>7.8220554645826626E-2</v>
      </c>
      <c r="BM26">
        <f t="shared" si="36"/>
        <v>0.37149329437449735</v>
      </c>
      <c r="BN26">
        <f t="shared" si="37"/>
        <v>488.73592929795808</v>
      </c>
      <c r="BO26" t="s">
        <v>407</v>
      </c>
      <c r="BP26">
        <v>0</v>
      </c>
      <c r="BQ26">
        <f t="shared" si="38"/>
        <v>488.73592929795808</v>
      </c>
      <c r="BR26">
        <f t="shared" si="39"/>
        <v>0.73257608228524318</v>
      </c>
      <c r="BS26">
        <f t="shared" si="40"/>
        <v>0.82445317470984247</v>
      </c>
      <c r="BT26">
        <f t="shared" si="41"/>
        <v>0.33647640467885798</v>
      </c>
      <c r="BU26">
        <f t="shared" si="42"/>
        <v>0.84864607934209324</v>
      </c>
      <c r="BV26">
        <f t="shared" si="43"/>
        <v>0.3429637344498212</v>
      </c>
      <c r="BW26">
        <f t="shared" si="44"/>
        <v>0.55672828229155724</v>
      </c>
      <c r="BX26">
        <f t="shared" si="45"/>
        <v>0.44327171770844276</v>
      </c>
      <c r="DG26">
        <f t="shared" si="46"/>
        <v>299.99790000000002</v>
      </c>
      <c r="DH26">
        <f t="shared" si="47"/>
        <v>252.29013745627412</v>
      </c>
      <c r="DI26">
        <f t="shared" si="48"/>
        <v>0.84097301166532867</v>
      </c>
      <c r="DJ26">
        <f t="shared" si="49"/>
        <v>0.16147791251408444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1736191869.849999</v>
      </c>
      <c r="DQ26">
        <v>419.95940000000002</v>
      </c>
      <c r="DR26">
        <v>441.30430000000001</v>
      </c>
      <c r="DS26">
        <v>36.011983333333333</v>
      </c>
      <c r="DT26">
        <v>29.731986666666671</v>
      </c>
      <c r="DU26">
        <v>424.70569999999998</v>
      </c>
      <c r="DV26">
        <v>35.534679999999987</v>
      </c>
      <c r="DW26">
        <v>499.95819999999998</v>
      </c>
      <c r="DX26">
        <v>97.512256666666659</v>
      </c>
      <c r="DY26">
        <v>4.6344113333333332E-2</v>
      </c>
      <c r="DZ26">
        <v>33.979969999999987</v>
      </c>
      <c r="EA26">
        <v>33.30040666666666</v>
      </c>
      <c r="EB26">
        <v>999.9000000000002</v>
      </c>
      <c r="EC26">
        <v>0</v>
      </c>
      <c r="ED26">
        <v>0</v>
      </c>
      <c r="EE26">
        <v>9996.3333333333339</v>
      </c>
      <c r="EF26">
        <v>0</v>
      </c>
      <c r="EG26">
        <v>240.40780000000001</v>
      </c>
      <c r="EH26">
        <v>-21.344926666666669</v>
      </c>
      <c r="EI26">
        <v>435.64803333333327</v>
      </c>
      <c r="EJ26">
        <v>454.82726666666662</v>
      </c>
      <c r="EK26">
        <v>6.2799986666666676</v>
      </c>
      <c r="EL26">
        <v>441.30430000000001</v>
      </c>
      <c r="EM26">
        <v>29.731986666666671</v>
      </c>
      <c r="EN26">
        <v>3.511611666666667</v>
      </c>
      <c r="EO26">
        <v>2.8992346666666671</v>
      </c>
      <c r="EP26">
        <v>26.675979999999999</v>
      </c>
      <c r="EQ26">
        <v>23.460239999999999</v>
      </c>
      <c r="ER26">
        <v>299.99790000000002</v>
      </c>
      <c r="ES26">
        <v>0.96700943333333322</v>
      </c>
      <c r="ET26">
        <v>3.2990716666666663E-2</v>
      </c>
      <c r="EU26">
        <v>0</v>
      </c>
      <c r="EV26">
        <v>723.88163333333318</v>
      </c>
      <c r="EW26">
        <v>5.0010700000000003</v>
      </c>
      <c r="EX26">
        <v>5593.8703333333306</v>
      </c>
      <c r="EY26">
        <v>2668.016333333333</v>
      </c>
      <c r="EZ26">
        <v>39.447499999999977</v>
      </c>
      <c r="FA26">
        <v>42.561999999999983</v>
      </c>
      <c r="FB26">
        <v>41.245800000000003</v>
      </c>
      <c r="FC26">
        <v>42.58509999999999</v>
      </c>
      <c r="FD26">
        <v>42.068299999999986</v>
      </c>
      <c r="FE26">
        <v>285.26533333333327</v>
      </c>
      <c r="FF26">
        <v>9.73</v>
      </c>
      <c r="FG26">
        <v>0</v>
      </c>
      <c r="FH26">
        <v>149.60000014305109</v>
      </c>
      <c r="FI26">
        <v>0</v>
      </c>
      <c r="FJ26">
        <v>723.76400000000001</v>
      </c>
      <c r="FK26">
        <v>-0.68382349000513021</v>
      </c>
      <c r="FL26">
        <v>-85.024509714358487</v>
      </c>
      <c r="FM26">
        <v>5591.7358823529412</v>
      </c>
      <c r="FN26">
        <v>10</v>
      </c>
      <c r="FO26">
        <v>1736191836.5999999</v>
      </c>
      <c r="FP26" t="s">
        <v>882</v>
      </c>
      <c r="FQ26">
        <v>1736191831.0999999</v>
      </c>
      <c r="FR26">
        <v>1736191836.5999999</v>
      </c>
      <c r="FS26">
        <v>29</v>
      </c>
      <c r="FT26">
        <v>1.6E-2</v>
      </c>
      <c r="FU26">
        <v>-4.0000000000000001E-3</v>
      </c>
      <c r="FV26">
        <v>-4.7460000000000004</v>
      </c>
      <c r="FW26">
        <v>0.28999999999999998</v>
      </c>
      <c r="FX26">
        <v>442</v>
      </c>
      <c r="FY26">
        <v>30</v>
      </c>
      <c r="FZ26">
        <v>0.38</v>
      </c>
      <c r="GA26">
        <v>0.05</v>
      </c>
      <c r="GB26">
        <v>-21.400509756097559</v>
      </c>
      <c r="GC26">
        <v>0.26276864111497927</v>
      </c>
      <c r="GD26">
        <v>0.24833968849225091</v>
      </c>
      <c r="GE26">
        <v>1</v>
      </c>
      <c r="GF26">
        <v>723.83302941176476</v>
      </c>
      <c r="GG26">
        <v>-0.32126813474842469</v>
      </c>
      <c r="GH26">
        <v>0.26507296279617648</v>
      </c>
      <c r="GI26">
        <v>1</v>
      </c>
      <c r="GJ26">
        <v>6.3061356097560974</v>
      </c>
      <c r="GK26">
        <v>-0.37472905923346073</v>
      </c>
      <c r="GL26">
        <v>4.9004510795300563E-2</v>
      </c>
      <c r="GM26">
        <v>1</v>
      </c>
      <c r="GN26">
        <v>3</v>
      </c>
      <c r="GO26">
        <v>3</v>
      </c>
      <c r="GP26" t="s">
        <v>599</v>
      </c>
      <c r="GQ26">
        <v>3.1329099999999999</v>
      </c>
      <c r="GR26">
        <v>2.7236500000000001</v>
      </c>
      <c r="GS26">
        <v>9.1156899999999999E-2</v>
      </c>
      <c r="GT26">
        <v>9.4544600000000006E-2</v>
      </c>
      <c r="GU26">
        <v>0.14658499999999999</v>
      </c>
      <c r="GV26">
        <v>0.12989600000000001</v>
      </c>
      <c r="GW26">
        <v>22792.2</v>
      </c>
      <c r="GX26">
        <v>30573.8</v>
      </c>
      <c r="GY26">
        <v>27203.4</v>
      </c>
      <c r="GZ26">
        <v>34722</v>
      </c>
      <c r="HA26">
        <v>33996.300000000003</v>
      </c>
      <c r="HB26">
        <v>38578.800000000003</v>
      </c>
      <c r="HC26">
        <v>40167.1</v>
      </c>
      <c r="HD26">
        <v>44420.6</v>
      </c>
      <c r="HE26">
        <v>1.9621999999999999</v>
      </c>
      <c r="HF26">
        <v>1.7614000000000001</v>
      </c>
      <c r="HG26">
        <v>3.4272700000000003E-2</v>
      </c>
      <c r="HH26">
        <v>0</v>
      </c>
      <c r="HI26">
        <v>32.750799999999998</v>
      </c>
      <c r="HJ26">
        <v>999.9</v>
      </c>
      <c r="HK26">
        <v>56.5</v>
      </c>
      <c r="HL26">
        <v>38</v>
      </c>
      <c r="HM26">
        <v>38.571899999999999</v>
      </c>
      <c r="HN26">
        <v>59.691099999999999</v>
      </c>
      <c r="HO26">
        <v>7.7884599999999997</v>
      </c>
      <c r="HP26">
        <v>1</v>
      </c>
      <c r="HQ26">
        <v>0.53109799999999996</v>
      </c>
      <c r="HR26">
        <v>0</v>
      </c>
      <c r="HS26">
        <v>20.292999999999999</v>
      </c>
      <c r="HT26">
        <v>5.2100999999999997</v>
      </c>
      <c r="HU26">
        <v>11.908099999999999</v>
      </c>
      <c r="HV26">
        <v>4.9855999999999998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1.8630100000000001</v>
      </c>
      <c r="ID26">
        <v>1.86249</v>
      </c>
      <c r="IE26">
        <v>1.8620300000000001</v>
      </c>
      <c r="IF26">
        <v>1.8620300000000001</v>
      </c>
      <c r="IG26">
        <v>1.8626400000000001</v>
      </c>
      <c r="IH26">
        <v>1.8635299999999999</v>
      </c>
      <c r="II26">
        <v>1.86151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-4.7460000000000004</v>
      </c>
      <c r="IX26">
        <v>0.47699999999999998</v>
      </c>
      <c r="IY26">
        <v>-4.7462857142858184</v>
      </c>
      <c r="IZ26">
        <v>0</v>
      </c>
      <c r="JA26">
        <v>0</v>
      </c>
      <c r="JB26">
        <v>0</v>
      </c>
      <c r="JC26">
        <v>-0.25753768731471982</v>
      </c>
      <c r="JD26">
        <v>2.7492919904454862E-4</v>
      </c>
      <c r="JE26">
        <v>8.6739513355948885E-4</v>
      </c>
      <c r="JF26">
        <v>-8.2500691715147318E-6</v>
      </c>
      <c r="JG26">
        <v>-1</v>
      </c>
      <c r="JH26">
        <v>-1</v>
      </c>
      <c r="JI26">
        <v>2</v>
      </c>
      <c r="JJ26">
        <v>37</v>
      </c>
      <c r="JK26">
        <v>0.8</v>
      </c>
      <c r="JL26">
        <v>0.7</v>
      </c>
      <c r="JM26">
        <v>1.1352500000000001</v>
      </c>
      <c r="JN26">
        <v>2.52563</v>
      </c>
      <c r="JO26">
        <v>1.50024</v>
      </c>
      <c r="JP26">
        <v>2.2692899999999998</v>
      </c>
      <c r="JQ26">
        <v>1.4477500000000001</v>
      </c>
      <c r="JR26">
        <v>2.4243199999999998</v>
      </c>
      <c r="JS26">
        <v>41.378100000000003</v>
      </c>
      <c r="JT26">
        <v>15.2265</v>
      </c>
      <c r="JU26">
        <v>18</v>
      </c>
      <c r="JV26">
        <v>541.10400000000004</v>
      </c>
      <c r="JW26">
        <v>424.666</v>
      </c>
      <c r="JX26">
        <v>33.8339</v>
      </c>
      <c r="JY26">
        <v>33.939399999999999</v>
      </c>
      <c r="JZ26">
        <v>30.000399999999999</v>
      </c>
      <c r="KA26">
        <v>33.837400000000002</v>
      </c>
      <c r="KB26">
        <v>33.790199999999999</v>
      </c>
      <c r="KC26">
        <v>22.700800000000001</v>
      </c>
      <c r="KD26">
        <v>33.556100000000001</v>
      </c>
      <c r="KE26">
        <v>29.046299999999999</v>
      </c>
      <c r="KF26">
        <v>-999.9</v>
      </c>
      <c r="KG26">
        <v>441.459</v>
      </c>
      <c r="KH26">
        <v>29.811399999999999</v>
      </c>
      <c r="KI26">
        <v>100.392</v>
      </c>
      <c r="KJ26">
        <v>99.578199999999995</v>
      </c>
    </row>
    <row r="27" spans="1:296" x14ac:dyDescent="0.3">
      <c r="A27">
        <v>11</v>
      </c>
      <c r="B27">
        <v>1736192022.0999999</v>
      </c>
      <c r="C27">
        <v>1593.599999904633</v>
      </c>
      <c r="D27" t="s">
        <v>883</v>
      </c>
      <c r="E27" t="s">
        <v>884</v>
      </c>
      <c r="F27">
        <v>15</v>
      </c>
      <c r="H27">
        <v>1736192014.349999</v>
      </c>
      <c r="I27">
        <f t="shared" si="0"/>
        <v>5.0973348854183951E-3</v>
      </c>
      <c r="J27">
        <f t="shared" si="1"/>
        <v>5.0973348854183955</v>
      </c>
      <c r="K27">
        <f t="shared" si="2"/>
        <v>9.0763550204969832</v>
      </c>
      <c r="L27">
        <f t="shared" si="3"/>
        <v>420.01756666666671</v>
      </c>
      <c r="M27">
        <f t="shared" si="4"/>
        <v>360.17522835258012</v>
      </c>
      <c r="N27">
        <f t="shared" si="5"/>
        <v>35.141570690190491</v>
      </c>
      <c r="O27">
        <f t="shared" si="6"/>
        <v>40.980266959641206</v>
      </c>
      <c r="P27">
        <f t="shared" si="7"/>
        <v>0.31094406102569899</v>
      </c>
      <c r="Q27">
        <f t="shared" si="8"/>
        <v>2.8855319759878961</v>
      </c>
      <c r="R27">
        <f t="shared" si="9"/>
        <v>0.2934561618164977</v>
      </c>
      <c r="S27">
        <f t="shared" si="10"/>
        <v>0.18489930888269168</v>
      </c>
      <c r="T27">
        <f t="shared" si="11"/>
        <v>32.483523984463751</v>
      </c>
      <c r="U27">
        <f t="shared" si="12"/>
        <v>32.771026889822011</v>
      </c>
      <c r="V27">
        <f t="shared" si="13"/>
        <v>33.270656666666667</v>
      </c>
      <c r="W27">
        <f t="shared" si="14"/>
        <v>5.1294480789624437</v>
      </c>
      <c r="X27">
        <f t="shared" si="15"/>
        <v>65.99831919315811</v>
      </c>
      <c r="Y27">
        <f t="shared" si="16"/>
        <v>3.5097229779976993</v>
      </c>
      <c r="Z27">
        <f t="shared" si="17"/>
        <v>5.317897517550028</v>
      </c>
      <c r="AA27">
        <f t="shared" si="18"/>
        <v>1.6197251009647444</v>
      </c>
      <c r="AB27">
        <f t="shared" si="19"/>
        <v>-224.79246844695123</v>
      </c>
      <c r="AC27">
        <f t="shared" si="20"/>
        <v>100.32529509671177</v>
      </c>
      <c r="AD27">
        <f t="shared" si="21"/>
        <v>8.0090945797528743</v>
      </c>
      <c r="AE27">
        <f t="shared" si="22"/>
        <v>-83.974554786022836</v>
      </c>
      <c r="AF27">
        <f t="shared" si="23"/>
        <v>9.0763550204969832</v>
      </c>
      <c r="AG27">
        <f t="shared" si="24"/>
        <v>5.0973348854183955</v>
      </c>
      <c r="AH27">
        <f t="shared" si="25"/>
        <v>9.0792409571312742</v>
      </c>
      <c r="AI27">
        <v>446.87894217825811</v>
      </c>
      <c r="AJ27">
        <v>435.61236969696961</v>
      </c>
      <c r="AK27">
        <v>6.5633509739189463E-3</v>
      </c>
      <c r="AL27">
        <v>67.035259593000561</v>
      </c>
      <c r="AM27">
        <f t="shared" si="26"/>
        <v>5.0959659976900831</v>
      </c>
      <c r="AN27">
        <v>30.0574247232604</v>
      </c>
      <c r="AO27">
        <v>35.954883030303023</v>
      </c>
      <c r="AP27">
        <v>-3.6048925723655321E-4</v>
      </c>
      <c r="AQ27">
        <v>78.067616524109098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50399.904617636879</v>
      </c>
      <c r="AW27" t="s">
        <v>844</v>
      </c>
      <c r="AX27">
        <v>5116.59</v>
      </c>
      <c r="AY27">
        <v>526.90294117647045</v>
      </c>
      <c r="AZ27">
        <v>2506.5</v>
      </c>
      <c r="BA27">
        <f t="shared" si="30"/>
        <v>0.78978538153741451</v>
      </c>
      <c r="BB27">
        <v>-4.2280439564527317</v>
      </c>
      <c r="BC27" t="s">
        <v>885</v>
      </c>
      <c r="BD27">
        <v>5115.16</v>
      </c>
      <c r="BE27">
        <v>716.56447058823517</v>
      </c>
      <c r="BF27">
        <v>1900.69</v>
      </c>
      <c r="BG27">
        <f t="shared" si="31"/>
        <v>0.62299771630921663</v>
      </c>
      <c r="BH27">
        <v>0.5</v>
      </c>
      <c r="BI27">
        <f t="shared" si="32"/>
        <v>168.29087062407447</v>
      </c>
      <c r="BJ27">
        <f t="shared" si="33"/>
        <v>9.0763550204969832</v>
      </c>
      <c r="BK27">
        <f t="shared" si="34"/>
        <v>52.42241403724411</v>
      </c>
      <c r="BL27">
        <f t="shared" si="35"/>
        <v>7.905597569026114E-2</v>
      </c>
      <c r="BM27">
        <f t="shared" si="36"/>
        <v>0.31873161851748572</v>
      </c>
      <c r="BN27">
        <f t="shared" si="37"/>
        <v>493.81624277087553</v>
      </c>
      <c r="BO27" t="s">
        <v>407</v>
      </c>
      <c r="BP27">
        <v>0</v>
      </c>
      <c r="BQ27">
        <f t="shared" si="38"/>
        <v>493.81624277087553</v>
      </c>
      <c r="BR27">
        <f t="shared" si="39"/>
        <v>0.74019106599662465</v>
      </c>
      <c r="BS27">
        <f t="shared" si="40"/>
        <v>0.84167148852355589</v>
      </c>
      <c r="BT27">
        <f t="shared" si="41"/>
        <v>0.30099611914890334</v>
      </c>
      <c r="BU27">
        <f t="shared" si="42"/>
        <v>0.86194255638556894</v>
      </c>
      <c r="BV27">
        <f t="shared" si="43"/>
        <v>0.30602692467124171</v>
      </c>
      <c r="BW27">
        <f t="shared" si="44"/>
        <v>0.58003301750207714</v>
      </c>
      <c r="BX27">
        <f t="shared" si="45"/>
        <v>0.41996698249792286</v>
      </c>
      <c r="DG27">
        <f t="shared" si="46"/>
        <v>199.99853333333331</v>
      </c>
      <c r="DH27">
        <f t="shared" si="47"/>
        <v>168.29087062407447</v>
      </c>
      <c r="DI27">
        <f t="shared" si="48"/>
        <v>0.84146052383088055</v>
      </c>
      <c r="DJ27">
        <f t="shared" si="49"/>
        <v>0.16241881099359939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1736192014.349999</v>
      </c>
      <c r="DQ27">
        <v>420.01756666666671</v>
      </c>
      <c r="DR27">
        <v>433.47840000000002</v>
      </c>
      <c r="DS27">
        <v>35.972076666666673</v>
      </c>
      <c r="DT27">
        <v>30.075289999999999</v>
      </c>
      <c r="DU27">
        <v>424.67259999999987</v>
      </c>
      <c r="DV27">
        <v>35.500823333333329</v>
      </c>
      <c r="DW27">
        <v>499.99839999999989</v>
      </c>
      <c r="DX27">
        <v>97.521600000000007</v>
      </c>
      <c r="DY27">
        <v>4.6383369999999993E-2</v>
      </c>
      <c r="DZ27">
        <v>33.91556666666667</v>
      </c>
      <c r="EA27">
        <v>33.270656666666667</v>
      </c>
      <c r="EB27">
        <v>999.9000000000002</v>
      </c>
      <c r="EC27">
        <v>0</v>
      </c>
      <c r="ED27">
        <v>0</v>
      </c>
      <c r="EE27">
        <v>9999</v>
      </c>
      <c r="EF27">
        <v>0</v>
      </c>
      <c r="EG27">
        <v>264.11016666666671</v>
      </c>
      <c r="EH27">
        <v>-13.46092333333333</v>
      </c>
      <c r="EI27">
        <v>435.69009999999992</v>
      </c>
      <c r="EJ27">
        <v>446.91969999999998</v>
      </c>
      <c r="EK27">
        <v>5.896790666666667</v>
      </c>
      <c r="EL27">
        <v>433.47840000000002</v>
      </c>
      <c r="EM27">
        <v>30.075289999999999</v>
      </c>
      <c r="EN27">
        <v>3.508055666666666</v>
      </c>
      <c r="EO27">
        <v>2.9329896666666659</v>
      </c>
      <c r="EP27">
        <v>26.65877333333334</v>
      </c>
      <c r="EQ27">
        <v>23.6523</v>
      </c>
      <c r="ER27">
        <v>199.99853333333331</v>
      </c>
      <c r="ES27">
        <v>0.95005469999999981</v>
      </c>
      <c r="ET27">
        <v>4.9945019999999993E-2</v>
      </c>
      <c r="EU27">
        <v>0</v>
      </c>
      <c r="EV27">
        <v>716.64279999999997</v>
      </c>
      <c r="EW27">
        <v>5.0010700000000003</v>
      </c>
      <c r="EX27">
        <v>4662.5723333333344</v>
      </c>
      <c r="EY27">
        <v>1751.8530000000001</v>
      </c>
      <c r="EZ27">
        <v>39.125</v>
      </c>
      <c r="FA27">
        <v>42.379133333333343</v>
      </c>
      <c r="FB27">
        <v>40.953799999999987</v>
      </c>
      <c r="FC27">
        <v>42.491599999999998</v>
      </c>
      <c r="FD27">
        <v>41.807866666666648</v>
      </c>
      <c r="FE27">
        <v>185.25899999999999</v>
      </c>
      <c r="FF27">
        <v>9.7366666666666664</v>
      </c>
      <c r="FG27">
        <v>0</v>
      </c>
      <c r="FH27">
        <v>143.60000014305109</v>
      </c>
      <c r="FI27">
        <v>0</v>
      </c>
      <c r="FJ27">
        <v>716.56447058823517</v>
      </c>
      <c r="FK27">
        <v>-1.287500012828698</v>
      </c>
      <c r="FL27">
        <v>-55.691176109553084</v>
      </c>
      <c r="FM27">
        <v>4661.5894117647058</v>
      </c>
      <c r="FN27">
        <v>10</v>
      </c>
      <c r="FO27">
        <v>1736191982.0999999</v>
      </c>
      <c r="FP27" t="s">
        <v>886</v>
      </c>
      <c r="FQ27">
        <v>1736191982.0999999</v>
      </c>
      <c r="FR27">
        <v>1736191967.0999999</v>
      </c>
      <c r="FS27">
        <v>30</v>
      </c>
      <c r="FT27">
        <v>9.0999999999999998E-2</v>
      </c>
      <c r="FU27">
        <v>-5.0000000000000001E-3</v>
      </c>
      <c r="FV27">
        <v>-4.6550000000000002</v>
      </c>
      <c r="FW27">
        <v>0.29099999999999998</v>
      </c>
      <c r="FX27">
        <v>434</v>
      </c>
      <c r="FY27">
        <v>30</v>
      </c>
      <c r="FZ27">
        <v>0.56999999999999995</v>
      </c>
      <c r="GA27">
        <v>0.06</v>
      </c>
      <c r="GB27">
        <v>-13.53534</v>
      </c>
      <c r="GC27">
        <v>0.53600825515949946</v>
      </c>
      <c r="GD27">
        <v>0.23124478783315289</v>
      </c>
      <c r="GE27">
        <v>1</v>
      </c>
      <c r="GF27">
        <v>716.67541176470593</v>
      </c>
      <c r="GG27">
        <v>-0.88553093958331663</v>
      </c>
      <c r="GH27">
        <v>0.17127585552295721</v>
      </c>
      <c r="GI27">
        <v>1</v>
      </c>
      <c r="GJ27">
        <v>5.9188634999999996</v>
      </c>
      <c r="GK27">
        <v>-0.28185658536585079</v>
      </c>
      <c r="GL27">
        <v>5.8186985553042657E-2</v>
      </c>
      <c r="GM27">
        <v>1</v>
      </c>
      <c r="GN27">
        <v>3</v>
      </c>
      <c r="GO27">
        <v>3</v>
      </c>
      <c r="GP27" t="s">
        <v>599</v>
      </c>
      <c r="GQ27">
        <v>3.1339700000000001</v>
      </c>
      <c r="GR27">
        <v>2.7218499999999999</v>
      </c>
      <c r="GS27">
        <v>9.1129299999999996E-2</v>
      </c>
      <c r="GT27">
        <v>9.3285400000000004E-2</v>
      </c>
      <c r="GU27">
        <v>0.14646700000000001</v>
      </c>
      <c r="GV27">
        <v>0.130885</v>
      </c>
      <c r="GW27">
        <v>22789.7</v>
      </c>
      <c r="GX27">
        <v>30610.5</v>
      </c>
      <c r="GY27">
        <v>27199.9</v>
      </c>
      <c r="GZ27">
        <v>34715.699999999997</v>
      </c>
      <c r="HA27">
        <v>33997.599999999999</v>
      </c>
      <c r="HB27">
        <v>38528.300000000003</v>
      </c>
      <c r="HC27">
        <v>40162.5</v>
      </c>
      <c r="HD27">
        <v>44412.9</v>
      </c>
      <c r="HE27">
        <v>1.9616</v>
      </c>
      <c r="HF27">
        <v>1.7609999999999999</v>
      </c>
      <c r="HG27">
        <v>3.2871999999999998E-2</v>
      </c>
      <c r="HH27">
        <v>0</v>
      </c>
      <c r="HI27">
        <v>32.762500000000003</v>
      </c>
      <c r="HJ27">
        <v>999.9</v>
      </c>
      <c r="HK27">
        <v>55.9</v>
      </c>
      <c r="HL27">
        <v>38.1</v>
      </c>
      <c r="HM27">
        <v>38.3643</v>
      </c>
      <c r="HN27">
        <v>60.011099999999999</v>
      </c>
      <c r="HO27">
        <v>7.7043299999999997</v>
      </c>
      <c r="HP27">
        <v>1</v>
      </c>
      <c r="HQ27">
        <v>0.53780499999999998</v>
      </c>
      <c r="HR27">
        <v>0</v>
      </c>
      <c r="HS27">
        <v>20.293600000000001</v>
      </c>
      <c r="HT27">
        <v>5.2088999999999999</v>
      </c>
      <c r="HU27">
        <v>11.908099999999999</v>
      </c>
      <c r="HV27">
        <v>4.9836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1.8673999999999999</v>
      </c>
      <c r="IC27">
        <v>1.86304</v>
      </c>
      <c r="ID27">
        <v>1.86249</v>
      </c>
      <c r="IE27">
        <v>1.8620000000000001</v>
      </c>
      <c r="IF27">
        <v>1.8620300000000001</v>
      </c>
      <c r="IG27">
        <v>1.8626400000000001</v>
      </c>
      <c r="IH27">
        <v>1.8635600000000001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-4.6559999999999997</v>
      </c>
      <c r="IX27">
        <v>0.47070000000000001</v>
      </c>
      <c r="IY27">
        <v>-4.6550499999999602</v>
      </c>
      <c r="IZ27">
        <v>0</v>
      </c>
      <c r="JA27">
        <v>0</v>
      </c>
      <c r="JB27">
        <v>0</v>
      </c>
      <c r="JC27">
        <v>-0.26256796671182248</v>
      </c>
      <c r="JD27">
        <v>2.7492919904454862E-4</v>
      </c>
      <c r="JE27">
        <v>8.6739513355948885E-4</v>
      </c>
      <c r="JF27">
        <v>-8.2500691715147318E-6</v>
      </c>
      <c r="JG27">
        <v>-1</v>
      </c>
      <c r="JH27">
        <v>-1</v>
      </c>
      <c r="JI27">
        <v>2</v>
      </c>
      <c r="JJ27">
        <v>37</v>
      </c>
      <c r="JK27">
        <v>0.7</v>
      </c>
      <c r="JL27">
        <v>0.9</v>
      </c>
      <c r="JM27">
        <v>1.11816</v>
      </c>
      <c r="JN27">
        <v>2.5305200000000001</v>
      </c>
      <c r="JO27">
        <v>1.50024</v>
      </c>
      <c r="JP27">
        <v>2.2692899999999998</v>
      </c>
      <c r="JQ27">
        <v>1.4477500000000001</v>
      </c>
      <c r="JR27">
        <v>2.3156699999999999</v>
      </c>
      <c r="JS27">
        <v>41.456200000000003</v>
      </c>
      <c r="JT27">
        <v>15.2003</v>
      </c>
      <c r="JU27">
        <v>18</v>
      </c>
      <c r="JV27">
        <v>541.202</v>
      </c>
      <c r="JW27">
        <v>424.803</v>
      </c>
      <c r="JX27">
        <v>33.8504</v>
      </c>
      <c r="JY27">
        <v>34.006799999999998</v>
      </c>
      <c r="JZ27">
        <v>30.000399999999999</v>
      </c>
      <c r="KA27">
        <v>33.898099999999999</v>
      </c>
      <c r="KB27">
        <v>33.8476</v>
      </c>
      <c r="KC27">
        <v>22.373699999999999</v>
      </c>
      <c r="KD27">
        <v>32.717100000000002</v>
      </c>
      <c r="KE27">
        <v>27.164200000000001</v>
      </c>
      <c r="KF27">
        <v>-999.9</v>
      </c>
      <c r="KG27">
        <v>433.66</v>
      </c>
      <c r="KH27">
        <v>30.053999999999998</v>
      </c>
      <c r="KI27">
        <v>100.38</v>
      </c>
      <c r="KJ27">
        <v>99.560599999999994</v>
      </c>
    </row>
    <row r="28" spans="1:296" x14ac:dyDescent="0.3">
      <c r="A28">
        <v>12</v>
      </c>
      <c r="B28">
        <v>1736192155.5999999</v>
      </c>
      <c r="C28">
        <v>1727.099999904633</v>
      </c>
      <c r="D28" t="s">
        <v>887</v>
      </c>
      <c r="E28" t="s">
        <v>888</v>
      </c>
      <c r="F28">
        <v>15</v>
      </c>
      <c r="H28">
        <v>1736192147.849999</v>
      </c>
      <c r="I28">
        <f t="shared" si="0"/>
        <v>4.7236682066171005E-3</v>
      </c>
      <c r="J28">
        <f t="shared" si="1"/>
        <v>4.7236682066171003</v>
      </c>
      <c r="K28">
        <f t="shared" si="2"/>
        <v>2.4037200950288415</v>
      </c>
      <c r="L28">
        <f t="shared" si="3"/>
        <v>419.98746666666671</v>
      </c>
      <c r="M28">
        <f t="shared" si="4"/>
        <v>394.61043453847947</v>
      </c>
      <c r="N28">
        <f t="shared" si="5"/>
        <v>38.499855411363647</v>
      </c>
      <c r="O28">
        <f t="shared" si="6"/>
        <v>40.975745510031246</v>
      </c>
      <c r="P28">
        <f t="shared" si="7"/>
        <v>0.28565655344673774</v>
      </c>
      <c r="Q28">
        <f t="shared" si="8"/>
        <v>2.8859047944785279</v>
      </c>
      <c r="R28">
        <f t="shared" si="9"/>
        <v>0.27082636414666877</v>
      </c>
      <c r="S28">
        <f t="shared" si="10"/>
        <v>0.17053472512933579</v>
      </c>
      <c r="T28">
        <f t="shared" si="11"/>
        <v>16.511687206958747</v>
      </c>
      <c r="U28">
        <f t="shared" si="12"/>
        <v>32.721102867638109</v>
      </c>
      <c r="V28">
        <f t="shared" si="13"/>
        <v>33.245053333333331</v>
      </c>
      <c r="W28">
        <f t="shared" si="14"/>
        <v>5.122087992620842</v>
      </c>
      <c r="X28">
        <f t="shared" si="15"/>
        <v>65.926827872459569</v>
      </c>
      <c r="Y28">
        <f t="shared" si="16"/>
        <v>3.4955568680097606</v>
      </c>
      <c r="Z28">
        <f t="shared" si="17"/>
        <v>5.3021766416126974</v>
      </c>
      <c r="AA28">
        <f t="shared" si="18"/>
        <v>1.6265311246110814</v>
      </c>
      <c r="AB28">
        <f t="shared" si="19"/>
        <v>-208.31376791181413</v>
      </c>
      <c r="AC28">
        <f t="shared" si="20"/>
        <v>96.070563607369039</v>
      </c>
      <c r="AD28">
        <f t="shared" si="21"/>
        <v>7.6654926347692465</v>
      </c>
      <c r="AE28">
        <f t="shared" si="22"/>
        <v>-88.066024462717095</v>
      </c>
      <c r="AF28">
        <f t="shared" si="23"/>
        <v>2.4037200950288415</v>
      </c>
      <c r="AG28">
        <f t="shared" si="24"/>
        <v>4.7236682066171003</v>
      </c>
      <c r="AH28">
        <f t="shared" si="25"/>
        <v>2.6006808627179692</v>
      </c>
      <c r="AI28">
        <v>438.7447741751941</v>
      </c>
      <c r="AJ28">
        <v>435.52888484848472</v>
      </c>
      <c r="AK28">
        <v>-4.8315336142896607E-4</v>
      </c>
      <c r="AL28">
        <v>67.092785445531248</v>
      </c>
      <c r="AM28">
        <f t="shared" si="26"/>
        <v>4.6846193989190512</v>
      </c>
      <c r="AN28">
        <v>30.35981798898294</v>
      </c>
      <c r="AO28">
        <v>35.809927272727258</v>
      </c>
      <c r="AP28">
        <v>-5.0456217660588849E-3</v>
      </c>
      <c r="AQ28">
        <v>78.259359223471989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50418.903858957266</v>
      </c>
      <c r="AW28" t="s">
        <v>844</v>
      </c>
      <c r="AX28">
        <v>5116.59</v>
      </c>
      <c r="AY28">
        <v>526.90294117647045</v>
      </c>
      <c r="AZ28">
        <v>2506.5</v>
      </c>
      <c r="BA28">
        <f t="shared" si="30"/>
        <v>0.78978538153741451</v>
      </c>
      <c r="BB28">
        <v>-4.2280439564527317</v>
      </c>
      <c r="BC28" t="s">
        <v>889</v>
      </c>
      <c r="BD28">
        <v>5122.1000000000004</v>
      </c>
      <c r="BE28">
        <v>709.86676470588236</v>
      </c>
      <c r="BF28">
        <v>2035.9</v>
      </c>
      <c r="BG28">
        <f t="shared" si="31"/>
        <v>0.6513253280092921</v>
      </c>
      <c r="BH28">
        <v>0.5</v>
      </c>
      <c r="BI28">
        <f t="shared" si="32"/>
        <v>84.291909263709172</v>
      </c>
      <c r="BJ28">
        <f t="shared" si="33"/>
        <v>2.4037200950288415</v>
      </c>
      <c r="BK28">
        <f t="shared" si="34"/>
        <v>27.450727724857433</v>
      </c>
      <c r="BL28">
        <f t="shared" si="35"/>
        <v>7.8676163696019125E-2</v>
      </c>
      <c r="BM28">
        <f t="shared" si="36"/>
        <v>0.23115084237929165</v>
      </c>
      <c r="BN28">
        <f t="shared" si="37"/>
        <v>502.48647699242196</v>
      </c>
      <c r="BO28" t="s">
        <v>407</v>
      </c>
      <c r="BP28">
        <v>0</v>
      </c>
      <c r="BQ28">
        <f t="shared" si="38"/>
        <v>502.48647699242196</v>
      </c>
      <c r="BR28">
        <f t="shared" si="39"/>
        <v>0.75318705388652596</v>
      </c>
      <c r="BS28">
        <f t="shared" si="40"/>
        <v>0.86475905905230788</v>
      </c>
      <c r="BT28">
        <f t="shared" si="41"/>
        <v>0.23482875469509512</v>
      </c>
      <c r="BU28">
        <f t="shared" si="42"/>
        <v>0.8787513716746026</v>
      </c>
      <c r="BV28">
        <f t="shared" si="43"/>
        <v>0.23772514608587897</v>
      </c>
      <c r="BW28">
        <f t="shared" si="44"/>
        <v>0.61212857769234164</v>
      </c>
      <c r="BX28">
        <f t="shared" si="45"/>
        <v>0.38787142230765836</v>
      </c>
      <c r="DG28">
        <f t="shared" si="46"/>
        <v>100.00800333333331</v>
      </c>
      <c r="DH28">
        <f t="shared" si="47"/>
        <v>84.291909263709172</v>
      </c>
      <c r="DI28">
        <f t="shared" si="48"/>
        <v>0.84285163641112448</v>
      </c>
      <c r="DJ28">
        <f t="shared" si="49"/>
        <v>0.16510365827347037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1736192147.849999</v>
      </c>
      <c r="DQ28">
        <v>419.98746666666671</v>
      </c>
      <c r="DR28">
        <v>425.25229999999988</v>
      </c>
      <c r="DS28">
        <v>35.828270000000003</v>
      </c>
      <c r="DT28">
        <v>30.363256666666661</v>
      </c>
      <c r="DU28">
        <v>424.6362666666667</v>
      </c>
      <c r="DV28">
        <v>35.362183333333327</v>
      </c>
      <c r="DW28">
        <v>500.0274</v>
      </c>
      <c r="DX28">
        <v>97.518119999999996</v>
      </c>
      <c r="DY28">
        <v>4.6090273333333327E-2</v>
      </c>
      <c r="DZ28">
        <v>33.862533333333332</v>
      </c>
      <c r="EA28">
        <v>33.245053333333331</v>
      </c>
      <c r="EB28">
        <v>999.9000000000002</v>
      </c>
      <c r="EC28">
        <v>0</v>
      </c>
      <c r="ED28">
        <v>0</v>
      </c>
      <c r="EE28">
        <v>10001.5</v>
      </c>
      <c r="EF28">
        <v>0</v>
      </c>
      <c r="EG28">
        <v>235.02010000000001</v>
      </c>
      <c r="EH28">
        <v>-5.2647993333333316</v>
      </c>
      <c r="EI28">
        <v>435.59399999999988</v>
      </c>
      <c r="EJ28">
        <v>438.56866666666667</v>
      </c>
      <c r="EK28">
        <v>5.4650006666666684</v>
      </c>
      <c r="EL28">
        <v>425.25229999999988</v>
      </c>
      <c r="EM28">
        <v>30.363256666666661</v>
      </c>
      <c r="EN28">
        <v>3.493905333333335</v>
      </c>
      <c r="EO28">
        <v>2.960969</v>
      </c>
      <c r="EP28">
        <v>26.59015333333334</v>
      </c>
      <c r="EQ28">
        <v>23.81003333333333</v>
      </c>
      <c r="ER28">
        <v>100.00800333333331</v>
      </c>
      <c r="ES28">
        <v>0.89991803333333309</v>
      </c>
      <c r="ET28">
        <v>0.1000820133333333</v>
      </c>
      <c r="EU28">
        <v>0</v>
      </c>
      <c r="EV28">
        <v>709.70389999999998</v>
      </c>
      <c r="EW28">
        <v>5.0010700000000003</v>
      </c>
      <c r="EX28">
        <v>3975.3086666666668</v>
      </c>
      <c r="EY28">
        <v>836.61366666666652</v>
      </c>
      <c r="EZ28">
        <v>38.780999999999992</v>
      </c>
      <c r="FA28">
        <v>42.184933333333319</v>
      </c>
      <c r="FB28">
        <v>40.697499999999977</v>
      </c>
      <c r="FC28">
        <v>42.264466666666657</v>
      </c>
      <c r="FD28">
        <v>41.539266666666663</v>
      </c>
      <c r="FE28">
        <v>85.498666666666651</v>
      </c>
      <c r="FF28">
        <v>9.5059999999999985</v>
      </c>
      <c r="FG28">
        <v>0</v>
      </c>
      <c r="FH28">
        <v>132.5999999046326</v>
      </c>
      <c r="FI28">
        <v>0</v>
      </c>
      <c r="FJ28">
        <v>709.86676470588236</v>
      </c>
      <c r="FK28">
        <v>3.200245077323252</v>
      </c>
      <c r="FL28">
        <v>37.26225316800992</v>
      </c>
      <c r="FM28">
        <v>3982.7864705882362</v>
      </c>
      <c r="FN28">
        <v>10</v>
      </c>
      <c r="FO28">
        <v>1736192118.5999999</v>
      </c>
      <c r="FP28" t="s">
        <v>890</v>
      </c>
      <c r="FQ28">
        <v>1736192109.5999999</v>
      </c>
      <c r="FR28">
        <v>1736192118.5999999</v>
      </c>
      <c r="FS28">
        <v>31</v>
      </c>
      <c r="FT28">
        <v>6.0000000000000001E-3</v>
      </c>
      <c r="FU28">
        <v>-1E-3</v>
      </c>
      <c r="FV28">
        <v>-4.649</v>
      </c>
      <c r="FW28">
        <v>0.30099999999999999</v>
      </c>
      <c r="FX28">
        <v>425</v>
      </c>
      <c r="FY28">
        <v>30</v>
      </c>
      <c r="FZ28">
        <v>1.22</v>
      </c>
      <c r="GA28">
        <v>0.06</v>
      </c>
      <c r="GB28">
        <v>-5.2924336585365852</v>
      </c>
      <c r="GC28">
        <v>0.11117268292682091</v>
      </c>
      <c r="GD28">
        <v>0.1880377751327085</v>
      </c>
      <c r="GE28">
        <v>1</v>
      </c>
      <c r="GF28">
        <v>709.36811764705885</v>
      </c>
      <c r="GG28">
        <v>5.5644614170488573</v>
      </c>
      <c r="GH28">
        <v>0.60359134815778925</v>
      </c>
      <c r="GI28">
        <v>1</v>
      </c>
      <c r="GJ28">
        <v>5.4846643902439034</v>
      </c>
      <c r="GK28">
        <v>-0.3483056445992973</v>
      </c>
      <c r="GL28">
        <v>5.1559121264852917E-2</v>
      </c>
      <c r="GM28">
        <v>1</v>
      </c>
      <c r="GN28">
        <v>3</v>
      </c>
      <c r="GO28">
        <v>3</v>
      </c>
      <c r="GP28" t="s">
        <v>599</v>
      </c>
      <c r="GQ28">
        <v>3.1335799999999998</v>
      </c>
      <c r="GR28">
        <v>2.7215199999999999</v>
      </c>
      <c r="GS28">
        <v>9.1124399999999994E-2</v>
      </c>
      <c r="GT28">
        <v>9.1935100000000006E-2</v>
      </c>
      <c r="GU28">
        <v>0.14605499999999999</v>
      </c>
      <c r="GV28">
        <v>0.13178899999999999</v>
      </c>
      <c r="GW28">
        <v>22786.799999999999</v>
      </c>
      <c r="GX28">
        <v>30654</v>
      </c>
      <c r="GY28">
        <v>27196.6</v>
      </c>
      <c r="GZ28">
        <v>34713.599999999999</v>
      </c>
      <c r="HA28">
        <v>34010.5</v>
      </c>
      <c r="HB28">
        <v>38486.400000000001</v>
      </c>
      <c r="HC28">
        <v>40157.800000000003</v>
      </c>
      <c r="HD28">
        <v>44410.8</v>
      </c>
      <c r="HE28">
        <v>1.9616</v>
      </c>
      <c r="HF28">
        <v>1.7596000000000001</v>
      </c>
      <c r="HG28">
        <v>3.3229599999999998E-2</v>
      </c>
      <c r="HH28">
        <v>0</v>
      </c>
      <c r="HI28">
        <v>32.713000000000001</v>
      </c>
      <c r="HJ28">
        <v>999.9</v>
      </c>
      <c r="HK28">
        <v>55.5</v>
      </c>
      <c r="HL28">
        <v>38.200000000000003</v>
      </c>
      <c r="HM28">
        <v>38.2973</v>
      </c>
      <c r="HN28">
        <v>59.581099999999999</v>
      </c>
      <c r="HO28">
        <v>7.8084899999999999</v>
      </c>
      <c r="HP28">
        <v>1</v>
      </c>
      <c r="HQ28">
        <v>0.54284600000000005</v>
      </c>
      <c r="HR28">
        <v>0</v>
      </c>
      <c r="HS28">
        <v>20.2943</v>
      </c>
      <c r="HT28">
        <v>5.2100999999999997</v>
      </c>
      <c r="HU28">
        <v>11.908099999999999</v>
      </c>
      <c r="HV28">
        <v>4.9808000000000003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1.8629500000000001</v>
      </c>
      <c r="ID28">
        <v>1.86249</v>
      </c>
      <c r="IE28">
        <v>1.8619699999999999</v>
      </c>
      <c r="IF28">
        <v>1.8620300000000001</v>
      </c>
      <c r="IG28">
        <v>1.8626400000000001</v>
      </c>
      <c r="IH28">
        <v>1.8634999999999999</v>
      </c>
      <c r="II28">
        <v>1.86151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-4.649</v>
      </c>
      <c r="IX28">
        <v>0.46550000000000002</v>
      </c>
      <c r="IY28">
        <v>-4.6487500000000068</v>
      </c>
      <c r="IZ28">
        <v>0</v>
      </c>
      <c r="JA28">
        <v>0</v>
      </c>
      <c r="JB28">
        <v>0</v>
      </c>
      <c r="JC28">
        <v>-0.26348899393412129</v>
      </c>
      <c r="JD28">
        <v>2.7492919904454862E-4</v>
      </c>
      <c r="JE28">
        <v>8.6739513355948885E-4</v>
      </c>
      <c r="JF28">
        <v>-8.2500691715147318E-6</v>
      </c>
      <c r="JG28">
        <v>-1</v>
      </c>
      <c r="JH28">
        <v>-1</v>
      </c>
      <c r="JI28">
        <v>2</v>
      </c>
      <c r="JJ28">
        <v>37</v>
      </c>
      <c r="JK28">
        <v>0.8</v>
      </c>
      <c r="JL28">
        <v>0.6</v>
      </c>
      <c r="JM28">
        <v>1.10107</v>
      </c>
      <c r="JN28">
        <v>2.52075</v>
      </c>
      <c r="JO28">
        <v>1.50024</v>
      </c>
      <c r="JP28">
        <v>2.2692899999999998</v>
      </c>
      <c r="JQ28">
        <v>1.4477500000000001</v>
      </c>
      <c r="JR28">
        <v>2.4499499999999999</v>
      </c>
      <c r="JS28">
        <v>41.508299999999998</v>
      </c>
      <c r="JT28">
        <v>15.2003</v>
      </c>
      <c r="JU28">
        <v>18</v>
      </c>
      <c r="JV28">
        <v>541.62699999999995</v>
      </c>
      <c r="JW28">
        <v>424.28699999999998</v>
      </c>
      <c r="JX28">
        <v>33.836399999999998</v>
      </c>
      <c r="JY28">
        <v>34.058999999999997</v>
      </c>
      <c r="JZ28">
        <v>30.0001</v>
      </c>
      <c r="KA28">
        <v>33.949800000000003</v>
      </c>
      <c r="KB28">
        <v>33.899099999999997</v>
      </c>
      <c r="KC28">
        <v>22.032800000000002</v>
      </c>
      <c r="KD28">
        <v>31.9437</v>
      </c>
      <c r="KE28">
        <v>25.754799999999999</v>
      </c>
      <c r="KF28">
        <v>-999.9</v>
      </c>
      <c r="KG28">
        <v>425.37200000000001</v>
      </c>
      <c r="KH28">
        <v>30.423500000000001</v>
      </c>
      <c r="KI28">
        <v>100.36799999999999</v>
      </c>
      <c r="KJ28">
        <v>99.555400000000006</v>
      </c>
    </row>
    <row r="29" spans="1:296" x14ac:dyDescent="0.3">
      <c r="A29">
        <v>13</v>
      </c>
      <c r="B29">
        <v>1736192302.0999999</v>
      </c>
      <c r="C29">
        <v>1873.599999904633</v>
      </c>
      <c r="D29" t="s">
        <v>891</v>
      </c>
      <c r="E29" t="s">
        <v>892</v>
      </c>
      <c r="F29">
        <v>15</v>
      </c>
      <c r="H29">
        <v>1736192294.099999</v>
      </c>
      <c r="I29">
        <f t="shared" si="0"/>
        <v>4.4013524016300633E-3</v>
      </c>
      <c r="J29">
        <f t="shared" si="1"/>
        <v>4.4013524016300636</v>
      </c>
      <c r="K29">
        <f t="shared" si="2"/>
        <v>-0.74545036028143297</v>
      </c>
      <c r="L29">
        <f t="shared" si="3"/>
        <v>419.88106451612902</v>
      </c>
      <c r="M29">
        <f t="shared" si="4"/>
        <v>413.09544808618631</v>
      </c>
      <c r="N29">
        <f t="shared" si="5"/>
        <v>40.306126388065721</v>
      </c>
      <c r="O29">
        <f t="shared" si="6"/>
        <v>40.968205611434804</v>
      </c>
      <c r="P29">
        <f t="shared" si="7"/>
        <v>0.26773253017188303</v>
      </c>
      <c r="Q29">
        <f t="shared" si="8"/>
        <v>2.8883941284080406</v>
      </c>
      <c r="R29">
        <f t="shared" si="9"/>
        <v>0.25466997428895105</v>
      </c>
      <c r="S29">
        <f t="shared" si="10"/>
        <v>0.16028922914665378</v>
      </c>
      <c r="T29">
        <f t="shared" si="11"/>
        <v>8.2409464856634393</v>
      </c>
      <c r="U29">
        <f t="shared" si="12"/>
        <v>32.591156744155533</v>
      </c>
      <c r="V29">
        <f t="shared" si="13"/>
        <v>33.106945161290326</v>
      </c>
      <c r="W29">
        <f t="shared" si="14"/>
        <v>5.0825448254980667</v>
      </c>
      <c r="X29">
        <f t="shared" si="15"/>
        <v>66.058154749021</v>
      </c>
      <c r="Y29">
        <f t="shared" si="16"/>
        <v>3.4701737952476694</v>
      </c>
      <c r="Z29">
        <f t="shared" si="17"/>
        <v>5.2532103090558975</v>
      </c>
      <c r="AA29">
        <f t="shared" si="18"/>
        <v>1.6123710302503973</v>
      </c>
      <c r="AB29">
        <f t="shared" si="19"/>
        <v>-194.09964091188579</v>
      </c>
      <c r="AC29">
        <f t="shared" si="20"/>
        <v>91.799928193646565</v>
      </c>
      <c r="AD29">
        <f t="shared" si="21"/>
        <v>7.307537233056701</v>
      </c>
      <c r="AE29">
        <f t="shared" si="22"/>
        <v>-86.751228999519071</v>
      </c>
      <c r="AF29">
        <f t="shared" si="23"/>
        <v>-0.74545036028143297</v>
      </c>
      <c r="AG29">
        <f t="shared" si="24"/>
        <v>4.4013524016300636</v>
      </c>
      <c r="AH29">
        <f t="shared" si="25"/>
        <v>-0.76224371762598553</v>
      </c>
      <c r="AI29">
        <v>434.55845533456147</v>
      </c>
      <c r="AJ29">
        <v>435.44053333333329</v>
      </c>
      <c r="AK29">
        <v>1.1951514907142439E-2</v>
      </c>
      <c r="AL29">
        <v>67.095120290171067</v>
      </c>
      <c r="AM29">
        <f t="shared" si="26"/>
        <v>4.3486089836203243</v>
      </c>
      <c r="AN29">
        <v>30.492427306123069</v>
      </c>
      <c r="AO29">
        <v>35.534921818181843</v>
      </c>
      <c r="AP29">
        <v>-1.6554334275748731E-3</v>
      </c>
      <c r="AQ29">
        <v>78.254004218330635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50515.589009631789</v>
      </c>
      <c r="AW29" t="s">
        <v>844</v>
      </c>
      <c r="AX29">
        <v>5116.59</v>
      </c>
      <c r="AY29">
        <v>526.90294117647045</v>
      </c>
      <c r="AZ29">
        <v>2506.5</v>
      </c>
      <c r="BA29">
        <f t="shared" si="30"/>
        <v>0.78978538153741451</v>
      </c>
      <c r="BB29">
        <v>-4.2280439564527317</v>
      </c>
      <c r="BC29" t="s">
        <v>893</v>
      </c>
      <c r="BD29">
        <v>5118.38</v>
      </c>
      <c r="BE29">
        <v>692.76800000000003</v>
      </c>
      <c r="BF29">
        <v>2179.4299999999998</v>
      </c>
      <c r="BG29">
        <f t="shared" si="31"/>
        <v>0.68213340185277804</v>
      </c>
      <c r="BH29">
        <v>0.5</v>
      </c>
      <c r="BI29">
        <f t="shared" si="32"/>
        <v>42.137184199491337</v>
      </c>
      <c r="BJ29">
        <f t="shared" si="33"/>
        <v>-0.74545036028143297</v>
      </c>
      <c r="BK29">
        <f t="shared" si="34"/>
        <v>14.371590401248076</v>
      </c>
      <c r="BL29">
        <f t="shared" si="35"/>
        <v>8.2648939703316465E-2</v>
      </c>
      <c r="BM29">
        <f t="shared" si="36"/>
        <v>0.1500713489306838</v>
      </c>
      <c r="BN29">
        <f t="shared" si="37"/>
        <v>510.78898337458355</v>
      </c>
      <c r="BO29" t="s">
        <v>407</v>
      </c>
      <c r="BP29">
        <v>0</v>
      </c>
      <c r="BQ29">
        <f t="shared" si="38"/>
        <v>510.78898337458355</v>
      </c>
      <c r="BR29">
        <f t="shared" si="39"/>
        <v>0.76563184714600441</v>
      </c>
      <c r="BS29">
        <f t="shared" si="40"/>
        <v>0.89094178147829384</v>
      </c>
      <c r="BT29">
        <f t="shared" si="41"/>
        <v>0.16388645313641084</v>
      </c>
      <c r="BU29">
        <f t="shared" si="42"/>
        <v>0.89962944452987503</v>
      </c>
      <c r="BV29">
        <f t="shared" si="43"/>
        <v>0.16522049198960581</v>
      </c>
      <c r="BW29">
        <f t="shared" si="44"/>
        <v>0.65690569831060042</v>
      </c>
      <c r="BX29">
        <f t="shared" si="45"/>
        <v>0.34309430168939958</v>
      </c>
      <c r="DG29">
        <f t="shared" si="46"/>
        <v>50.00261290322581</v>
      </c>
      <c r="DH29">
        <f t="shared" si="47"/>
        <v>42.137184199491337</v>
      </c>
      <c r="DI29">
        <f t="shared" si="48"/>
        <v>0.84269964613735104</v>
      </c>
      <c r="DJ29">
        <f t="shared" si="49"/>
        <v>0.1648103170450877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1736192294.099999</v>
      </c>
      <c r="DQ29">
        <v>419.88106451612902</v>
      </c>
      <c r="DR29">
        <v>421.2040967741936</v>
      </c>
      <c r="DS29">
        <v>35.565635483870963</v>
      </c>
      <c r="DT29">
        <v>30.472167741935479</v>
      </c>
      <c r="DU29">
        <v>424.46790322580648</v>
      </c>
      <c r="DV29">
        <v>35.110974193548387</v>
      </c>
      <c r="DW29">
        <v>500.03051612903232</v>
      </c>
      <c r="DX29">
        <v>97.524512903225812</v>
      </c>
      <c r="DY29">
        <v>4.6463912903225803E-2</v>
      </c>
      <c r="DZ29">
        <v>33.696467741935493</v>
      </c>
      <c r="EA29">
        <v>33.106945161290326</v>
      </c>
      <c r="EB29">
        <v>999.90000000000032</v>
      </c>
      <c r="EC29">
        <v>0</v>
      </c>
      <c r="ED29">
        <v>0</v>
      </c>
      <c r="EE29">
        <v>10015.16129032258</v>
      </c>
      <c r="EF29">
        <v>0</v>
      </c>
      <c r="EG29">
        <v>242.8428709677419</v>
      </c>
      <c r="EH29">
        <v>-1.32314</v>
      </c>
      <c r="EI29">
        <v>435.36496774193552</v>
      </c>
      <c r="EJ29">
        <v>434.44254838709679</v>
      </c>
      <c r="EK29">
        <v>5.093473548387097</v>
      </c>
      <c r="EL29">
        <v>421.2040967741936</v>
      </c>
      <c r="EM29">
        <v>30.472167741935479</v>
      </c>
      <c r="EN29">
        <v>3.4685229032258071</v>
      </c>
      <c r="EO29">
        <v>2.971782580645161</v>
      </c>
      <c r="EP29">
        <v>26.466451612903221</v>
      </c>
      <c r="EQ29">
        <v>23.87065483870968</v>
      </c>
      <c r="ER29">
        <v>50.00261290322581</v>
      </c>
      <c r="ES29">
        <v>0.90006899999999956</v>
      </c>
      <c r="ET29">
        <v>9.9931499999999965E-2</v>
      </c>
      <c r="EU29">
        <v>0</v>
      </c>
      <c r="EV29">
        <v>692.63322580645149</v>
      </c>
      <c r="EW29">
        <v>5.0010700000000003</v>
      </c>
      <c r="EX29">
        <v>3584.3335483870969</v>
      </c>
      <c r="EY29">
        <v>396.2997096774194</v>
      </c>
      <c r="EZ29">
        <v>38.45732258064514</v>
      </c>
      <c r="FA29">
        <v>41.918999999999997</v>
      </c>
      <c r="FB29">
        <v>40.434999999999981</v>
      </c>
      <c r="FC29">
        <v>42.02</v>
      </c>
      <c r="FD29">
        <v>41.239838709677407</v>
      </c>
      <c r="FE29">
        <v>40.505483870967737</v>
      </c>
      <c r="FF29">
        <v>4.5</v>
      </c>
      <c r="FG29">
        <v>0</v>
      </c>
      <c r="FH29">
        <v>145.89999985694891</v>
      </c>
      <c r="FI29">
        <v>0</v>
      </c>
      <c r="FJ29">
        <v>692.76800000000003</v>
      </c>
      <c r="FK29">
        <v>1.8124999925041809</v>
      </c>
      <c r="FL29">
        <v>48.058823485970471</v>
      </c>
      <c r="FM29">
        <v>3590.418235294117</v>
      </c>
      <c r="FN29">
        <v>10</v>
      </c>
      <c r="FO29">
        <v>1736192260.5999999</v>
      </c>
      <c r="FP29" t="s">
        <v>894</v>
      </c>
      <c r="FQ29">
        <v>1736192248.5999999</v>
      </c>
      <c r="FR29">
        <v>1736192260.5999999</v>
      </c>
      <c r="FS29">
        <v>32</v>
      </c>
      <c r="FT29">
        <v>6.2E-2</v>
      </c>
      <c r="FU29">
        <v>-4.0000000000000001E-3</v>
      </c>
      <c r="FV29">
        <v>-4.5869999999999997</v>
      </c>
      <c r="FW29">
        <v>0.30599999999999999</v>
      </c>
      <c r="FX29">
        <v>421</v>
      </c>
      <c r="FY29">
        <v>31</v>
      </c>
      <c r="FZ29">
        <v>1.66</v>
      </c>
      <c r="GA29">
        <v>0.06</v>
      </c>
      <c r="GB29">
        <v>-1.2805787500000001</v>
      </c>
      <c r="GC29">
        <v>-0.92930442776735211</v>
      </c>
      <c r="GD29">
        <v>0.14726493955092471</v>
      </c>
      <c r="GE29">
        <v>1</v>
      </c>
      <c r="GF29">
        <v>692.57788235294106</v>
      </c>
      <c r="GG29">
        <v>1.322780745839621</v>
      </c>
      <c r="GH29">
        <v>0.21180634394569059</v>
      </c>
      <c r="GI29">
        <v>1</v>
      </c>
      <c r="GJ29">
        <v>5.1041270000000001</v>
      </c>
      <c r="GK29">
        <v>-0.24144562851783011</v>
      </c>
      <c r="GL29">
        <v>3.2187858207715581E-2</v>
      </c>
      <c r="GM29">
        <v>1</v>
      </c>
      <c r="GN29">
        <v>3</v>
      </c>
      <c r="GO29">
        <v>3</v>
      </c>
      <c r="GP29" t="s">
        <v>599</v>
      </c>
      <c r="GQ29">
        <v>3.1347200000000002</v>
      </c>
      <c r="GR29">
        <v>2.72187</v>
      </c>
      <c r="GS29">
        <v>9.1112200000000004E-2</v>
      </c>
      <c r="GT29">
        <v>9.1234800000000005E-2</v>
      </c>
      <c r="GU29">
        <v>0.14532999999999999</v>
      </c>
      <c r="GV29">
        <v>0.13222900000000001</v>
      </c>
      <c r="GW29">
        <v>22785.5</v>
      </c>
      <c r="GX29">
        <v>30676.1</v>
      </c>
      <c r="GY29">
        <v>27194.9</v>
      </c>
      <c r="GZ29">
        <v>34712.1</v>
      </c>
      <c r="HA29">
        <v>34037.699999999997</v>
      </c>
      <c r="HB29">
        <v>38467.800000000003</v>
      </c>
      <c r="HC29">
        <v>40155.4</v>
      </c>
      <c r="HD29">
        <v>44411.7</v>
      </c>
      <c r="HE29">
        <v>1.9612000000000001</v>
      </c>
      <c r="HF29">
        <v>1.7585999999999999</v>
      </c>
      <c r="HG29">
        <v>3.43621E-2</v>
      </c>
      <c r="HH29">
        <v>0</v>
      </c>
      <c r="HI29">
        <v>32.547600000000003</v>
      </c>
      <c r="HJ29">
        <v>999.9</v>
      </c>
      <c r="HK29">
        <v>55.1</v>
      </c>
      <c r="HL29">
        <v>38.299999999999997</v>
      </c>
      <c r="HM29">
        <v>38.228000000000002</v>
      </c>
      <c r="HN29">
        <v>59.641100000000002</v>
      </c>
      <c r="HO29">
        <v>7.7924699999999998</v>
      </c>
      <c r="HP29">
        <v>1</v>
      </c>
      <c r="HQ29">
        <v>0.54654499999999995</v>
      </c>
      <c r="HR29">
        <v>0</v>
      </c>
      <c r="HS29">
        <v>20.295200000000001</v>
      </c>
      <c r="HT29">
        <v>5.2100999999999997</v>
      </c>
      <c r="HU29">
        <v>11.908099999999999</v>
      </c>
      <c r="HV29">
        <v>4.9847999999999999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1.8673999999999999</v>
      </c>
      <c r="IC29">
        <v>1.86307</v>
      </c>
      <c r="ID29">
        <v>1.86249</v>
      </c>
      <c r="IE29">
        <v>1.8620300000000001</v>
      </c>
      <c r="IF29">
        <v>1.8620300000000001</v>
      </c>
      <c r="IG29">
        <v>1.8626400000000001</v>
      </c>
      <c r="IH29">
        <v>1.8635600000000001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-4.5869999999999997</v>
      </c>
      <c r="IX29">
        <v>0.4541</v>
      </c>
      <c r="IY29">
        <v>-4.5868095238095066</v>
      </c>
      <c r="IZ29">
        <v>0</v>
      </c>
      <c r="JA29">
        <v>0</v>
      </c>
      <c r="JB29">
        <v>0</v>
      </c>
      <c r="JC29">
        <v>-0.26718908631953409</v>
      </c>
      <c r="JD29">
        <v>2.7492919904454862E-4</v>
      </c>
      <c r="JE29">
        <v>8.6739513355948885E-4</v>
      </c>
      <c r="JF29">
        <v>-8.2500691715147318E-6</v>
      </c>
      <c r="JG29">
        <v>-1</v>
      </c>
      <c r="JH29">
        <v>-1</v>
      </c>
      <c r="JI29">
        <v>2</v>
      </c>
      <c r="JJ29">
        <v>37</v>
      </c>
      <c r="JK29">
        <v>0.9</v>
      </c>
      <c r="JL29">
        <v>0.7</v>
      </c>
      <c r="JM29">
        <v>1.09253</v>
      </c>
      <c r="JN29">
        <v>2.5268600000000001</v>
      </c>
      <c r="JO29">
        <v>1.50024</v>
      </c>
      <c r="JP29">
        <v>2.2692899999999998</v>
      </c>
      <c r="JQ29">
        <v>1.4477500000000001</v>
      </c>
      <c r="JR29">
        <v>2.34863</v>
      </c>
      <c r="JS29">
        <v>41.534399999999998</v>
      </c>
      <c r="JT29">
        <v>15.173999999999999</v>
      </c>
      <c r="JU29">
        <v>18</v>
      </c>
      <c r="JV29">
        <v>541.68600000000004</v>
      </c>
      <c r="JW29">
        <v>423.93400000000003</v>
      </c>
      <c r="JX29">
        <v>33.764099999999999</v>
      </c>
      <c r="JY29">
        <v>34.0959</v>
      </c>
      <c r="JZ29">
        <v>30.0001</v>
      </c>
      <c r="KA29">
        <v>33.989400000000003</v>
      </c>
      <c r="KB29">
        <v>33.938499999999998</v>
      </c>
      <c r="KC29">
        <v>21.861899999999999</v>
      </c>
      <c r="KD29">
        <v>31.3001</v>
      </c>
      <c r="KE29">
        <v>24.516200000000001</v>
      </c>
      <c r="KF29">
        <v>-999.9</v>
      </c>
      <c r="KG29">
        <v>421.202</v>
      </c>
      <c r="KH29">
        <v>30.5654</v>
      </c>
      <c r="KI29">
        <v>100.36199999999999</v>
      </c>
      <c r="KJ29">
        <v>99.554699999999997</v>
      </c>
    </row>
    <row r="30" spans="1:296" x14ac:dyDescent="0.3">
      <c r="A30">
        <v>14</v>
      </c>
      <c r="B30">
        <v>1736192451.5999999</v>
      </c>
      <c r="C30">
        <v>2023.099999904633</v>
      </c>
      <c r="D30" t="s">
        <v>895</v>
      </c>
      <c r="E30" t="s">
        <v>896</v>
      </c>
      <c r="F30">
        <v>15</v>
      </c>
      <c r="H30">
        <v>1736192443.599999</v>
      </c>
      <c r="I30">
        <f t="shared" si="0"/>
        <v>4.1742052034389908E-3</v>
      </c>
      <c r="J30">
        <f t="shared" si="1"/>
        <v>4.1742052034389907</v>
      </c>
      <c r="K30">
        <f t="shared" si="2"/>
        <v>-1.9317083723058102</v>
      </c>
      <c r="L30">
        <f t="shared" si="3"/>
        <v>419.9217741935484</v>
      </c>
      <c r="M30">
        <f t="shared" si="4"/>
        <v>421.08888973391504</v>
      </c>
      <c r="N30">
        <f t="shared" si="5"/>
        <v>41.088315744772842</v>
      </c>
      <c r="O30">
        <f t="shared" si="6"/>
        <v>40.974432873478101</v>
      </c>
      <c r="P30">
        <f t="shared" si="7"/>
        <v>0.25187983552628035</v>
      </c>
      <c r="Q30">
        <f t="shared" si="8"/>
        <v>2.8864699097438082</v>
      </c>
      <c r="R30">
        <f t="shared" si="9"/>
        <v>0.24027502613974194</v>
      </c>
      <c r="S30">
        <f t="shared" si="10"/>
        <v>0.15116997541951741</v>
      </c>
      <c r="T30">
        <f t="shared" si="11"/>
        <v>4.9298868930956177</v>
      </c>
      <c r="U30">
        <f t="shared" si="12"/>
        <v>32.548549930702542</v>
      </c>
      <c r="V30">
        <f t="shared" si="13"/>
        <v>33.064287096774201</v>
      </c>
      <c r="W30">
        <f t="shared" si="14"/>
        <v>5.0703847697741802</v>
      </c>
      <c r="X30">
        <f t="shared" si="15"/>
        <v>65.960432005716356</v>
      </c>
      <c r="Y30">
        <f t="shared" si="16"/>
        <v>3.4492325956138257</v>
      </c>
      <c r="Z30">
        <f t="shared" si="17"/>
        <v>5.229245004512558</v>
      </c>
      <c r="AA30">
        <f t="shared" si="18"/>
        <v>1.6211521741603545</v>
      </c>
      <c r="AB30">
        <f t="shared" si="19"/>
        <v>-184.08244947165949</v>
      </c>
      <c r="AC30">
        <f t="shared" si="20"/>
        <v>85.652705262271354</v>
      </c>
      <c r="AD30">
        <f t="shared" si="21"/>
        <v>6.8185900154348413</v>
      </c>
      <c r="AE30">
        <f t="shared" si="22"/>
        <v>-86.681267300857684</v>
      </c>
      <c r="AF30">
        <f t="shared" si="23"/>
        <v>-1.9317083723058102</v>
      </c>
      <c r="AG30">
        <f t="shared" si="24"/>
        <v>4.1742052034389907</v>
      </c>
      <c r="AH30">
        <f t="shared" si="25"/>
        <v>-2.0900429226368229</v>
      </c>
      <c r="AI30">
        <v>432.94507254921967</v>
      </c>
      <c r="AJ30">
        <v>435.4061636363636</v>
      </c>
      <c r="AK30">
        <v>2.454351547353114E-2</v>
      </c>
      <c r="AL30">
        <v>67.092048104638749</v>
      </c>
      <c r="AM30">
        <f t="shared" si="26"/>
        <v>4.1311603287557812</v>
      </c>
      <c r="AN30">
        <v>30.49320706839827</v>
      </c>
      <c r="AO30">
        <v>35.316563636363647</v>
      </c>
      <c r="AP30">
        <v>-6.8216623376459746E-3</v>
      </c>
      <c r="AQ30">
        <v>78.55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50475.626610041429</v>
      </c>
      <c r="AW30" t="s">
        <v>844</v>
      </c>
      <c r="AX30">
        <v>5116.59</v>
      </c>
      <c r="AY30">
        <v>526.90294117647045</v>
      </c>
      <c r="AZ30">
        <v>2506.5</v>
      </c>
      <c r="BA30">
        <f t="shared" si="30"/>
        <v>0.78978538153741451</v>
      </c>
      <c r="BB30">
        <v>-4.2280439564527317</v>
      </c>
      <c r="BC30" t="s">
        <v>897</v>
      </c>
      <c r="BD30">
        <v>5117.21</v>
      </c>
      <c r="BE30">
        <v>678.29635294117645</v>
      </c>
      <c r="BF30">
        <v>2274.58</v>
      </c>
      <c r="BG30">
        <f t="shared" si="31"/>
        <v>0.70179270329415688</v>
      </c>
      <c r="BH30">
        <v>0.5</v>
      </c>
      <c r="BI30">
        <f t="shared" si="32"/>
        <v>25.259887465250944</v>
      </c>
      <c r="BJ30">
        <f t="shared" si="33"/>
        <v>-1.9317083723058102</v>
      </c>
      <c r="BK30">
        <f t="shared" si="34"/>
        <v>8.8636023545723237</v>
      </c>
      <c r="BL30">
        <f t="shared" si="35"/>
        <v>9.0908385372100414E-2</v>
      </c>
      <c r="BM30">
        <f t="shared" si="36"/>
        <v>0.10196168083778108</v>
      </c>
      <c r="BN30">
        <f t="shared" si="37"/>
        <v>515.84637466574407</v>
      </c>
      <c r="BO30" t="s">
        <v>407</v>
      </c>
      <c r="BP30">
        <v>0</v>
      </c>
      <c r="BQ30">
        <f t="shared" si="38"/>
        <v>515.84637466574407</v>
      </c>
      <c r="BR30">
        <f t="shared" si="39"/>
        <v>0.77321247233962132</v>
      </c>
      <c r="BS30">
        <f t="shared" si="40"/>
        <v>0.90763241463325184</v>
      </c>
      <c r="BT30">
        <f t="shared" si="41"/>
        <v>0.11650444710644112</v>
      </c>
      <c r="BU30">
        <f t="shared" si="42"/>
        <v>0.9133744927300137</v>
      </c>
      <c r="BV30">
        <f t="shared" si="43"/>
        <v>0.11715515486663212</v>
      </c>
      <c r="BW30">
        <f t="shared" si="44"/>
        <v>0.69025712520421256</v>
      </c>
      <c r="BX30">
        <f t="shared" si="45"/>
        <v>0.30974287479578744</v>
      </c>
      <c r="DG30">
        <f t="shared" si="46"/>
        <v>29.982003225806451</v>
      </c>
      <c r="DH30">
        <f t="shared" si="47"/>
        <v>25.259887465250944</v>
      </c>
      <c r="DI30">
        <f t="shared" si="48"/>
        <v>0.84250165924566933</v>
      </c>
      <c r="DJ30">
        <f t="shared" si="49"/>
        <v>0.16442820234414188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1736192443.599999</v>
      </c>
      <c r="DQ30">
        <v>419.9217741935484</v>
      </c>
      <c r="DR30">
        <v>419.70712903225808</v>
      </c>
      <c r="DS30">
        <v>35.349064516129033</v>
      </c>
      <c r="DT30">
        <v>30.517022580645161</v>
      </c>
      <c r="DU30">
        <v>424.53877419354842</v>
      </c>
      <c r="DV30">
        <v>34.898987096774192</v>
      </c>
      <c r="DW30">
        <v>499.99370967741942</v>
      </c>
      <c r="DX30">
        <v>97.529825806451626</v>
      </c>
      <c r="DY30">
        <v>4.6521483870967738E-2</v>
      </c>
      <c r="DZ30">
        <v>33.614699999999999</v>
      </c>
      <c r="EA30">
        <v>33.064287096774201</v>
      </c>
      <c r="EB30">
        <v>999.90000000000032</v>
      </c>
      <c r="EC30">
        <v>0</v>
      </c>
      <c r="ED30">
        <v>0</v>
      </c>
      <c r="EE30">
        <v>10003.548387096769</v>
      </c>
      <c r="EF30">
        <v>0</v>
      </c>
      <c r="EG30">
        <v>261.59399999999999</v>
      </c>
      <c r="EH30">
        <v>0.21464983548387101</v>
      </c>
      <c r="EI30">
        <v>435.30941935483872</v>
      </c>
      <c r="EJ30">
        <v>432.91851612903218</v>
      </c>
      <c r="EK30">
        <v>4.832043870967742</v>
      </c>
      <c r="EL30">
        <v>419.70712903225808</v>
      </c>
      <c r="EM30">
        <v>30.517022580645161</v>
      </c>
      <c r="EN30">
        <v>3.4475880645161281</v>
      </c>
      <c r="EO30">
        <v>2.9763199999999999</v>
      </c>
      <c r="EP30">
        <v>26.363825806451601</v>
      </c>
      <c r="EQ30">
        <v>23.89602903225807</v>
      </c>
      <c r="ER30">
        <v>29.982003225806451</v>
      </c>
      <c r="ES30">
        <v>0.89985112903225795</v>
      </c>
      <c r="ET30">
        <v>0.10014878387096771</v>
      </c>
      <c r="EU30">
        <v>0</v>
      </c>
      <c r="EV30">
        <v>678.3625161290322</v>
      </c>
      <c r="EW30">
        <v>5.0010700000000003</v>
      </c>
      <c r="EX30">
        <v>3724.0322580645161</v>
      </c>
      <c r="EY30">
        <v>219.97200000000001</v>
      </c>
      <c r="EZ30">
        <v>38.186999999999983</v>
      </c>
      <c r="FA30">
        <v>41.674999999999983</v>
      </c>
      <c r="FB30">
        <v>40.158999999999978</v>
      </c>
      <c r="FC30">
        <v>41.811999999999983</v>
      </c>
      <c r="FD30">
        <v>40.971548387096753</v>
      </c>
      <c r="FE30">
        <v>22.47903225806451</v>
      </c>
      <c r="FF30">
        <v>2.5</v>
      </c>
      <c r="FG30">
        <v>0</v>
      </c>
      <c r="FH30">
        <v>149.20000004768369</v>
      </c>
      <c r="FI30">
        <v>0</v>
      </c>
      <c r="FJ30">
        <v>678.29635294117645</v>
      </c>
      <c r="FK30">
        <v>1.819607887521189</v>
      </c>
      <c r="FL30">
        <v>46.654412460563428</v>
      </c>
      <c r="FM30">
        <v>3740.4594117647061</v>
      </c>
      <c r="FN30">
        <v>10</v>
      </c>
      <c r="FO30">
        <v>1736192409.0999999</v>
      </c>
      <c r="FP30" t="s">
        <v>898</v>
      </c>
      <c r="FQ30">
        <v>1736192393.5999999</v>
      </c>
      <c r="FR30">
        <v>1736192409.0999999</v>
      </c>
      <c r="FS30">
        <v>33</v>
      </c>
      <c r="FT30">
        <v>-0.03</v>
      </c>
      <c r="FU30">
        <v>2E-3</v>
      </c>
      <c r="FV30">
        <v>-4.617</v>
      </c>
      <c r="FW30">
        <v>0.309</v>
      </c>
      <c r="FX30">
        <v>419</v>
      </c>
      <c r="FY30">
        <v>31</v>
      </c>
      <c r="FZ30">
        <v>1.5</v>
      </c>
      <c r="GA30">
        <v>0.08</v>
      </c>
      <c r="GB30">
        <v>0.26978060731707321</v>
      </c>
      <c r="GC30">
        <v>-0.94096696933797841</v>
      </c>
      <c r="GD30">
        <v>0.17237067745281151</v>
      </c>
      <c r="GE30">
        <v>1</v>
      </c>
      <c r="GF30">
        <v>678.45291176470596</v>
      </c>
      <c r="GG30">
        <v>-1.248693654094432</v>
      </c>
      <c r="GH30">
        <v>0.28103991423106339</v>
      </c>
      <c r="GI30">
        <v>1</v>
      </c>
      <c r="GJ30">
        <v>4.8365299999999998</v>
      </c>
      <c r="GK30">
        <v>-5.143024390242544E-2</v>
      </c>
      <c r="GL30">
        <v>1.3628457672700361E-2</v>
      </c>
      <c r="GM30">
        <v>1</v>
      </c>
      <c r="GN30">
        <v>3</v>
      </c>
      <c r="GO30">
        <v>3</v>
      </c>
      <c r="GP30" t="s">
        <v>599</v>
      </c>
      <c r="GQ30">
        <v>3.1329600000000002</v>
      </c>
      <c r="GR30">
        <v>2.7225600000000001</v>
      </c>
      <c r="GS30">
        <v>9.1110899999999995E-2</v>
      </c>
      <c r="GT30">
        <v>9.0983999999999995E-2</v>
      </c>
      <c r="GU30">
        <v>0.14468900000000001</v>
      </c>
      <c r="GV30">
        <v>0.132246</v>
      </c>
      <c r="GW30">
        <v>22785.9</v>
      </c>
      <c r="GX30">
        <v>30683</v>
      </c>
      <c r="GY30">
        <v>27195.3</v>
      </c>
      <c r="GZ30">
        <v>34710.400000000001</v>
      </c>
      <c r="HA30">
        <v>34064.199999999997</v>
      </c>
      <c r="HB30">
        <v>38463.599999999999</v>
      </c>
      <c r="HC30">
        <v>40156.5</v>
      </c>
      <c r="HD30">
        <v>44407.8</v>
      </c>
      <c r="HE30">
        <v>1.9598</v>
      </c>
      <c r="HF30">
        <v>1.76</v>
      </c>
      <c r="HG30">
        <v>3.5911800000000001E-2</v>
      </c>
      <c r="HH30">
        <v>0</v>
      </c>
      <c r="HI30">
        <v>32.478400000000001</v>
      </c>
      <c r="HJ30">
        <v>999.9</v>
      </c>
      <c r="HK30">
        <v>54.7</v>
      </c>
      <c r="HL30">
        <v>38.299999999999997</v>
      </c>
      <c r="HM30">
        <v>37.947400000000002</v>
      </c>
      <c r="HN30">
        <v>59.831099999999999</v>
      </c>
      <c r="HO30">
        <v>7.62019</v>
      </c>
      <c r="HP30">
        <v>1</v>
      </c>
      <c r="HQ30">
        <v>0.54652400000000001</v>
      </c>
      <c r="HR30">
        <v>0</v>
      </c>
      <c r="HS30">
        <v>20.295300000000001</v>
      </c>
      <c r="HT30">
        <v>5.2100999999999997</v>
      </c>
      <c r="HU30">
        <v>11.908099999999999</v>
      </c>
      <c r="HV30">
        <v>4.9843999999999999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1.86737</v>
      </c>
      <c r="IC30">
        <v>1.8629500000000001</v>
      </c>
      <c r="ID30">
        <v>1.86249</v>
      </c>
      <c r="IE30">
        <v>1.8620000000000001</v>
      </c>
      <c r="IF30">
        <v>1.8620300000000001</v>
      </c>
      <c r="IG30">
        <v>1.8626400000000001</v>
      </c>
      <c r="IH30">
        <v>1.8635299999999999</v>
      </c>
      <c r="II30">
        <v>1.86151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-4.617</v>
      </c>
      <c r="IX30">
        <v>0.44890000000000002</v>
      </c>
      <c r="IY30">
        <v>-4.6170000000000186</v>
      </c>
      <c r="IZ30">
        <v>0</v>
      </c>
      <c r="JA30">
        <v>0</v>
      </c>
      <c r="JB30">
        <v>0</v>
      </c>
      <c r="JC30">
        <v>-0.26527865714527249</v>
      </c>
      <c r="JD30">
        <v>2.7492919904454862E-4</v>
      </c>
      <c r="JE30">
        <v>8.6739513355948885E-4</v>
      </c>
      <c r="JF30">
        <v>-8.2500691715147318E-6</v>
      </c>
      <c r="JG30">
        <v>-1</v>
      </c>
      <c r="JH30">
        <v>-1</v>
      </c>
      <c r="JI30">
        <v>2</v>
      </c>
      <c r="JJ30">
        <v>37</v>
      </c>
      <c r="JK30">
        <v>1</v>
      </c>
      <c r="JL30">
        <v>0.7</v>
      </c>
      <c r="JM30">
        <v>1.09009</v>
      </c>
      <c r="JN30">
        <v>2.5305200000000001</v>
      </c>
      <c r="JO30">
        <v>1.50024</v>
      </c>
      <c r="JP30">
        <v>2.2692899999999998</v>
      </c>
      <c r="JQ30">
        <v>1.4477500000000001</v>
      </c>
      <c r="JR30">
        <v>2.4450699999999999</v>
      </c>
      <c r="JS30">
        <v>41.534399999999998</v>
      </c>
      <c r="JT30">
        <v>15.156499999999999</v>
      </c>
      <c r="JU30">
        <v>18</v>
      </c>
      <c r="JV30">
        <v>540.904</v>
      </c>
      <c r="JW30">
        <v>424.935</v>
      </c>
      <c r="JX30">
        <v>33.689900000000002</v>
      </c>
      <c r="JY30">
        <v>34.1021</v>
      </c>
      <c r="JZ30">
        <v>30.0001</v>
      </c>
      <c r="KA30">
        <v>34.007800000000003</v>
      </c>
      <c r="KB30">
        <v>33.959699999999998</v>
      </c>
      <c r="KC30">
        <v>21.800699999999999</v>
      </c>
      <c r="KD30">
        <v>30.840599999999998</v>
      </c>
      <c r="KE30">
        <v>23.461400000000001</v>
      </c>
      <c r="KF30">
        <v>-999.9</v>
      </c>
      <c r="KG30">
        <v>419.71600000000001</v>
      </c>
      <c r="KH30">
        <v>30.599900000000002</v>
      </c>
      <c r="KI30">
        <v>100.364</v>
      </c>
      <c r="KJ30">
        <v>99.547600000000003</v>
      </c>
    </row>
    <row r="31" spans="1:296" x14ac:dyDescent="0.3">
      <c r="A31">
        <v>15</v>
      </c>
      <c r="B31">
        <v>1736192619.0999999</v>
      </c>
      <c r="C31">
        <v>2190.599999904633</v>
      </c>
      <c r="D31" t="s">
        <v>899</v>
      </c>
      <c r="E31" t="s">
        <v>900</v>
      </c>
      <c r="F31">
        <v>15</v>
      </c>
      <c r="H31">
        <v>1736192611.099999</v>
      </c>
      <c r="I31">
        <f t="shared" si="0"/>
        <v>4.0862119559887528E-3</v>
      </c>
      <c r="J31">
        <f t="shared" si="1"/>
        <v>4.0862119559887526</v>
      </c>
      <c r="K31">
        <f t="shared" si="2"/>
        <v>-4.5166359946860872</v>
      </c>
      <c r="L31">
        <f t="shared" si="3"/>
        <v>419.97890322580639</v>
      </c>
      <c r="M31">
        <f t="shared" si="4"/>
        <v>438.84033486398596</v>
      </c>
      <c r="N31">
        <f t="shared" si="5"/>
        <v>42.821065814695572</v>
      </c>
      <c r="O31">
        <f t="shared" si="6"/>
        <v>40.980609180762428</v>
      </c>
      <c r="P31">
        <f t="shared" si="7"/>
        <v>0.24368265753048532</v>
      </c>
      <c r="Q31">
        <f t="shared" si="8"/>
        <v>2.8844709101770825</v>
      </c>
      <c r="R31">
        <f t="shared" si="9"/>
        <v>0.23279618156969176</v>
      </c>
      <c r="S31">
        <f t="shared" si="10"/>
        <v>0.14643518733421235</v>
      </c>
      <c r="T31">
        <f t="shared" si="11"/>
        <v>1.5966703903835998E-4</v>
      </c>
      <c r="U31">
        <f t="shared" si="12"/>
        <v>32.566049560832013</v>
      </c>
      <c r="V31">
        <f t="shared" si="13"/>
        <v>33.139174193548392</v>
      </c>
      <c r="W31">
        <f t="shared" si="14"/>
        <v>5.0917488125586097</v>
      </c>
      <c r="X31">
        <f t="shared" si="15"/>
        <v>65.961309313259321</v>
      </c>
      <c r="Y31">
        <f t="shared" si="16"/>
        <v>3.4539915390746092</v>
      </c>
      <c r="Z31">
        <f t="shared" si="17"/>
        <v>5.2363902036436674</v>
      </c>
      <c r="AA31">
        <f t="shared" si="18"/>
        <v>1.6377572734840005</v>
      </c>
      <c r="AB31">
        <f t="shared" si="19"/>
        <v>-180.201947259104</v>
      </c>
      <c r="AC31">
        <f t="shared" si="20"/>
        <v>77.744266744028096</v>
      </c>
      <c r="AD31">
        <f t="shared" si="21"/>
        <v>6.1963197856258931</v>
      </c>
      <c r="AE31">
        <f t="shared" si="22"/>
        <v>-96.261201062410976</v>
      </c>
      <c r="AF31">
        <f t="shared" si="23"/>
        <v>-4.5166359946860872</v>
      </c>
      <c r="AG31">
        <f t="shared" si="24"/>
        <v>4.0862119559887526</v>
      </c>
      <c r="AH31">
        <f t="shared" si="25"/>
        <v>-4.5257324366392062</v>
      </c>
      <c r="AI31">
        <v>429.85470611524318</v>
      </c>
      <c r="AJ31">
        <v>435.44373333333328</v>
      </c>
      <c r="AK31">
        <v>2.6451330482982092E-3</v>
      </c>
      <c r="AL31">
        <v>67.035608291217926</v>
      </c>
      <c r="AM31">
        <f t="shared" si="26"/>
        <v>4.0487966280783967</v>
      </c>
      <c r="AN31">
        <v>30.71799185722773</v>
      </c>
      <c r="AO31">
        <v>35.401214545454529</v>
      </c>
      <c r="AP31">
        <v>5.4276915974977343E-4</v>
      </c>
      <c r="AQ31">
        <v>78.068583102312544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50416.03220070745</v>
      </c>
      <c r="AW31" t="s">
        <v>784</v>
      </c>
      <c r="AX31">
        <v>5111.59</v>
      </c>
      <c r="AY31">
        <v>546.33823529411768</v>
      </c>
      <c r="AZ31">
        <v>2461.83</v>
      </c>
      <c r="BA31">
        <f t="shared" si="30"/>
        <v>0.77807637599098323</v>
      </c>
      <c r="BB31">
        <v>-4.5166359946861352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-4.5166359946860872</v>
      </c>
      <c r="BK31" t="e">
        <f t="shared" si="34"/>
        <v>#DIV/0!</v>
      </c>
      <c r="BL31">
        <f t="shared" si="35"/>
        <v>5.7073210858090486E-11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1.2852208740130011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1736192611.099999</v>
      </c>
      <c r="DQ31">
        <v>419.97890322580639</v>
      </c>
      <c r="DR31">
        <v>416.61835483870959</v>
      </c>
      <c r="DS31">
        <v>35.397316129032262</v>
      </c>
      <c r="DT31">
        <v>30.667525806451611</v>
      </c>
      <c r="DU31">
        <v>424.60567741935478</v>
      </c>
      <c r="DV31">
        <v>34.945754838709682</v>
      </c>
      <c r="DW31">
        <v>500.01003225806448</v>
      </c>
      <c r="DX31">
        <v>97.531035483870966</v>
      </c>
      <c r="DY31">
        <v>4.6744890322580633E-2</v>
      </c>
      <c r="DZ31">
        <v>33.639112903225808</v>
      </c>
      <c r="EA31">
        <v>33.139174193548392</v>
      </c>
      <c r="EB31">
        <v>999.90000000000032</v>
      </c>
      <c r="EC31">
        <v>0</v>
      </c>
      <c r="ED31">
        <v>0</v>
      </c>
      <c r="EE31">
        <v>9991.9354838709678</v>
      </c>
      <c r="EF31">
        <v>0</v>
      </c>
      <c r="EG31">
        <v>256.81</v>
      </c>
      <c r="EH31">
        <v>3.360519032258066</v>
      </c>
      <c r="EI31">
        <v>435.39064516129048</v>
      </c>
      <c r="EJ31">
        <v>429.7992580645161</v>
      </c>
      <c r="EK31">
        <v>4.7297893548387098</v>
      </c>
      <c r="EL31">
        <v>416.61835483870959</v>
      </c>
      <c r="EM31">
        <v>30.667525806451611</v>
      </c>
      <c r="EN31">
        <v>3.4523374193548388</v>
      </c>
      <c r="EO31">
        <v>2.991036129032258</v>
      </c>
      <c r="EP31">
        <v>26.387141935483871</v>
      </c>
      <c r="EQ31">
        <v>23.97808387096774</v>
      </c>
      <c r="ER31">
        <v>1.00021E-2</v>
      </c>
      <c r="ES31">
        <v>0</v>
      </c>
      <c r="ET31">
        <v>0</v>
      </c>
      <c r="EU31">
        <v>0</v>
      </c>
      <c r="EV31">
        <v>546.20645161290327</v>
      </c>
      <c r="EW31">
        <v>1.00021E-2</v>
      </c>
      <c r="EX31">
        <v>3547.001612903226</v>
      </c>
      <c r="EY31">
        <v>3.5516129032258061</v>
      </c>
      <c r="EZ31">
        <v>37.949193548387079</v>
      </c>
      <c r="FA31">
        <v>41.618903225806449</v>
      </c>
      <c r="FB31">
        <v>40</v>
      </c>
      <c r="FC31">
        <v>41.561999999999983</v>
      </c>
      <c r="FD31">
        <v>40.561999999999983</v>
      </c>
      <c r="FE31">
        <v>0</v>
      </c>
      <c r="FF31">
        <v>0</v>
      </c>
      <c r="FG31">
        <v>0</v>
      </c>
      <c r="FH31">
        <v>166.9000000953674</v>
      </c>
      <c r="FI31">
        <v>0</v>
      </c>
      <c r="FJ31">
        <v>546.33823529411768</v>
      </c>
      <c r="FK31">
        <v>-11.37254895755969</v>
      </c>
      <c r="FL31">
        <v>278.16176031144522</v>
      </c>
      <c r="FM31">
        <v>3556.0647058823529</v>
      </c>
      <c r="FN31">
        <v>10</v>
      </c>
      <c r="FO31">
        <v>1736192576.5999999</v>
      </c>
      <c r="FP31" t="s">
        <v>901</v>
      </c>
      <c r="FQ31">
        <v>1736192563.5999999</v>
      </c>
      <c r="FR31">
        <v>1736192576.5999999</v>
      </c>
      <c r="FS31">
        <v>34</v>
      </c>
      <c r="FT31">
        <v>-0.01</v>
      </c>
      <c r="FU31">
        <v>0</v>
      </c>
      <c r="FV31">
        <v>-4.6269999999999998</v>
      </c>
      <c r="FW31">
        <v>0.309</v>
      </c>
      <c r="FX31">
        <v>417</v>
      </c>
      <c r="FY31">
        <v>31</v>
      </c>
      <c r="FZ31">
        <v>1.29</v>
      </c>
      <c r="GA31">
        <v>7.0000000000000007E-2</v>
      </c>
      <c r="GB31">
        <v>3.4219145000000002</v>
      </c>
      <c r="GC31">
        <v>-0.91078671669792866</v>
      </c>
      <c r="GD31">
        <v>0.16614381908379861</v>
      </c>
      <c r="GE31">
        <v>1</v>
      </c>
      <c r="GF31">
        <v>546.61911764705883</v>
      </c>
      <c r="GG31">
        <v>-6.0786859384776486</v>
      </c>
      <c r="GH31">
        <v>4.5365025188801811</v>
      </c>
      <c r="GI31">
        <v>1</v>
      </c>
      <c r="GJ31">
        <v>4.7463882499999999</v>
      </c>
      <c r="GK31">
        <v>-0.42400851782363391</v>
      </c>
      <c r="GL31">
        <v>4.3436814966540803E-2</v>
      </c>
      <c r="GM31">
        <v>1</v>
      </c>
      <c r="GN31">
        <v>3</v>
      </c>
      <c r="GO31">
        <v>3</v>
      </c>
      <c r="GP31" t="s">
        <v>599</v>
      </c>
      <c r="GQ31">
        <v>3.1330499999999999</v>
      </c>
      <c r="GR31">
        <v>2.7227399999999999</v>
      </c>
      <c r="GS31">
        <v>9.1122999999999996E-2</v>
      </c>
      <c r="GT31">
        <v>9.0465400000000001E-2</v>
      </c>
      <c r="GU31">
        <v>0.14493600000000001</v>
      </c>
      <c r="GV31">
        <v>0.13273499999999999</v>
      </c>
      <c r="GW31">
        <v>22783.8</v>
      </c>
      <c r="GX31">
        <v>30698.400000000001</v>
      </c>
      <c r="GY31">
        <v>27193.4</v>
      </c>
      <c r="GZ31">
        <v>34708.300000000003</v>
      </c>
      <c r="HA31">
        <v>34052.6</v>
      </c>
      <c r="HB31">
        <v>38441</v>
      </c>
      <c r="HC31">
        <v>40154</v>
      </c>
      <c r="HD31">
        <v>44406.6</v>
      </c>
      <c r="HE31">
        <v>1.9618</v>
      </c>
      <c r="HF31">
        <v>1.7578</v>
      </c>
      <c r="HG31">
        <v>3.24249E-2</v>
      </c>
      <c r="HH31">
        <v>0</v>
      </c>
      <c r="HI31">
        <v>32.604300000000002</v>
      </c>
      <c r="HJ31">
        <v>999.9</v>
      </c>
      <c r="HK31">
        <v>54.4</v>
      </c>
      <c r="HL31">
        <v>38.4</v>
      </c>
      <c r="HM31">
        <v>37.941499999999998</v>
      </c>
      <c r="HN31">
        <v>59.801099999999998</v>
      </c>
      <c r="HO31">
        <v>7.5841399999999997</v>
      </c>
      <c r="HP31">
        <v>1</v>
      </c>
      <c r="HQ31">
        <v>0.55085399999999995</v>
      </c>
      <c r="HR31">
        <v>0</v>
      </c>
      <c r="HS31">
        <v>20.296099999999999</v>
      </c>
      <c r="HT31">
        <v>5.2088999999999999</v>
      </c>
      <c r="HU31">
        <v>11.908099999999999</v>
      </c>
      <c r="HV31">
        <v>4.984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1.86737</v>
      </c>
      <c r="IC31">
        <v>1.8629800000000001</v>
      </c>
      <c r="ID31">
        <v>1.86249</v>
      </c>
      <c r="IE31">
        <v>1.8619699999999999</v>
      </c>
      <c r="IF31">
        <v>1.8620300000000001</v>
      </c>
      <c r="IG31">
        <v>1.8626400000000001</v>
      </c>
      <c r="IH31">
        <v>1.8635600000000001</v>
      </c>
      <c r="II31">
        <v>1.8615699999999999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-4.6269999999999998</v>
      </c>
      <c r="IX31">
        <v>0.45179999999999998</v>
      </c>
      <c r="IY31">
        <v>-4.626666666666722</v>
      </c>
      <c r="IZ31">
        <v>0</v>
      </c>
      <c r="JA31">
        <v>0</v>
      </c>
      <c r="JB31">
        <v>0</v>
      </c>
      <c r="JC31">
        <v>-0.26522177005211017</v>
      </c>
      <c r="JD31">
        <v>2.7492919904454862E-4</v>
      </c>
      <c r="JE31">
        <v>8.6739513355948885E-4</v>
      </c>
      <c r="JF31">
        <v>-8.2500691715147318E-6</v>
      </c>
      <c r="JG31">
        <v>-1</v>
      </c>
      <c r="JH31">
        <v>-1</v>
      </c>
      <c r="JI31">
        <v>2</v>
      </c>
      <c r="JJ31">
        <v>37</v>
      </c>
      <c r="JK31">
        <v>0.9</v>
      </c>
      <c r="JL31">
        <v>0.7</v>
      </c>
      <c r="JM31">
        <v>1.0839799999999999</v>
      </c>
      <c r="JN31">
        <v>2.5293000000000001</v>
      </c>
      <c r="JO31">
        <v>1.50024</v>
      </c>
      <c r="JP31">
        <v>2.2692899999999998</v>
      </c>
      <c r="JQ31">
        <v>1.4477500000000001</v>
      </c>
      <c r="JR31">
        <v>2.4365199999999998</v>
      </c>
      <c r="JS31">
        <v>41.586599999999997</v>
      </c>
      <c r="JT31">
        <v>15.138999999999999</v>
      </c>
      <c r="JU31">
        <v>18</v>
      </c>
      <c r="JV31">
        <v>542.572</v>
      </c>
      <c r="JW31">
        <v>423.86700000000002</v>
      </c>
      <c r="JX31">
        <v>33.711500000000001</v>
      </c>
      <c r="JY31">
        <v>34.145200000000003</v>
      </c>
      <c r="JZ31">
        <v>30.0002</v>
      </c>
      <c r="KA31">
        <v>34.049399999999999</v>
      </c>
      <c r="KB31">
        <v>34.002299999999998</v>
      </c>
      <c r="KC31">
        <v>21.674399999999999</v>
      </c>
      <c r="KD31">
        <v>30.750800000000002</v>
      </c>
      <c r="KE31">
        <v>22.388000000000002</v>
      </c>
      <c r="KF31">
        <v>-999.9</v>
      </c>
      <c r="KG31">
        <v>416.57100000000003</v>
      </c>
      <c r="KH31">
        <v>30.6934</v>
      </c>
      <c r="KI31">
        <v>100.358</v>
      </c>
      <c r="KJ31">
        <v>99.543400000000005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9CB4-66D3-4F12-BB07-8676637CD531}">
  <dimension ref="A2:KJ31"/>
  <sheetViews>
    <sheetView workbookViewId="0">
      <selection activeCell="E27" sqref="E27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780</v>
      </c>
      <c r="G13" t="s">
        <v>781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1736185774.5999999</v>
      </c>
      <c r="C17">
        <v>0</v>
      </c>
      <c r="D17" t="s">
        <v>902</v>
      </c>
      <c r="E17" t="s">
        <v>707</v>
      </c>
      <c r="F17">
        <v>15</v>
      </c>
      <c r="H17">
        <v>1736185766.849999</v>
      </c>
      <c r="I17">
        <f t="shared" ref="I17:I31" si="0">(J17)/1000</f>
        <v>1.6702437685959832E-3</v>
      </c>
      <c r="J17">
        <f t="shared" ref="J17:J31" si="1">IF(DO17, AM17, AG17)</f>
        <v>1.6702437685959832</v>
      </c>
      <c r="K17">
        <f t="shared" ref="K17:K31" si="2">IF(DO17, AH17, AF17)</f>
        <v>17.605798397269311</v>
      </c>
      <c r="L17">
        <f t="shared" ref="L17:L31" si="3">DQ17 - IF(AT17&gt;1, K17*DK17*100/(AV17), 0)</f>
        <v>419.30399999999992</v>
      </c>
      <c r="M17">
        <f t="shared" ref="M17:M31" si="4">((S17-I17/2)*L17-K17)/(S17+I17/2)</f>
        <v>119.09214861932827</v>
      </c>
      <c r="N17">
        <f t="shared" ref="N17:N31" si="5">M17*(DX17+DY17)/1000</f>
        <v>11.610255947291591</v>
      </c>
      <c r="O17">
        <f t="shared" ref="O17:O31" si="6">(DQ17 - IF(AT17&gt;1, K17*DK17*100/(AV17), 0))*(DX17+DY17)/1000</f>
        <v>40.877814500468716</v>
      </c>
      <c r="P17">
        <f t="shared" ref="P17:P31" si="7">2/((1/R17-1/Q17)+SIGN(R17)*SQRT((1/R17-1/Q17)*(1/R17-1/Q17) + 4*DL17/((DL17+1)*(DL17+1))*(2*1/R17*1/Q17-1/Q17*1/Q17)))</f>
        <v>9.7778433892649563E-2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2.8824693795887271</v>
      </c>
      <c r="R17">
        <f t="shared" ref="R17:R31" si="9">I17*(1000-(1000*0.61365*EXP(17.502*V17/(240.97+V17))/(DX17+DY17)+DS17)/2)/(1000*0.61365*EXP(17.502*V17/(240.97+V17))/(DX17+DY17)-DS17)</f>
        <v>9.5972478299086075E-2</v>
      </c>
      <c r="S17">
        <f t="shared" ref="S17:S31" si="10">1/((DL17+1)/(P17/1.6)+1/(Q17/1.37)) + DL17/((DL17+1)/(P17/1.6) + DL17/(Q17/1.37))</f>
        <v>6.0142278595486237E-2</v>
      </c>
      <c r="T17">
        <f t="shared" ref="T17:T31" si="11">(DG17*DJ17)</f>
        <v>319.77598589116309</v>
      </c>
      <c r="U17">
        <f t="shared" ref="U17:U31" si="12">(DZ17+(T17+2*0.95*0.0000000567*(((DZ17+$B$7)+273)^4-(DZ17+273)^4)-44100*I17)/(1.84*29.3*Q17+8*0.95*0.0000000567*(DZ17+273)^3))</f>
        <v>34.069343131685443</v>
      </c>
      <c r="V17">
        <f t="shared" ref="V17:V31" si="13">($C$7*EA17+$D$7*EB17+$E$7*U17)</f>
        <v>32.376213333333332</v>
      </c>
      <c r="W17">
        <f t="shared" ref="W17:W31" si="14">0.61365*EXP(17.502*V17/(240.97+V17))</f>
        <v>4.8777106765962426</v>
      </c>
      <c r="X17">
        <f t="shared" ref="X17:X31" si="15">(Y17/Z17*100)</f>
        <v>65.824069186839395</v>
      </c>
      <c r="Y17">
        <f t="shared" ref="Y17:Y31" si="16">DS17*(DX17+DY17)/1000</f>
        <v>3.2518028593993646</v>
      </c>
      <c r="Z17">
        <f t="shared" ref="Z17:Z31" si="17">0.61365*EXP(17.502*DZ17/(240.97+DZ17))</f>
        <v>4.9401425642180099</v>
      </c>
      <c r="AA17">
        <f t="shared" ref="AA17:AA31" si="18">(W17-DS17*(DX17+DY17)/1000)</f>
        <v>1.6259078171968779</v>
      </c>
      <c r="AB17">
        <f t="shared" ref="AB17:AB31" si="19">(-I17*44100)</f>
        <v>-73.657750195082855</v>
      </c>
      <c r="AC17">
        <f t="shared" ref="AC17:AC31" si="20">2*29.3*Q17*0.92*(DZ17-V17)</f>
        <v>35.043665910810404</v>
      </c>
      <c r="AD17">
        <f t="shared" ref="AD17:AD31" si="21">2*0.95*0.0000000567*(((DZ17+$B$7)+273)^4-(V17+273)^4)</f>
        <v>2.7704013119612112</v>
      </c>
      <c r="AE17">
        <f t="shared" ref="AE17:AE31" si="22">T17+AD17+AB17+AC17</f>
        <v>283.93230291885186</v>
      </c>
      <c r="AF17">
        <f t="shared" ref="AF17:AF31" si="23">DW17*AT17*(DR17-DQ17*(1000-AT17*DT17)/(1000-AT17*DS17))/(100*DK17)</f>
        <v>17.605798397269311</v>
      </c>
      <c r="AG17">
        <f t="shared" ref="AG17:AG31" si="24">1000*DW17*AT17*(DS17-DT17)/(100*DK17*(1000-AT17*DS17))</f>
        <v>1.6702437685959832</v>
      </c>
      <c r="AH17">
        <f t="shared" ref="AH17:AH31" si="25">(AI17 - AJ17 - DX17*1000/(8.314*(DZ17+273.15)) * AL17/DW17 * AK17) * DW17/(100*DK17) * (1000 - DT17)/1000</f>
        <v>17.839843652151046</v>
      </c>
      <c r="AI17">
        <v>455.96400705386083</v>
      </c>
      <c r="AJ17">
        <v>433.82247272727278</v>
      </c>
      <c r="AK17">
        <v>7.2789152878635806E-3</v>
      </c>
      <c r="AL17">
        <v>67.088324725059834</v>
      </c>
      <c r="AM17">
        <f t="shared" ref="AM17:AM31" si="26">(AO17 - AN17 + DX17*1000/(8.314*(DZ17+273.15)) * AQ17/DW17 * AP17) * DW17/(100*DK17) * 1000/(1000 - AO17)</f>
        <v>1.7269164779351456</v>
      </c>
      <c r="AN17">
        <v>31.425961129509311</v>
      </c>
      <c r="AO17">
        <v>33.3951606060606</v>
      </c>
      <c r="AP17">
        <v>5.6788527704802376E-3</v>
      </c>
      <c r="AQ17">
        <v>78.238601315490101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50529.479107945052</v>
      </c>
      <c r="AW17" t="s">
        <v>903</v>
      </c>
      <c r="AX17">
        <v>5105.3</v>
      </c>
      <c r="AY17">
        <v>582.67647058823525</v>
      </c>
      <c r="AZ17">
        <v>2431.5</v>
      </c>
      <c r="BA17">
        <f t="shared" ref="BA17:BA31" si="30">1-AY17/AZ17</f>
        <v>0.76036336804925553</v>
      </c>
      <c r="BB17">
        <v>-6.5884728632969241</v>
      </c>
      <c r="BC17" t="s">
        <v>904</v>
      </c>
      <c r="BD17">
        <v>5092.7</v>
      </c>
      <c r="BE17">
        <v>742.34400000000005</v>
      </c>
      <c r="BF17">
        <v>797.39</v>
      </c>
      <c r="BG17">
        <f t="shared" ref="BG17:BG31" si="31">1-BE17/BF17</f>
        <v>6.9032719246541752E-2</v>
      </c>
      <c r="BH17">
        <v>0.5</v>
      </c>
      <c r="BI17">
        <f t="shared" ref="BI17:BI31" si="32">DH17</f>
        <v>1680.2923798399802</v>
      </c>
      <c r="BJ17">
        <f t="shared" ref="BJ17:BJ31" si="33">K17</f>
        <v>17.605798397269311</v>
      </c>
      <c r="BK17">
        <f t="shared" ref="BK17:BK31" si="34">BG17*BH17*BI17</f>
        <v>57.997576054798422</v>
      </c>
      <c r="BL17">
        <f t="shared" ref="BL17:BL31" si="35">(BJ17-BB17)/BI17</f>
        <v>1.4398846028731224E-2</v>
      </c>
      <c r="BM17">
        <f t="shared" ref="BM17:BM31" si="36">(AZ17-BF17)/BF17</f>
        <v>2.0493234176500836</v>
      </c>
      <c r="BN17">
        <f t="shared" ref="BN17:BN31" si="37">AY17/(BA17+AY17/BF17)</f>
        <v>390.77139091949459</v>
      </c>
      <c r="BO17" t="s">
        <v>407</v>
      </c>
      <c r="BP17">
        <v>0</v>
      </c>
      <c r="BQ17">
        <f t="shared" ref="BQ17:BQ31" si="38">IF(BP17&lt;&gt;0, BP17, BN17)</f>
        <v>390.77139091949459</v>
      </c>
      <c r="BR17">
        <f t="shared" ref="BR17:BR31" si="39">1-BQ17/BF17</f>
        <v>0.50993693058667078</v>
      </c>
      <c r="BS17">
        <f t="shared" ref="BS17:BS31" si="40">(BF17-BE17)/(BF17-BQ17)</f>
        <v>0.13537501425347093</v>
      </c>
      <c r="BT17">
        <f t="shared" ref="BT17:BT31" si="41">(AZ17-BF17)/(AZ17-BQ17)</f>
        <v>0.8007483174042842</v>
      </c>
      <c r="BU17">
        <f t="shared" ref="BU17:BU31" si="42">(BF17-BE17)/(BF17-AY17)</f>
        <v>0.25636949916852242</v>
      </c>
      <c r="BV17">
        <f t="shared" ref="BV17:BV31" si="43">(AZ17-BF17)/(AZ17-AY17)</f>
        <v>0.88386477887368753</v>
      </c>
      <c r="BW17">
        <f t="shared" ref="BW17:BW31" si="44">(BS17*BQ17/BE17)</f>
        <v>7.1261682744893529E-2</v>
      </c>
      <c r="BX17">
        <f t="shared" ref="BX17:BX31" si="45">(1-BW17)</f>
        <v>0.92873831725510647</v>
      </c>
      <c r="DG17">
        <f t="shared" ref="DG17:DG31" si="46">$B$11*EF17+$C$11*EG17+$F$11*ER17*(1-EU17)</f>
        <v>1999.9919999999991</v>
      </c>
      <c r="DH17">
        <f t="shared" ref="DH17:DH31" si="47">DG17*DI17</f>
        <v>1680.2923798399802</v>
      </c>
      <c r="DI17">
        <f t="shared" ref="DI17:DI31" si="48">($B$11*$D$9+$C$11*$D$9+$F$11*((FE17+EW17)/MAX(FE17+EW17+FF17, 0.1)*$I$9+FF17/MAX(FE17+EW17+FF17, 0.1)*$J$9))/($B$11+$C$11+$F$11)</f>
        <v>0.84014955051819251</v>
      </c>
      <c r="DJ17">
        <f t="shared" ref="DJ17:DJ31" si="49">($B$11*$K$9+$C$11*$K$9+$F$11*((FE17+EW17)/MAX(FE17+EW17+FF17, 0.1)*$P$9+FF17/MAX(FE17+EW17+FF17, 0.1)*$Q$9))/($B$11+$C$11+$F$11)</f>
        <v>0.15988863250011162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1736185766.849999</v>
      </c>
      <c r="DQ17">
        <v>419.30399999999992</v>
      </c>
      <c r="DR17">
        <v>441.27323333333328</v>
      </c>
      <c r="DS17">
        <v>33.355353333333333</v>
      </c>
      <c r="DT17">
        <v>31.417750000000002</v>
      </c>
      <c r="DU17">
        <v>423.93566666666658</v>
      </c>
      <c r="DV17">
        <v>32.919603333333328</v>
      </c>
      <c r="DW17">
        <v>499.9575000000001</v>
      </c>
      <c r="DX17">
        <v>97.442586666666685</v>
      </c>
      <c r="DY17">
        <v>4.709743000000001E-2</v>
      </c>
      <c r="DZ17">
        <v>32.601719999999993</v>
      </c>
      <c r="EA17">
        <v>32.376213333333332</v>
      </c>
      <c r="EB17">
        <v>999.9000000000002</v>
      </c>
      <c r="EC17">
        <v>0</v>
      </c>
      <c r="ED17">
        <v>0</v>
      </c>
      <c r="EE17">
        <v>9989.5</v>
      </c>
      <c r="EF17">
        <v>0</v>
      </c>
      <c r="EG17">
        <v>198.30980000000011</v>
      </c>
      <c r="EH17">
        <v>-21.969346666666659</v>
      </c>
      <c r="EI17">
        <v>433.77260000000012</v>
      </c>
      <c r="EJ17">
        <v>455.58693333333332</v>
      </c>
      <c r="EK17">
        <v>1.9375903333333331</v>
      </c>
      <c r="EL17">
        <v>441.27323333333328</v>
      </c>
      <c r="EM17">
        <v>31.417750000000002</v>
      </c>
      <c r="EN17">
        <v>3.2502313333333341</v>
      </c>
      <c r="EO17">
        <v>3.0614266666666672</v>
      </c>
      <c r="EP17">
        <v>25.36862</v>
      </c>
      <c r="EQ17">
        <v>24.365833333333331</v>
      </c>
      <c r="ER17">
        <v>1999.9919999999991</v>
      </c>
      <c r="ES17">
        <v>0.9950034000000002</v>
      </c>
      <c r="ET17">
        <v>4.9967506666666684E-3</v>
      </c>
      <c r="EU17">
        <v>0</v>
      </c>
      <c r="EV17">
        <v>742.77346666666665</v>
      </c>
      <c r="EW17">
        <v>5.0010700000000003</v>
      </c>
      <c r="EX17">
        <v>18093.806666666671</v>
      </c>
      <c r="EY17">
        <v>18241.599999999999</v>
      </c>
      <c r="EZ17">
        <v>39.195599999999999</v>
      </c>
      <c r="FA17">
        <v>40.574599999999997</v>
      </c>
      <c r="FB17">
        <v>39.741599999999998</v>
      </c>
      <c r="FC17">
        <v>39.978999999999999</v>
      </c>
      <c r="FD17">
        <v>40.957999999999998</v>
      </c>
      <c r="FE17">
        <v>1985.0219999999999</v>
      </c>
      <c r="FF17">
        <v>9.9700000000000042</v>
      </c>
      <c r="FG17">
        <v>0</v>
      </c>
      <c r="FH17">
        <v>1736183857.4000001</v>
      </c>
      <c r="FI17">
        <v>0</v>
      </c>
      <c r="FJ17">
        <v>742.34400000000005</v>
      </c>
      <c r="FK17">
        <v>-7.7053921309949196</v>
      </c>
      <c r="FL17">
        <v>-593.70098408738181</v>
      </c>
      <c r="FM17">
        <v>18090.576470588228</v>
      </c>
      <c r="FN17">
        <v>10</v>
      </c>
      <c r="FO17">
        <v>1736185664.5999999</v>
      </c>
      <c r="FP17" t="s">
        <v>905</v>
      </c>
      <c r="FQ17">
        <v>1736185661.0999999</v>
      </c>
      <c r="FR17">
        <v>1736185664.5999999</v>
      </c>
      <c r="FS17">
        <v>2</v>
      </c>
      <c r="FT17">
        <v>1.7000000000000001E-2</v>
      </c>
      <c r="FU17">
        <v>-6.0000000000000001E-3</v>
      </c>
      <c r="FV17">
        <v>-4.6900000000000004</v>
      </c>
      <c r="FW17">
        <v>0.38800000000000001</v>
      </c>
      <c r="FX17">
        <v>435</v>
      </c>
      <c r="FY17">
        <v>32</v>
      </c>
      <c r="FZ17">
        <v>0.67</v>
      </c>
      <c r="GA17">
        <v>0.25</v>
      </c>
      <c r="GB17">
        <v>-21.7732925</v>
      </c>
      <c r="GC17">
        <v>-3.3838322701688219</v>
      </c>
      <c r="GD17">
        <v>0.34180218942211288</v>
      </c>
      <c r="GE17">
        <v>0</v>
      </c>
      <c r="GF17">
        <v>743.3161470588235</v>
      </c>
      <c r="GG17">
        <v>-9.5910924409330001</v>
      </c>
      <c r="GH17">
        <v>0.98399106680404425</v>
      </c>
      <c r="GI17">
        <v>1</v>
      </c>
      <c r="GJ17">
        <v>1.9214917499999999</v>
      </c>
      <c r="GK17">
        <v>0.2755892307692277</v>
      </c>
      <c r="GL17">
        <v>2.669149048737255E-2</v>
      </c>
      <c r="GM17">
        <v>1</v>
      </c>
      <c r="GN17">
        <v>2</v>
      </c>
      <c r="GO17">
        <v>3</v>
      </c>
      <c r="GP17" t="s">
        <v>598</v>
      </c>
      <c r="GQ17">
        <v>3.1338900000000001</v>
      </c>
      <c r="GR17">
        <v>2.72376</v>
      </c>
      <c r="GS17">
        <v>9.1190300000000002E-2</v>
      </c>
      <c r="GT17">
        <v>9.4813999999999996E-2</v>
      </c>
      <c r="GU17">
        <v>0.13950199999999999</v>
      </c>
      <c r="GV17">
        <v>0.13514899999999999</v>
      </c>
      <c r="GW17">
        <v>22841.3</v>
      </c>
      <c r="GX17">
        <v>30610.7</v>
      </c>
      <c r="GY17">
        <v>27257.8</v>
      </c>
      <c r="GZ17">
        <v>34766.1</v>
      </c>
      <c r="HA17">
        <v>34329.199999999997</v>
      </c>
      <c r="HB17">
        <v>38366.6</v>
      </c>
      <c r="HC17">
        <v>40235.699999999997</v>
      </c>
      <c r="HD17">
        <v>44449</v>
      </c>
      <c r="HE17">
        <v>1.9752000000000001</v>
      </c>
      <c r="HF17">
        <v>1.8258000000000001</v>
      </c>
      <c r="HG17">
        <v>8.2254400000000005E-2</v>
      </c>
      <c r="HH17">
        <v>0</v>
      </c>
      <c r="HI17">
        <v>31.048999999999999</v>
      </c>
      <c r="HJ17">
        <v>999.9</v>
      </c>
      <c r="HK17">
        <v>71.5</v>
      </c>
      <c r="HL17">
        <v>32.200000000000003</v>
      </c>
      <c r="HM17">
        <v>35.440300000000001</v>
      </c>
      <c r="HN17">
        <v>60.29</v>
      </c>
      <c r="HO17">
        <v>6.8870199999999997</v>
      </c>
      <c r="HP17">
        <v>1</v>
      </c>
      <c r="HQ17">
        <v>0.440224</v>
      </c>
      <c r="HR17">
        <v>0</v>
      </c>
      <c r="HS17">
        <v>20.281199999999998</v>
      </c>
      <c r="HT17">
        <v>5.2112999999999996</v>
      </c>
      <c r="HU17">
        <v>11.902100000000001</v>
      </c>
      <c r="HV17">
        <v>4.9855999999999998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1.8672200000000001</v>
      </c>
      <c r="IC17">
        <v>1.86276</v>
      </c>
      <c r="ID17">
        <v>1.8621799999999999</v>
      </c>
      <c r="IE17">
        <v>1.8616600000000001</v>
      </c>
      <c r="IF17">
        <v>1.86172</v>
      </c>
      <c r="IG17">
        <v>1.86249</v>
      </c>
      <c r="IH17">
        <v>1.8632500000000001</v>
      </c>
      <c r="II17">
        <v>1.8613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-4.6319999999999997</v>
      </c>
      <c r="IX17">
        <v>0.43690000000000001</v>
      </c>
      <c r="IY17">
        <v>-2.7499604812205032</v>
      </c>
      <c r="IZ17">
        <v>-5.1756331061651789E-3</v>
      </c>
      <c r="JA17">
        <v>1.8217400814442949E-6</v>
      </c>
      <c r="JB17">
        <v>-1.9713393848198499E-10</v>
      </c>
      <c r="JC17">
        <v>-0.2189820197522826</v>
      </c>
      <c r="JD17">
        <v>2.7492919904454862E-4</v>
      </c>
      <c r="JE17">
        <v>8.6739513355948885E-4</v>
      </c>
      <c r="JF17">
        <v>-8.2500691715147318E-6</v>
      </c>
      <c r="JG17">
        <v>20</v>
      </c>
      <c r="JH17">
        <v>1893</v>
      </c>
      <c r="JI17">
        <v>2</v>
      </c>
      <c r="JJ17">
        <v>37</v>
      </c>
      <c r="JK17">
        <v>1.9</v>
      </c>
      <c r="JL17">
        <v>1.8</v>
      </c>
      <c r="JM17">
        <v>1.1279300000000001</v>
      </c>
      <c r="JN17">
        <v>2.4902299999999999</v>
      </c>
      <c r="JO17">
        <v>1.50024</v>
      </c>
      <c r="JP17">
        <v>2.2814899999999998</v>
      </c>
      <c r="JQ17">
        <v>1.4477500000000001</v>
      </c>
      <c r="JR17">
        <v>2.36694</v>
      </c>
      <c r="JS17">
        <v>37.0747</v>
      </c>
      <c r="JT17">
        <v>15.970800000000001</v>
      </c>
      <c r="JU17">
        <v>18</v>
      </c>
      <c r="JV17">
        <v>541.00800000000004</v>
      </c>
      <c r="JW17">
        <v>457.89400000000001</v>
      </c>
      <c r="JX17">
        <v>31.881900000000002</v>
      </c>
      <c r="JY17">
        <v>32.781100000000002</v>
      </c>
      <c r="JZ17">
        <v>29.9999</v>
      </c>
      <c r="KA17">
        <v>32.784700000000001</v>
      </c>
      <c r="KB17">
        <v>32.748699999999999</v>
      </c>
      <c r="KC17">
        <v>22.552299999999999</v>
      </c>
      <c r="KD17">
        <v>28.695900000000002</v>
      </c>
      <c r="KE17">
        <v>100</v>
      </c>
      <c r="KF17">
        <v>-999.9</v>
      </c>
      <c r="KG17">
        <v>441.93799999999999</v>
      </c>
      <c r="KH17">
        <v>31.289200000000001</v>
      </c>
      <c r="KI17">
        <v>100.57599999999999</v>
      </c>
      <c r="KJ17">
        <v>99.669499999999999</v>
      </c>
    </row>
    <row r="18" spans="1:296" x14ac:dyDescent="0.3">
      <c r="A18">
        <v>2</v>
      </c>
      <c r="B18">
        <v>1736185957.0999999</v>
      </c>
      <c r="C18">
        <v>182.5</v>
      </c>
      <c r="D18" t="s">
        <v>906</v>
      </c>
      <c r="E18" t="s">
        <v>907</v>
      </c>
      <c r="F18">
        <v>15</v>
      </c>
      <c r="H18">
        <v>1736185949.349999</v>
      </c>
      <c r="I18">
        <f t="shared" si="0"/>
        <v>2.5506063256718206E-3</v>
      </c>
      <c r="J18">
        <f t="shared" si="1"/>
        <v>2.5506063256718208</v>
      </c>
      <c r="K18">
        <f t="shared" si="2"/>
        <v>28.432329151984025</v>
      </c>
      <c r="L18">
        <f t="shared" si="3"/>
        <v>418.85289999999998</v>
      </c>
      <c r="M18">
        <f t="shared" si="4"/>
        <v>110.12873054633815</v>
      </c>
      <c r="N18">
        <f t="shared" si="5"/>
        <v>10.735837477648166</v>
      </c>
      <c r="O18">
        <f t="shared" si="6"/>
        <v>40.831639837613103</v>
      </c>
      <c r="P18">
        <f t="shared" si="7"/>
        <v>0.15469204915901777</v>
      </c>
      <c r="Q18">
        <f t="shared" si="8"/>
        <v>2.8835869191849781</v>
      </c>
      <c r="R18">
        <f t="shared" si="9"/>
        <v>0.15022528579725392</v>
      </c>
      <c r="S18">
        <f t="shared" si="10"/>
        <v>9.4281381175990817E-2</v>
      </c>
      <c r="T18">
        <f t="shared" si="11"/>
        <v>271.90692122900765</v>
      </c>
      <c r="U18">
        <f t="shared" si="12"/>
        <v>33.531374767337134</v>
      </c>
      <c r="V18">
        <f t="shared" si="13"/>
        <v>32.249216666666662</v>
      </c>
      <c r="W18">
        <f t="shared" si="14"/>
        <v>4.8428546129553824</v>
      </c>
      <c r="X18">
        <f t="shared" si="15"/>
        <v>65.995390602250708</v>
      </c>
      <c r="Y18">
        <f t="shared" si="16"/>
        <v>3.2564683233335576</v>
      </c>
      <c r="Z18">
        <f t="shared" si="17"/>
        <v>4.9343875286079433</v>
      </c>
      <c r="AA18">
        <f t="shared" si="18"/>
        <v>1.5863862896218248</v>
      </c>
      <c r="AB18">
        <f t="shared" si="19"/>
        <v>-112.4817389621273</v>
      </c>
      <c r="AC18">
        <f t="shared" si="20"/>
        <v>51.584716622880876</v>
      </c>
      <c r="AD18">
        <f t="shared" si="21"/>
        <v>4.0735304549229046</v>
      </c>
      <c r="AE18">
        <f t="shared" si="22"/>
        <v>215.08342934468413</v>
      </c>
      <c r="AF18">
        <f t="shared" si="23"/>
        <v>28.432329151984025</v>
      </c>
      <c r="AG18">
        <f t="shared" si="24"/>
        <v>2.5506063256718208</v>
      </c>
      <c r="AH18">
        <f t="shared" si="25"/>
        <v>28.782714288653136</v>
      </c>
      <c r="AI18">
        <v>469.06924077485098</v>
      </c>
      <c r="AJ18">
        <v>433.4218666666668</v>
      </c>
      <c r="AK18">
        <v>4.4290725910657311E-3</v>
      </c>
      <c r="AL18">
        <v>67.088324725059834</v>
      </c>
      <c r="AM18">
        <f t="shared" si="26"/>
        <v>2.6656486278883693</v>
      </c>
      <c r="AN18">
        <v>30.4456655679429</v>
      </c>
      <c r="AO18">
        <v>33.514724848484839</v>
      </c>
      <c r="AP18">
        <v>3.7635054578048009E-3</v>
      </c>
      <c r="AQ18">
        <v>78.238601315490101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50563.94769164738</v>
      </c>
      <c r="AW18" t="s">
        <v>903</v>
      </c>
      <c r="AX18">
        <v>5105.3</v>
      </c>
      <c r="AY18">
        <v>582.67647058823525</v>
      </c>
      <c r="AZ18">
        <v>2431.5</v>
      </c>
      <c r="BA18">
        <f t="shared" si="30"/>
        <v>0.76036336804925553</v>
      </c>
      <c r="BB18">
        <v>-6.5884728632969241</v>
      </c>
      <c r="BC18" t="s">
        <v>908</v>
      </c>
      <c r="BD18">
        <v>5094.34</v>
      </c>
      <c r="BE18">
        <v>727.51964705882358</v>
      </c>
      <c r="BF18">
        <v>834.43</v>
      </c>
      <c r="BG18">
        <f t="shared" si="31"/>
        <v>0.12812381259204053</v>
      </c>
      <c r="BH18">
        <v>0.5</v>
      </c>
      <c r="BI18">
        <f t="shared" si="32"/>
        <v>1428.2922398077758</v>
      </c>
      <c r="BJ18">
        <f t="shared" si="33"/>
        <v>28.432329151984025</v>
      </c>
      <c r="BK18">
        <f t="shared" si="34"/>
        <v>91.499123629898634</v>
      </c>
      <c r="BL18">
        <f t="shared" si="35"/>
        <v>2.4519353280246178E-2</v>
      </c>
      <c r="BM18">
        <f t="shared" si="36"/>
        <v>1.9139652217681533</v>
      </c>
      <c r="BN18">
        <f t="shared" si="37"/>
        <v>399.46114705507108</v>
      </c>
      <c r="BO18" t="s">
        <v>407</v>
      </c>
      <c r="BP18">
        <v>0</v>
      </c>
      <c r="BQ18">
        <f t="shared" si="38"/>
        <v>399.46114705507108</v>
      </c>
      <c r="BR18">
        <f t="shared" si="39"/>
        <v>0.52127662349739212</v>
      </c>
      <c r="BS18">
        <f t="shared" si="40"/>
        <v>0.24578852535611836</v>
      </c>
      <c r="BT18">
        <f t="shared" si="41"/>
        <v>0.78594461798082704</v>
      </c>
      <c r="BU18">
        <f t="shared" si="42"/>
        <v>0.42466277708589828</v>
      </c>
      <c r="BV18">
        <f t="shared" si="43"/>
        <v>0.86383041679923644</v>
      </c>
      <c r="BW18">
        <f t="shared" si="44"/>
        <v>0.1349557591587501</v>
      </c>
      <c r="BX18">
        <f t="shared" si="45"/>
        <v>0.86504424084124987</v>
      </c>
      <c r="DG18">
        <f t="shared" si="46"/>
        <v>1699.9843333333331</v>
      </c>
      <c r="DH18">
        <f t="shared" si="47"/>
        <v>1428.2922398077758</v>
      </c>
      <c r="DI18">
        <f t="shared" si="48"/>
        <v>0.84017964860133576</v>
      </c>
      <c r="DJ18">
        <f t="shared" si="49"/>
        <v>0.15994672180057798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1736185949.349999</v>
      </c>
      <c r="DQ18">
        <v>418.85289999999998</v>
      </c>
      <c r="DR18">
        <v>454.25439999999998</v>
      </c>
      <c r="DS18">
        <v>33.405006666666672</v>
      </c>
      <c r="DT18">
        <v>30.44646333333333</v>
      </c>
      <c r="DU18">
        <v>423.48293333333339</v>
      </c>
      <c r="DV18">
        <v>33.049006666666664</v>
      </c>
      <c r="DW18">
        <v>499.98996666666682</v>
      </c>
      <c r="DX18">
        <v>97.436959999999985</v>
      </c>
      <c r="DY18">
        <v>4.7478660000000013E-2</v>
      </c>
      <c r="DZ18">
        <v>32.58103666666667</v>
      </c>
      <c r="EA18">
        <v>32.249216666666662</v>
      </c>
      <c r="EB18">
        <v>999.9000000000002</v>
      </c>
      <c r="EC18">
        <v>0</v>
      </c>
      <c r="ED18">
        <v>0</v>
      </c>
      <c r="EE18">
        <v>9996.5</v>
      </c>
      <c r="EF18">
        <v>0</v>
      </c>
      <c r="EG18">
        <v>246.30693333333329</v>
      </c>
      <c r="EH18">
        <v>-35.401446666666658</v>
      </c>
      <c r="EI18">
        <v>433.36576666666662</v>
      </c>
      <c r="EJ18">
        <v>468.51909999999998</v>
      </c>
      <c r="EK18">
        <v>3.042253000000001</v>
      </c>
      <c r="EL18">
        <v>454.25439999999998</v>
      </c>
      <c r="EM18">
        <v>30.44646333333333</v>
      </c>
      <c r="EN18">
        <v>3.263039</v>
      </c>
      <c r="EO18">
        <v>2.966610666666667</v>
      </c>
      <c r="EP18">
        <v>25.434776666666671</v>
      </c>
      <c r="EQ18">
        <v>23.841683333333339</v>
      </c>
      <c r="ER18">
        <v>1699.9843333333331</v>
      </c>
      <c r="ES18">
        <v>0.99399326666666676</v>
      </c>
      <c r="ET18">
        <v>6.0070933333333321E-3</v>
      </c>
      <c r="EU18">
        <v>0</v>
      </c>
      <c r="EV18">
        <v>727.49323333333314</v>
      </c>
      <c r="EW18">
        <v>5.0010700000000003</v>
      </c>
      <c r="EX18">
        <v>15866.22</v>
      </c>
      <c r="EY18">
        <v>15492.32</v>
      </c>
      <c r="EZ18">
        <v>39.587200000000003</v>
      </c>
      <c r="FA18">
        <v>41.125</v>
      </c>
      <c r="FB18">
        <v>40.375</v>
      </c>
      <c r="FC18">
        <v>40.341399999999993</v>
      </c>
      <c r="FD18">
        <v>41.436999999999983</v>
      </c>
      <c r="FE18">
        <v>1684.804333333333</v>
      </c>
      <c r="FF18">
        <v>10.18</v>
      </c>
      <c r="FG18">
        <v>0</v>
      </c>
      <c r="FH18">
        <v>182</v>
      </c>
      <c r="FI18">
        <v>0</v>
      </c>
      <c r="FJ18">
        <v>727.51964705882358</v>
      </c>
      <c r="FK18">
        <v>0.1534313772892357</v>
      </c>
      <c r="FL18">
        <v>-721.7156868079403</v>
      </c>
      <c r="FM18">
        <v>15821.4</v>
      </c>
      <c r="FN18">
        <v>10</v>
      </c>
      <c r="FO18">
        <v>1736185978.5999999</v>
      </c>
      <c r="FP18" t="s">
        <v>909</v>
      </c>
      <c r="FQ18">
        <v>1736185661.0999999</v>
      </c>
      <c r="FR18">
        <v>1736185978.5999999</v>
      </c>
      <c r="FS18">
        <v>3</v>
      </c>
      <c r="FT18">
        <v>1.7000000000000001E-2</v>
      </c>
      <c r="FU18">
        <v>5.0000000000000001E-3</v>
      </c>
      <c r="FV18">
        <v>-4.6900000000000004</v>
      </c>
      <c r="FW18">
        <v>0.35599999999999998</v>
      </c>
      <c r="FX18">
        <v>435</v>
      </c>
      <c r="FY18">
        <v>30</v>
      </c>
      <c r="FZ18">
        <v>0.67</v>
      </c>
      <c r="GA18">
        <v>0.11</v>
      </c>
      <c r="GB18">
        <v>-35.050253658536583</v>
      </c>
      <c r="GC18">
        <v>-5.4482801393728382</v>
      </c>
      <c r="GD18">
        <v>0.55968036526851894</v>
      </c>
      <c r="GE18">
        <v>0</v>
      </c>
      <c r="GF18">
        <v>727.47502941176458</v>
      </c>
      <c r="GG18">
        <v>0.21758594695927189</v>
      </c>
      <c r="GH18">
        <v>0.24578391816606279</v>
      </c>
      <c r="GI18">
        <v>1</v>
      </c>
      <c r="GJ18">
        <v>3.0298419512195118</v>
      </c>
      <c r="GK18">
        <v>0.20758891986063241</v>
      </c>
      <c r="GL18">
        <v>3.611345112683504E-2</v>
      </c>
      <c r="GM18">
        <v>1</v>
      </c>
      <c r="GN18">
        <v>2</v>
      </c>
      <c r="GO18">
        <v>3</v>
      </c>
      <c r="GP18" t="s">
        <v>598</v>
      </c>
      <c r="GQ18">
        <v>3.1329500000000001</v>
      </c>
      <c r="GR18">
        <v>2.7229800000000002</v>
      </c>
      <c r="GS18">
        <v>9.1112600000000002E-2</v>
      </c>
      <c r="GT18">
        <v>9.6918199999999996E-2</v>
      </c>
      <c r="GU18">
        <v>0.139843</v>
      </c>
      <c r="GV18">
        <v>0.13228000000000001</v>
      </c>
      <c r="GW18">
        <v>22842.3</v>
      </c>
      <c r="GX18">
        <v>30540.2</v>
      </c>
      <c r="GY18">
        <v>27256.7</v>
      </c>
      <c r="GZ18">
        <v>34766.800000000003</v>
      </c>
      <c r="HA18">
        <v>34315.199999999997</v>
      </c>
      <c r="HB18">
        <v>38496</v>
      </c>
      <c r="HC18">
        <v>40235.5</v>
      </c>
      <c r="HD18">
        <v>44451</v>
      </c>
      <c r="HE18">
        <v>1.9748000000000001</v>
      </c>
      <c r="HF18">
        <v>1.8242</v>
      </c>
      <c r="HG18">
        <v>6.83367E-2</v>
      </c>
      <c r="HH18">
        <v>0</v>
      </c>
      <c r="HI18">
        <v>31.1584</v>
      </c>
      <c r="HJ18">
        <v>999.9</v>
      </c>
      <c r="HK18">
        <v>71.400000000000006</v>
      </c>
      <c r="HL18">
        <v>32.4</v>
      </c>
      <c r="HM18">
        <v>35.790599999999998</v>
      </c>
      <c r="HN18">
        <v>60.44</v>
      </c>
      <c r="HO18">
        <v>7.0753199999999996</v>
      </c>
      <c r="HP18">
        <v>1</v>
      </c>
      <c r="HQ18">
        <v>0.43930900000000001</v>
      </c>
      <c r="HR18">
        <v>0</v>
      </c>
      <c r="HS18">
        <v>20.283200000000001</v>
      </c>
      <c r="HT18">
        <v>5.2112999999999996</v>
      </c>
      <c r="HU18">
        <v>11.902100000000001</v>
      </c>
      <c r="HV18">
        <v>4.9847999999999999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1.8621799999999999</v>
      </c>
      <c r="IE18">
        <v>1.86172</v>
      </c>
      <c r="IF18">
        <v>1.86172</v>
      </c>
      <c r="IG18">
        <v>1.86249</v>
      </c>
      <c r="IH18">
        <v>1.86331</v>
      </c>
      <c r="II18">
        <v>1.8613299999999999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-4.6310000000000002</v>
      </c>
      <c r="IX18">
        <v>0.35599999999999998</v>
      </c>
      <c r="IY18">
        <v>-2.7499604812205032</v>
      </c>
      <c r="IZ18">
        <v>-5.1756331061651789E-3</v>
      </c>
      <c r="JA18">
        <v>1.8217400814442949E-6</v>
      </c>
      <c r="JB18">
        <v>-1.9713393848198499E-10</v>
      </c>
      <c r="JC18">
        <v>-0.2189820197522826</v>
      </c>
      <c r="JD18">
        <v>2.7492919904454862E-4</v>
      </c>
      <c r="JE18">
        <v>8.6739513355948885E-4</v>
      </c>
      <c r="JF18">
        <v>-8.2500691715147318E-6</v>
      </c>
      <c r="JG18">
        <v>20</v>
      </c>
      <c r="JH18">
        <v>1893</v>
      </c>
      <c r="JI18">
        <v>2</v>
      </c>
      <c r="JJ18">
        <v>37</v>
      </c>
      <c r="JK18">
        <v>4.9000000000000004</v>
      </c>
      <c r="JL18">
        <v>4.9000000000000004</v>
      </c>
      <c r="JM18">
        <v>1.15967</v>
      </c>
      <c r="JN18">
        <v>2.4902299999999999</v>
      </c>
      <c r="JO18">
        <v>1.50024</v>
      </c>
      <c r="JP18">
        <v>2.2802699999999998</v>
      </c>
      <c r="JQ18">
        <v>1.4477500000000001</v>
      </c>
      <c r="JR18">
        <v>2.34009</v>
      </c>
      <c r="JS18">
        <v>37.241999999999997</v>
      </c>
      <c r="JT18">
        <v>15.970800000000001</v>
      </c>
      <c r="JU18">
        <v>18</v>
      </c>
      <c r="JV18">
        <v>540.59799999999996</v>
      </c>
      <c r="JW18">
        <v>456.755</v>
      </c>
      <c r="JX18">
        <v>31.927600000000002</v>
      </c>
      <c r="JY18">
        <v>32.766500000000001</v>
      </c>
      <c r="JZ18">
        <v>30.0002</v>
      </c>
      <c r="KA18">
        <v>32.767299999999999</v>
      </c>
      <c r="KB18">
        <v>32.734200000000001</v>
      </c>
      <c r="KC18">
        <v>23.1783</v>
      </c>
      <c r="KD18">
        <v>30.995000000000001</v>
      </c>
      <c r="KE18">
        <v>100</v>
      </c>
      <c r="KF18">
        <v>-999.9</v>
      </c>
      <c r="KG18">
        <v>455.31799999999998</v>
      </c>
      <c r="KH18">
        <v>30.346900000000002</v>
      </c>
      <c r="KI18">
        <v>100.574</v>
      </c>
      <c r="KJ18">
        <v>99.672899999999998</v>
      </c>
    </row>
    <row r="19" spans="1:296" x14ac:dyDescent="0.3">
      <c r="A19">
        <v>3</v>
      </c>
      <c r="B19">
        <v>1736186160</v>
      </c>
      <c r="C19">
        <v>385.40000009536737</v>
      </c>
      <c r="D19" t="s">
        <v>910</v>
      </c>
      <c r="E19" t="s">
        <v>911</v>
      </c>
      <c r="F19">
        <v>15</v>
      </c>
      <c r="H19">
        <v>1736186152</v>
      </c>
      <c r="I19">
        <f t="shared" si="0"/>
        <v>4.0730895646299654E-3</v>
      </c>
      <c r="J19">
        <f t="shared" si="1"/>
        <v>4.0730895646299654</v>
      </c>
      <c r="K19">
        <f t="shared" si="2"/>
        <v>42.934563867332791</v>
      </c>
      <c r="L19">
        <f t="shared" si="3"/>
        <v>418.79867741935487</v>
      </c>
      <c r="M19">
        <f t="shared" si="4"/>
        <v>123.20416120050383</v>
      </c>
      <c r="N19">
        <f t="shared" si="5"/>
        <v>12.01039405063316</v>
      </c>
      <c r="O19">
        <f t="shared" si="6"/>
        <v>40.826032941409174</v>
      </c>
      <c r="P19">
        <f t="shared" si="7"/>
        <v>0.24809763935185861</v>
      </c>
      <c r="Q19">
        <f t="shared" si="8"/>
        <v>2.8833693999265297</v>
      </c>
      <c r="R19">
        <f t="shared" si="9"/>
        <v>0.23681882475359647</v>
      </c>
      <c r="S19">
        <f t="shared" si="10"/>
        <v>0.14898238804849487</v>
      </c>
      <c r="T19">
        <f t="shared" si="11"/>
        <v>255.91931517745053</v>
      </c>
      <c r="U19">
        <f t="shared" si="12"/>
        <v>33.343666234569916</v>
      </c>
      <c r="V19">
        <f t="shared" si="13"/>
        <v>32.475658064516132</v>
      </c>
      <c r="W19">
        <f t="shared" si="14"/>
        <v>4.9051569498889371</v>
      </c>
      <c r="X19">
        <f t="shared" si="15"/>
        <v>65.709851294452733</v>
      </c>
      <c r="Y19">
        <f t="shared" si="16"/>
        <v>3.2990707325919497</v>
      </c>
      <c r="Z19">
        <f t="shared" si="17"/>
        <v>5.0206638237674106</v>
      </c>
      <c r="AA19">
        <f t="shared" si="18"/>
        <v>1.6060862172969874</v>
      </c>
      <c r="AB19">
        <f t="shared" si="19"/>
        <v>-179.62324980018147</v>
      </c>
      <c r="AC19">
        <f t="shared" si="20"/>
        <v>64.242734076279746</v>
      </c>
      <c r="AD19">
        <f t="shared" si="21"/>
        <v>5.0868155856134436</v>
      </c>
      <c r="AE19">
        <f t="shared" si="22"/>
        <v>145.62561503916226</v>
      </c>
      <c r="AF19">
        <f t="shared" si="23"/>
        <v>42.934563867332791</v>
      </c>
      <c r="AG19">
        <f t="shared" si="24"/>
        <v>4.0730895646299654</v>
      </c>
      <c r="AH19">
        <f t="shared" si="25"/>
        <v>42.768603729700139</v>
      </c>
      <c r="AI19">
        <v>486.86143534137813</v>
      </c>
      <c r="AJ19">
        <v>433.7435939393938</v>
      </c>
      <c r="AK19">
        <v>5.0423221241779267E-2</v>
      </c>
      <c r="AL19">
        <v>67.093667973369094</v>
      </c>
      <c r="AM19">
        <f t="shared" si="26"/>
        <v>4.2170239545936701</v>
      </c>
      <c r="AN19">
        <v>29.06629467984515</v>
      </c>
      <c r="AO19">
        <v>33.954568484848487</v>
      </c>
      <c r="AP19">
        <v>1.0062778890055549E-5</v>
      </c>
      <c r="AQ19">
        <v>78.250604181977621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50506.976158119884</v>
      </c>
      <c r="AW19" t="s">
        <v>903</v>
      </c>
      <c r="AX19">
        <v>5105.3</v>
      </c>
      <c r="AY19">
        <v>582.67647058823525</v>
      </c>
      <c r="AZ19">
        <v>2431.5</v>
      </c>
      <c r="BA19">
        <f t="shared" si="30"/>
        <v>0.76036336804925553</v>
      </c>
      <c r="BB19">
        <v>-6.5884728632969241</v>
      </c>
      <c r="BC19" t="s">
        <v>912</v>
      </c>
      <c r="BD19">
        <v>5093.51</v>
      </c>
      <c r="BE19">
        <v>744.40676470588244</v>
      </c>
      <c r="BF19">
        <v>933.73</v>
      </c>
      <c r="BG19">
        <f t="shared" si="31"/>
        <v>0.20276015046546392</v>
      </c>
      <c r="BH19">
        <v>0.5</v>
      </c>
      <c r="BI19">
        <f t="shared" si="32"/>
        <v>1344.3117869045793</v>
      </c>
      <c r="BJ19">
        <f t="shared" si="33"/>
        <v>42.934563867332791</v>
      </c>
      <c r="BK19">
        <f t="shared" si="34"/>
        <v>136.28643009263459</v>
      </c>
      <c r="BL19">
        <f t="shared" si="35"/>
        <v>3.6838951508906849E-2</v>
      </c>
      <c r="BM19">
        <f t="shared" si="36"/>
        <v>1.6040718408961905</v>
      </c>
      <c r="BN19">
        <f t="shared" si="37"/>
        <v>420.88907741968296</v>
      </c>
      <c r="BO19" t="s">
        <v>407</v>
      </c>
      <c r="BP19">
        <v>0</v>
      </c>
      <c r="BQ19">
        <f t="shared" si="38"/>
        <v>420.88907741968296</v>
      </c>
      <c r="BR19">
        <f t="shared" si="39"/>
        <v>0.54923899047938596</v>
      </c>
      <c r="BS19">
        <f t="shared" si="40"/>
        <v>0.36916561638949025</v>
      </c>
      <c r="BT19">
        <f t="shared" si="41"/>
        <v>0.74493278792986817</v>
      </c>
      <c r="BU19">
        <f t="shared" si="42"/>
        <v>0.53930019051895861</v>
      </c>
      <c r="BV19">
        <f t="shared" si="43"/>
        <v>0.81012058542793497</v>
      </c>
      <c r="BW19">
        <f t="shared" si="44"/>
        <v>0.20872697974289822</v>
      </c>
      <c r="BX19">
        <f t="shared" si="45"/>
        <v>0.79127302025710178</v>
      </c>
      <c r="DG19">
        <f t="shared" si="46"/>
        <v>1600.0290322580649</v>
      </c>
      <c r="DH19">
        <f t="shared" si="47"/>
        <v>1344.3117869045793</v>
      </c>
      <c r="DI19">
        <f t="shared" si="48"/>
        <v>0.84017962162061477</v>
      </c>
      <c r="DJ19">
        <f t="shared" si="49"/>
        <v>0.15994666972778648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1736186152</v>
      </c>
      <c r="DQ19">
        <v>418.79867741935487</v>
      </c>
      <c r="DR19">
        <v>472.36416129032261</v>
      </c>
      <c r="DS19">
        <v>33.842290322580652</v>
      </c>
      <c r="DT19">
        <v>29.12025483870968</v>
      </c>
      <c r="DU19">
        <v>423.4283870967742</v>
      </c>
      <c r="DV19">
        <v>33.527290322580647</v>
      </c>
      <c r="DW19">
        <v>500.02761290322582</v>
      </c>
      <c r="DX19">
        <v>97.436248387096782</v>
      </c>
      <c r="DY19">
        <v>4.7423703225806441E-2</v>
      </c>
      <c r="DZ19">
        <v>32.888932258064521</v>
      </c>
      <c r="EA19">
        <v>32.475658064516132</v>
      </c>
      <c r="EB19">
        <v>999.90000000000032</v>
      </c>
      <c r="EC19">
        <v>0</v>
      </c>
      <c r="ED19">
        <v>0</v>
      </c>
      <c r="EE19">
        <v>9995.322580645161</v>
      </c>
      <c r="EF19">
        <v>0</v>
      </c>
      <c r="EG19">
        <v>333.69229032258067</v>
      </c>
      <c r="EH19">
        <v>-53.565487096774191</v>
      </c>
      <c r="EI19">
        <v>433.533064516129</v>
      </c>
      <c r="EJ19">
        <v>486.53206451612903</v>
      </c>
      <c r="EK19">
        <v>4.8662893548387087</v>
      </c>
      <c r="EL19">
        <v>472.36416129032261</v>
      </c>
      <c r="EM19">
        <v>29.12025483870968</v>
      </c>
      <c r="EN19">
        <v>3.3115219354838712</v>
      </c>
      <c r="EO19">
        <v>2.8373687096774192</v>
      </c>
      <c r="EP19">
        <v>25.683196774193551</v>
      </c>
      <c r="EQ19">
        <v>23.103067741935469</v>
      </c>
      <c r="ER19">
        <v>1600.0290322580649</v>
      </c>
      <c r="ES19">
        <v>0.99399445161290301</v>
      </c>
      <c r="ET19">
        <v>6.0058093548387087E-3</v>
      </c>
      <c r="EU19">
        <v>0</v>
      </c>
      <c r="EV19">
        <v>744.00777419354836</v>
      </c>
      <c r="EW19">
        <v>5.0010700000000003</v>
      </c>
      <c r="EX19">
        <v>16219.54193548387</v>
      </c>
      <c r="EY19">
        <v>14578.73870967742</v>
      </c>
      <c r="EZ19">
        <v>40.172999999999981</v>
      </c>
      <c r="FA19">
        <v>41.878999999999991</v>
      </c>
      <c r="FB19">
        <v>40.949193548387093</v>
      </c>
      <c r="FC19">
        <v>41.32225806451612</v>
      </c>
      <c r="FD19">
        <v>42.019999999999982</v>
      </c>
      <c r="FE19">
        <v>1585.4490322580641</v>
      </c>
      <c r="FF19">
        <v>9.5799999999999983</v>
      </c>
      <c r="FG19">
        <v>0</v>
      </c>
      <c r="FH19">
        <v>202.5999999046326</v>
      </c>
      <c r="FI19">
        <v>0</v>
      </c>
      <c r="FJ19">
        <v>744.40676470588244</v>
      </c>
      <c r="FK19">
        <v>4.0139706051941353</v>
      </c>
      <c r="FL19">
        <v>-919.16667664419367</v>
      </c>
      <c r="FM19">
        <v>16229.34705882353</v>
      </c>
      <c r="FN19">
        <v>10</v>
      </c>
      <c r="FO19">
        <v>1736186193</v>
      </c>
      <c r="FP19" t="s">
        <v>913</v>
      </c>
      <c r="FQ19">
        <v>1736185661.0999999</v>
      </c>
      <c r="FR19">
        <v>1736186193</v>
      </c>
      <c r="FS19">
        <v>4</v>
      </c>
      <c r="FT19">
        <v>1.7000000000000001E-2</v>
      </c>
      <c r="FU19">
        <v>-1E-3</v>
      </c>
      <c r="FV19">
        <v>-4.6900000000000004</v>
      </c>
      <c r="FW19">
        <v>0.315</v>
      </c>
      <c r="FX19">
        <v>435</v>
      </c>
      <c r="FY19">
        <v>29</v>
      </c>
      <c r="FZ19">
        <v>0.67</v>
      </c>
      <c r="GA19">
        <v>7.0000000000000007E-2</v>
      </c>
      <c r="GB19">
        <v>-53.335778048780483</v>
      </c>
      <c r="GC19">
        <v>-4.5922682926829523</v>
      </c>
      <c r="GD19">
        <v>0.48621816016500402</v>
      </c>
      <c r="GE19">
        <v>0</v>
      </c>
      <c r="GF19">
        <v>743.66300000000001</v>
      </c>
      <c r="GG19">
        <v>7.8698854128028133</v>
      </c>
      <c r="GH19">
        <v>0.80218770724006017</v>
      </c>
      <c r="GI19">
        <v>1</v>
      </c>
      <c r="GJ19">
        <v>4.8221458536585367</v>
      </c>
      <c r="GK19">
        <v>0.84757149825783584</v>
      </c>
      <c r="GL19">
        <v>9.5020120359067914E-2</v>
      </c>
      <c r="GM19">
        <v>0</v>
      </c>
      <c r="GN19">
        <v>1</v>
      </c>
      <c r="GO19">
        <v>3</v>
      </c>
      <c r="GP19" t="s">
        <v>597</v>
      </c>
      <c r="GQ19">
        <v>3.1329899999999999</v>
      </c>
      <c r="GR19">
        <v>2.7237300000000002</v>
      </c>
      <c r="GS19">
        <v>9.1129500000000002E-2</v>
      </c>
      <c r="GT19">
        <v>9.9707799999999999E-2</v>
      </c>
      <c r="GU19">
        <v>0.14102600000000001</v>
      </c>
      <c r="GV19">
        <v>0.12812499999999999</v>
      </c>
      <c r="GW19">
        <v>22836.799999999999</v>
      </c>
      <c r="GX19">
        <v>30439.3</v>
      </c>
      <c r="GY19">
        <v>27251.200000000001</v>
      </c>
      <c r="GZ19">
        <v>34760.400000000001</v>
      </c>
      <c r="HA19">
        <v>34262.300000000003</v>
      </c>
      <c r="HB19">
        <v>38675.1</v>
      </c>
      <c r="HC19">
        <v>40227.9</v>
      </c>
      <c r="HD19">
        <v>44443.9</v>
      </c>
      <c r="HE19">
        <v>1.9758</v>
      </c>
      <c r="HF19">
        <v>1.8171999999999999</v>
      </c>
      <c r="HG19">
        <v>5.3197099999999997E-2</v>
      </c>
      <c r="HH19">
        <v>0</v>
      </c>
      <c r="HI19">
        <v>31.615300000000001</v>
      </c>
      <c r="HJ19">
        <v>999.9</v>
      </c>
      <c r="HK19">
        <v>71.3</v>
      </c>
      <c r="HL19">
        <v>32.700000000000003</v>
      </c>
      <c r="HM19">
        <v>36.348999999999997</v>
      </c>
      <c r="HN19">
        <v>59.64</v>
      </c>
      <c r="HO19">
        <v>6.7988799999999996</v>
      </c>
      <c r="HP19">
        <v>1</v>
      </c>
      <c r="HQ19">
        <v>0.44983699999999999</v>
      </c>
      <c r="HR19">
        <v>0</v>
      </c>
      <c r="HS19">
        <v>20.2836</v>
      </c>
      <c r="HT19">
        <v>5.2112999999999996</v>
      </c>
      <c r="HU19">
        <v>11.902100000000001</v>
      </c>
      <c r="HV19">
        <v>4.9859999999999998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1.8672200000000001</v>
      </c>
      <c r="IC19">
        <v>1.8627899999999999</v>
      </c>
      <c r="ID19">
        <v>1.8622099999999999</v>
      </c>
      <c r="IE19">
        <v>1.86172</v>
      </c>
      <c r="IF19">
        <v>1.86188</v>
      </c>
      <c r="IG19">
        <v>1.86252</v>
      </c>
      <c r="IH19">
        <v>1.86337</v>
      </c>
      <c r="II19">
        <v>1.8613299999999999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-4.6310000000000002</v>
      </c>
      <c r="IX19">
        <v>0.315</v>
      </c>
      <c r="IY19">
        <v>-2.7499604812205032</v>
      </c>
      <c r="IZ19">
        <v>-5.1756331061651789E-3</v>
      </c>
      <c r="JA19">
        <v>1.8217400814442949E-6</v>
      </c>
      <c r="JB19">
        <v>-1.9713393848198499E-10</v>
      </c>
      <c r="JC19">
        <v>-0.2140636779357821</v>
      </c>
      <c r="JD19">
        <v>2.7492919904454862E-4</v>
      </c>
      <c r="JE19">
        <v>8.6739513355948885E-4</v>
      </c>
      <c r="JF19">
        <v>-8.2500691715147318E-6</v>
      </c>
      <c r="JG19">
        <v>20</v>
      </c>
      <c r="JH19">
        <v>1893</v>
      </c>
      <c r="JI19">
        <v>2</v>
      </c>
      <c r="JJ19">
        <v>37</v>
      </c>
      <c r="JK19">
        <v>8.3000000000000007</v>
      </c>
      <c r="JL19">
        <v>3</v>
      </c>
      <c r="JM19">
        <v>1.1962900000000001</v>
      </c>
      <c r="JN19">
        <v>2.4865699999999999</v>
      </c>
      <c r="JO19">
        <v>1.50024</v>
      </c>
      <c r="JP19">
        <v>2.2802699999999998</v>
      </c>
      <c r="JQ19">
        <v>1.4477500000000001</v>
      </c>
      <c r="JR19">
        <v>2.4047900000000002</v>
      </c>
      <c r="JS19">
        <v>37.650399999999998</v>
      </c>
      <c r="JT19">
        <v>15.962</v>
      </c>
      <c r="JU19">
        <v>18</v>
      </c>
      <c r="JV19">
        <v>542.01400000000001</v>
      </c>
      <c r="JW19">
        <v>452.91300000000001</v>
      </c>
      <c r="JX19">
        <v>32.170200000000001</v>
      </c>
      <c r="JY19">
        <v>32.889200000000002</v>
      </c>
      <c r="JZ19">
        <v>30.000499999999999</v>
      </c>
      <c r="KA19">
        <v>32.857300000000002</v>
      </c>
      <c r="KB19">
        <v>32.823799999999999</v>
      </c>
      <c r="KC19">
        <v>23.933800000000002</v>
      </c>
      <c r="KD19">
        <v>34.220599999999997</v>
      </c>
      <c r="KE19">
        <v>99.256</v>
      </c>
      <c r="KF19">
        <v>-999.9</v>
      </c>
      <c r="KG19">
        <v>473.226</v>
      </c>
      <c r="KH19">
        <v>29.005500000000001</v>
      </c>
      <c r="KI19">
        <v>100.554</v>
      </c>
      <c r="KJ19">
        <v>99.655799999999999</v>
      </c>
    </row>
    <row r="20" spans="1:296" x14ac:dyDescent="0.3">
      <c r="A20">
        <v>4</v>
      </c>
      <c r="B20">
        <v>1736186361.5</v>
      </c>
      <c r="C20">
        <v>586.90000009536743</v>
      </c>
      <c r="D20" t="s">
        <v>914</v>
      </c>
      <c r="E20" t="s">
        <v>915</v>
      </c>
      <c r="F20">
        <v>15</v>
      </c>
      <c r="H20">
        <v>1736186353.75</v>
      </c>
      <c r="I20">
        <f t="shared" si="0"/>
        <v>4.8560730236956104E-3</v>
      </c>
      <c r="J20">
        <f t="shared" si="1"/>
        <v>4.8560730236956102</v>
      </c>
      <c r="K20">
        <f t="shared" si="2"/>
        <v>49.027657976728136</v>
      </c>
      <c r="L20">
        <f t="shared" si="3"/>
        <v>419.61450000000002</v>
      </c>
      <c r="M20">
        <f t="shared" si="4"/>
        <v>140.62219235351074</v>
      </c>
      <c r="N20">
        <f t="shared" si="5"/>
        <v>13.709300305596013</v>
      </c>
      <c r="O20">
        <f t="shared" si="6"/>
        <v>40.90834523914247</v>
      </c>
      <c r="P20">
        <f t="shared" si="7"/>
        <v>0.303360187363998</v>
      </c>
      <c r="Q20">
        <f t="shared" si="8"/>
        <v>2.8869035925372697</v>
      </c>
      <c r="R20">
        <f t="shared" si="9"/>
        <v>0.28669784298019113</v>
      </c>
      <c r="S20">
        <f t="shared" si="10"/>
        <v>0.18060689036948566</v>
      </c>
      <c r="T20">
        <f t="shared" si="11"/>
        <v>224.00616756810146</v>
      </c>
      <c r="U20">
        <f t="shared" si="12"/>
        <v>32.991385367577919</v>
      </c>
      <c r="V20">
        <f t="shared" si="13"/>
        <v>32.432553333333338</v>
      </c>
      <c r="W20">
        <f t="shared" si="14"/>
        <v>4.8932437895213576</v>
      </c>
      <c r="X20">
        <f t="shared" si="15"/>
        <v>65.794080154714138</v>
      </c>
      <c r="Y20">
        <f t="shared" si="16"/>
        <v>3.3114434127119741</v>
      </c>
      <c r="Z20">
        <f t="shared" si="17"/>
        <v>5.0330415820468151</v>
      </c>
      <c r="AA20">
        <f t="shared" si="18"/>
        <v>1.5818003768093836</v>
      </c>
      <c r="AB20">
        <f t="shared" si="19"/>
        <v>-214.15282034497642</v>
      </c>
      <c r="AC20">
        <f t="shared" si="20"/>
        <v>77.846350623156255</v>
      </c>
      <c r="AD20">
        <f t="shared" si="21"/>
        <v>6.1564421349650358</v>
      </c>
      <c r="AE20">
        <f t="shared" si="22"/>
        <v>93.856139981246329</v>
      </c>
      <c r="AF20">
        <f t="shared" si="23"/>
        <v>49.027657976728136</v>
      </c>
      <c r="AG20">
        <f t="shared" si="24"/>
        <v>4.8560730236956102</v>
      </c>
      <c r="AH20">
        <f t="shared" si="25"/>
        <v>49.180431655770086</v>
      </c>
      <c r="AI20">
        <v>495.06123564998501</v>
      </c>
      <c r="AJ20">
        <v>434.36710303030281</v>
      </c>
      <c r="AK20">
        <v>-6.7227474650717071E-3</v>
      </c>
      <c r="AL20">
        <v>67.094029454963589</v>
      </c>
      <c r="AM20">
        <f t="shared" si="26"/>
        <v>4.8618191656689351</v>
      </c>
      <c r="AN20">
        <v>28.346939042932249</v>
      </c>
      <c r="AO20">
        <v>33.978824242424253</v>
      </c>
      <c r="AP20">
        <v>5.3719063720874248E-4</v>
      </c>
      <c r="AQ20">
        <v>78.251394462142699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50598.376373780513</v>
      </c>
      <c r="AW20" t="s">
        <v>903</v>
      </c>
      <c r="AX20">
        <v>5105.3</v>
      </c>
      <c r="AY20">
        <v>582.67647058823525</v>
      </c>
      <c r="AZ20">
        <v>2431.5</v>
      </c>
      <c r="BA20">
        <f t="shared" si="30"/>
        <v>0.76036336804925553</v>
      </c>
      <c r="BB20">
        <v>-6.5884728632969241</v>
      </c>
      <c r="BC20" t="s">
        <v>916</v>
      </c>
      <c r="BD20">
        <v>5095.8900000000003</v>
      </c>
      <c r="BE20">
        <v>768.24364705882351</v>
      </c>
      <c r="BF20">
        <v>1064.8</v>
      </c>
      <c r="BG20">
        <f t="shared" si="31"/>
        <v>0.27850897158262256</v>
      </c>
      <c r="BH20">
        <v>0.5</v>
      </c>
      <c r="BI20">
        <f t="shared" si="32"/>
        <v>1176.2983997762185</v>
      </c>
      <c r="BJ20">
        <f t="shared" si="33"/>
        <v>49.027657976728136</v>
      </c>
      <c r="BK20">
        <f t="shared" si="34"/>
        <v>163.80482879797961</v>
      </c>
      <c r="BL20">
        <f t="shared" si="35"/>
        <v>4.7280631216199555E-2</v>
      </c>
      <c r="BM20">
        <f t="shared" si="36"/>
        <v>1.2835274229902329</v>
      </c>
      <c r="BN20">
        <f t="shared" si="37"/>
        <v>445.61433068556755</v>
      </c>
      <c r="BO20" t="s">
        <v>407</v>
      </c>
      <c r="BP20">
        <v>0</v>
      </c>
      <c r="BQ20">
        <f t="shared" si="38"/>
        <v>445.61433068556755</v>
      </c>
      <c r="BR20">
        <f t="shared" si="39"/>
        <v>0.58150419732760372</v>
      </c>
      <c r="BS20">
        <f t="shared" si="40"/>
        <v>0.4789457631820293</v>
      </c>
      <c r="BT20">
        <f t="shared" si="41"/>
        <v>0.68820678910070998</v>
      </c>
      <c r="BU20">
        <f t="shared" si="42"/>
        <v>0.61510450092116975</v>
      </c>
      <c r="BV20">
        <f t="shared" si="43"/>
        <v>0.73922685332484883</v>
      </c>
      <c r="BW20">
        <f t="shared" si="44"/>
        <v>0.27780912541500863</v>
      </c>
      <c r="BX20">
        <f t="shared" si="45"/>
        <v>0.72219087458499143</v>
      </c>
      <c r="DG20">
        <f t="shared" si="46"/>
        <v>1400.0066666666669</v>
      </c>
      <c r="DH20">
        <f t="shared" si="47"/>
        <v>1176.2983997762185</v>
      </c>
      <c r="DI20">
        <f t="shared" si="48"/>
        <v>0.84020914170138594</v>
      </c>
      <c r="DJ20">
        <f t="shared" si="49"/>
        <v>0.16000364348367491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1736186353.75</v>
      </c>
      <c r="DQ20">
        <v>419.61450000000002</v>
      </c>
      <c r="DR20">
        <v>480.8837666666667</v>
      </c>
      <c r="DS20">
        <v>33.966900000000003</v>
      </c>
      <c r="DT20">
        <v>28.338386666666661</v>
      </c>
      <c r="DU20">
        <v>424.25843333333341</v>
      </c>
      <c r="DV20">
        <v>33.512836666666672</v>
      </c>
      <c r="DW20">
        <v>500.07456666666673</v>
      </c>
      <c r="DX20">
        <v>97.44259000000001</v>
      </c>
      <c r="DY20">
        <v>4.771417E-2</v>
      </c>
      <c r="DZ20">
        <v>32.93272666666666</v>
      </c>
      <c r="EA20">
        <v>32.432553333333338</v>
      </c>
      <c r="EB20">
        <v>999.9000000000002</v>
      </c>
      <c r="EC20">
        <v>0</v>
      </c>
      <c r="ED20">
        <v>0</v>
      </c>
      <c r="EE20">
        <v>10015</v>
      </c>
      <c r="EF20">
        <v>0</v>
      </c>
      <c r="EG20">
        <v>407.4727666666667</v>
      </c>
      <c r="EH20">
        <v>-61.269236666666657</v>
      </c>
      <c r="EI20">
        <v>434.36863333333338</v>
      </c>
      <c r="EJ20">
        <v>494.90853333333342</v>
      </c>
      <c r="EK20">
        <v>5.6285159999999994</v>
      </c>
      <c r="EL20">
        <v>480.8837666666667</v>
      </c>
      <c r="EM20">
        <v>28.338386666666661</v>
      </c>
      <c r="EN20">
        <v>3.3098243333333341</v>
      </c>
      <c r="EO20">
        <v>2.7613656666666659</v>
      </c>
      <c r="EP20">
        <v>25.674553333333328</v>
      </c>
      <c r="EQ20">
        <v>22.65493</v>
      </c>
      <c r="ER20">
        <v>1400.0066666666669</v>
      </c>
      <c r="ES20">
        <v>0.99300336666666689</v>
      </c>
      <c r="ET20">
        <v>6.9964386666666661E-3</v>
      </c>
      <c r="EU20">
        <v>0</v>
      </c>
      <c r="EV20">
        <v>767.94253333333324</v>
      </c>
      <c r="EW20">
        <v>5.0010700000000003</v>
      </c>
      <c r="EX20">
        <v>15491.306666666669</v>
      </c>
      <c r="EY20">
        <v>12745.603333333331</v>
      </c>
      <c r="EZ20">
        <v>40.089299999999987</v>
      </c>
      <c r="FA20">
        <v>42.254133333333328</v>
      </c>
      <c r="FB20">
        <v>41.131200000000007</v>
      </c>
      <c r="FC20">
        <v>41.160200000000003</v>
      </c>
      <c r="FD20">
        <v>42.126899999999999</v>
      </c>
      <c r="FE20">
        <v>1385.2466666666669</v>
      </c>
      <c r="FF20">
        <v>9.759999999999998</v>
      </c>
      <c r="FG20">
        <v>0</v>
      </c>
      <c r="FH20">
        <v>201</v>
      </c>
      <c r="FI20">
        <v>0</v>
      </c>
      <c r="FJ20">
        <v>768.24364705882351</v>
      </c>
      <c r="FK20">
        <v>3.6240195378890232</v>
      </c>
      <c r="FL20">
        <v>1508.9705787850421</v>
      </c>
      <c r="FM20">
        <v>15592.64705882353</v>
      </c>
      <c r="FN20">
        <v>10</v>
      </c>
      <c r="FO20">
        <v>1736186260.5</v>
      </c>
      <c r="FP20" t="s">
        <v>917</v>
      </c>
      <c r="FQ20">
        <v>1736186257.5</v>
      </c>
      <c r="FR20">
        <v>1736186260.5</v>
      </c>
      <c r="FS20">
        <v>5</v>
      </c>
      <c r="FT20">
        <v>-1.0999999999999999E-2</v>
      </c>
      <c r="FU20">
        <v>-3.0000000000000001E-3</v>
      </c>
      <c r="FV20">
        <v>-4.851</v>
      </c>
      <c r="FW20">
        <v>0.309</v>
      </c>
      <c r="FX20">
        <v>476</v>
      </c>
      <c r="FY20">
        <v>29</v>
      </c>
      <c r="FZ20">
        <v>0.16</v>
      </c>
      <c r="GA20">
        <v>7.0000000000000007E-2</v>
      </c>
      <c r="GB20">
        <v>-61.226200000000013</v>
      </c>
      <c r="GC20">
        <v>-0.94935261324057141</v>
      </c>
      <c r="GD20">
        <v>0.17207801974118819</v>
      </c>
      <c r="GE20">
        <v>1</v>
      </c>
      <c r="GF20">
        <v>767.6944411764706</v>
      </c>
      <c r="GG20">
        <v>4.8094270349909198</v>
      </c>
      <c r="GH20">
        <v>0.56426366340028133</v>
      </c>
      <c r="GI20">
        <v>1</v>
      </c>
      <c r="GJ20">
        <v>5.6287173170731712</v>
      </c>
      <c r="GK20">
        <v>-9.3041811846647556E-3</v>
      </c>
      <c r="GL20">
        <v>5.3553784336643658E-3</v>
      </c>
      <c r="GM20">
        <v>1</v>
      </c>
      <c r="GN20">
        <v>3</v>
      </c>
      <c r="GO20">
        <v>3</v>
      </c>
      <c r="GP20" t="s">
        <v>599</v>
      </c>
      <c r="GQ20">
        <v>3.1342099999999999</v>
      </c>
      <c r="GR20">
        <v>2.72526</v>
      </c>
      <c r="GS20">
        <v>9.1192599999999999E-2</v>
      </c>
      <c r="GT20">
        <v>0.10092</v>
      </c>
      <c r="GU20">
        <v>0.14108000000000001</v>
      </c>
      <c r="GV20">
        <v>0.125916</v>
      </c>
      <c r="GW20">
        <v>22828.5</v>
      </c>
      <c r="GX20">
        <v>30389.3</v>
      </c>
      <c r="GY20">
        <v>27244</v>
      </c>
      <c r="GZ20">
        <v>34751.5</v>
      </c>
      <c r="HA20">
        <v>34253.800000000003</v>
      </c>
      <c r="HB20">
        <v>38767.5</v>
      </c>
      <c r="HC20">
        <v>40219</v>
      </c>
      <c r="HD20">
        <v>44436.5</v>
      </c>
      <c r="HE20">
        <v>1.9756</v>
      </c>
      <c r="HF20">
        <v>1.8088</v>
      </c>
      <c r="HG20">
        <v>4.1127200000000003E-2</v>
      </c>
      <c r="HH20">
        <v>0</v>
      </c>
      <c r="HI20">
        <v>31.736699999999999</v>
      </c>
      <c r="HJ20">
        <v>999.9</v>
      </c>
      <c r="HK20">
        <v>71.099999999999994</v>
      </c>
      <c r="HL20">
        <v>33</v>
      </c>
      <c r="HM20">
        <v>36.861699999999999</v>
      </c>
      <c r="HN20">
        <v>59.79</v>
      </c>
      <c r="HO20">
        <v>6.6947099999999997</v>
      </c>
      <c r="HP20">
        <v>1</v>
      </c>
      <c r="HQ20">
        <v>0.46451199999999998</v>
      </c>
      <c r="HR20">
        <v>0</v>
      </c>
      <c r="HS20">
        <v>20.2851</v>
      </c>
      <c r="HT20">
        <v>5.2100999999999997</v>
      </c>
      <c r="HU20">
        <v>11.902100000000001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1.8672200000000001</v>
      </c>
      <c r="IC20">
        <v>1.8627899999999999</v>
      </c>
      <c r="ID20">
        <v>1.8622399999999999</v>
      </c>
      <c r="IE20">
        <v>1.86172</v>
      </c>
      <c r="IF20">
        <v>1.86185</v>
      </c>
      <c r="IG20">
        <v>1.86249</v>
      </c>
      <c r="IH20">
        <v>1.86337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-4.6440000000000001</v>
      </c>
      <c r="IX20">
        <v>0.45450000000000002</v>
      </c>
      <c r="IY20">
        <v>-2.7609705785245908</v>
      </c>
      <c r="IZ20">
        <v>-5.1756331061651789E-3</v>
      </c>
      <c r="JA20">
        <v>1.8217400814442949E-6</v>
      </c>
      <c r="JB20">
        <v>-1.9713393848198499E-10</v>
      </c>
      <c r="JC20">
        <v>-0.21880353546470591</v>
      </c>
      <c r="JD20">
        <v>2.7492919904454862E-4</v>
      </c>
      <c r="JE20">
        <v>8.6739513355948885E-4</v>
      </c>
      <c r="JF20">
        <v>-8.2500691715147318E-6</v>
      </c>
      <c r="JG20">
        <v>20</v>
      </c>
      <c r="JH20">
        <v>1893</v>
      </c>
      <c r="JI20">
        <v>2</v>
      </c>
      <c r="JJ20">
        <v>37</v>
      </c>
      <c r="JK20">
        <v>1.7</v>
      </c>
      <c r="JL20">
        <v>1.7</v>
      </c>
      <c r="JM20">
        <v>1.2121599999999999</v>
      </c>
      <c r="JN20">
        <v>2.5</v>
      </c>
      <c r="JO20">
        <v>1.50024</v>
      </c>
      <c r="JP20">
        <v>2.2802699999999998</v>
      </c>
      <c r="JQ20">
        <v>1.4477500000000001</v>
      </c>
      <c r="JR20">
        <v>2.4365199999999998</v>
      </c>
      <c r="JS20">
        <v>38.110599999999998</v>
      </c>
      <c r="JT20">
        <v>15.9445</v>
      </c>
      <c r="JU20">
        <v>18</v>
      </c>
      <c r="JV20">
        <v>543.20299999999997</v>
      </c>
      <c r="JW20">
        <v>448.64299999999997</v>
      </c>
      <c r="JX20">
        <v>32.341500000000003</v>
      </c>
      <c r="JY20">
        <v>33.068399999999997</v>
      </c>
      <c r="JZ20">
        <v>30.000499999999999</v>
      </c>
      <c r="KA20">
        <v>33.015000000000001</v>
      </c>
      <c r="KB20">
        <v>32.975000000000001</v>
      </c>
      <c r="KC20">
        <v>24.255400000000002</v>
      </c>
      <c r="KD20">
        <v>36.306600000000003</v>
      </c>
      <c r="KE20">
        <v>97.745999999999995</v>
      </c>
      <c r="KF20">
        <v>-999.9</v>
      </c>
      <c r="KG20">
        <v>481.24200000000002</v>
      </c>
      <c r="KH20">
        <v>28.2821</v>
      </c>
      <c r="KI20">
        <v>100.53</v>
      </c>
      <c r="KJ20">
        <v>99.635300000000001</v>
      </c>
    </row>
    <row r="21" spans="1:296" x14ac:dyDescent="0.3">
      <c r="A21">
        <v>5</v>
      </c>
      <c r="B21">
        <v>1736186488.5</v>
      </c>
      <c r="C21">
        <v>713.90000009536743</v>
      </c>
      <c r="D21" t="s">
        <v>918</v>
      </c>
      <c r="E21" t="s">
        <v>919</v>
      </c>
      <c r="F21">
        <v>15</v>
      </c>
      <c r="H21">
        <v>1736186480.75</v>
      </c>
      <c r="I21">
        <f t="shared" si="0"/>
        <v>4.8739962681266505E-3</v>
      </c>
      <c r="J21">
        <f t="shared" si="1"/>
        <v>4.8739962681266507</v>
      </c>
      <c r="K21">
        <f t="shared" si="2"/>
        <v>46.863156286754133</v>
      </c>
      <c r="L21">
        <f t="shared" si="3"/>
        <v>419.80963333333341</v>
      </c>
      <c r="M21">
        <f t="shared" si="4"/>
        <v>154.92918094930783</v>
      </c>
      <c r="N21">
        <f t="shared" si="5"/>
        <v>15.104445379537699</v>
      </c>
      <c r="O21">
        <f t="shared" si="6"/>
        <v>40.928323751752288</v>
      </c>
      <c r="P21">
        <f t="shared" si="7"/>
        <v>0.30619762496305314</v>
      </c>
      <c r="Q21">
        <f t="shared" si="8"/>
        <v>2.8849403106547231</v>
      </c>
      <c r="R21">
        <f t="shared" si="9"/>
        <v>0.28922062451221064</v>
      </c>
      <c r="S21">
        <f t="shared" si="10"/>
        <v>0.18220972242512443</v>
      </c>
      <c r="T21">
        <f t="shared" si="11"/>
        <v>176.13019564410914</v>
      </c>
      <c r="U21">
        <f t="shared" si="12"/>
        <v>32.756542663035503</v>
      </c>
      <c r="V21">
        <f t="shared" si="13"/>
        <v>32.458629999999992</v>
      </c>
      <c r="W21">
        <f t="shared" si="14"/>
        <v>4.9004477700180855</v>
      </c>
      <c r="X21">
        <f t="shared" si="15"/>
        <v>65.895320294041284</v>
      </c>
      <c r="Y21">
        <f t="shared" si="16"/>
        <v>3.3268094604804084</v>
      </c>
      <c r="Z21">
        <f t="shared" si="17"/>
        <v>5.0486278018459556</v>
      </c>
      <c r="AA21">
        <f t="shared" si="18"/>
        <v>1.5736383095376771</v>
      </c>
      <c r="AB21">
        <f t="shared" si="19"/>
        <v>-214.94323542438528</v>
      </c>
      <c r="AC21">
        <f t="shared" si="20"/>
        <v>82.29401379204586</v>
      </c>
      <c r="AD21">
        <f t="shared" si="21"/>
        <v>6.5152048031359682</v>
      </c>
      <c r="AE21">
        <f t="shared" si="22"/>
        <v>49.996178814905676</v>
      </c>
      <c r="AF21">
        <f t="shared" si="23"/>
        <v>46.863156286754133</v>
      </c>
      <c r="AG21">
        <f t="shared" si="24"/>
        <v>4.8739962681266507</v>
      </c>
      <c r="AH21">
        <f t="shared" si="25"/>
        <v>47.182782032163857</v>
      </c>
      <c r="AI21">
        <v>492.85088597421571</v>
      </c>
      <c r="AJ21">
        <v>434.56240606060612</v>
      </c>
      <c r="AK21">
        <v>1.916806888202525E-3</v>
      </c>
      <c r="AL21">
        <v>67.094713100086338</v>
      </c>
      <c r="AM21">
        <f t="shared" si="26"/>
        <v>4.8725055331724407</v>
      </c>
      <c r="AN21">
        <v>28.44615928807082</v>
      </c>
      <c r="AO21">
        <v>34.097489696969689</v>
      </c>
      <c r="AP21">
        <v>-6.1887400796013488E-4</v>
      </c>
      <c r="AQ21">
        <v>78.253225887478536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50534.606732128959</v>
      </c>
      <c r="AW21" t="s">
        <v>903</v>
      </c>
      <c r="AX21">
        <v>5105.3</v>
      </c>
      <c r="AY21">
        <v>582.67647058823525</v>
      </c>
      <c r="AZ21">
        <v>2431.5</v>
      </c>
      <c r="BA21">
        <f t="shared" si="30"/>
        <v>0.76036336804925553</v>
      </c>
      <c r="BB21">
        <v>-6.5884728632969241</v>
      </c>
      <c r="BC21" t="s">
        <v>920</v>
      </c>
      <c r="BD21">
        <v>5096.78</v>
      </c>
      <c r="BE21">
        <v>783.59441176470591</v>
      </c>
      <c r="BF21">
        <v>1223.19</v>
      </c>
      <c r="BG21">
        <f t="shared" si="31"/>
        <v>0.35938455042576711</v>
      </c>
      <c r="BH21">
        <v>0.5</v>
      </c>
      <c r="BI21">
        <f t="shared" si="32"/>
        <v>924.28937971197365</v>
      </c>
      <c r="BJ21">
        <f t="shared" si="33"/>
        <v>46.863156286754133</v>
      </c>
      <c r="BK21">
        <f t="shared" si="34"/>
        <v>166.08766159554941</v>
      </c>
      <c r="BL21">
        <f t="shared" si="35"/>
        <v>5.782997221790822E-2</v>
      </c>
      <c r="BM21">
        <f t="shared" si="36"/>
        <v>0.98783508694479183</v>
      </c>
      <c r="BN21">
        <f t="shared" si="37"/>
        <v>471.14607713590669</v>
      </c>
      <c r="BO21" t="s">
        <v>407</v>
      </c>
      <c r="BP21">
        <v>0</v>
      </c>
      <c r="BQ21">
        <f t="shared" si="38"/>
        <v>471.14607713590669</v>
      </c>
      <c r="BR21">
        <f t="shared" si="39"/>
        <v>0.61482183705237392</v>
      </c>
      <c r="BS21">
        <f t="shared" si="40"/>
        <v>0.5845344598506067</v>
      </c>
      <c r="BT21">
        <f t="shared" si="41"/>
        <v>0.61637339355265452</v>
      </c>
      <c r="BU21">
        <f t="shared" si="42"/>
        <v>0.68631741259081636</v>
      </c>
      <c r="BV21">
        <f t="shared" si="43"/>
        <v>0.65355615653833909</v>
      </c>
      <c r="BW21">
        <f t="shared" si="44"/>
        <v>0.35145875669167692</v>
      </c>
      <c r="BX21">
        <f t="shared" si="45"/>
        <v>0.64854124330832308</v>
      </c>
      <c r="DG21">
        <f t="shared" si="46"/>
        <v>1099.992</v>
      </c>
      <c r="DH21">
        <f t="shared" si="47"/>
        <v>924.28937971197365</v>
      </c>
      <c r="DI21">
        <f t="shared" si="48"/>
        <v>0.84026918351403801</v>
      </c>
      <c r="DJ21">
        <f t="shared" si="49"/>
        <v>0.16011952418209327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1736186480.75</v>
      </c>
      <c r="DQ21">
        <v>419.80963333333341</v>
      </c>
      <c r="DR21">
        <v>478.50063333333338</v>
      </c>
      <c r="DS21">
        <v>34.123720000000013</v>
      </c>
      <c r="DT21">
        <v>28.47452333333333</v>
      </c>
      <c r="DU21">
        <v>424.46223333333342</v>
      </c>
      <c r="DV21">
        <v>33.670823333333338</v>
      </c>
      <c r="DW21">
        <v>500.00143333333341</v>
      </c>
      <c r="DX21">
        <v>97.444580000000002</v>
      </c>
      <c r="DY21">
        <v>4.7998783333333322E-2</v>
      </c>
      <c r="DZ21">
        <v>32.987740000000002</v>
      </c>
      <c r="EA21">
        <v>32.458629999999992</v>
      </c>
      <c r="EB21">
        <v>999.9000000000002</v>
      </c>
      <c r="EC21">
        <v>0</v>
      </c>
      <c r="ED21">
        <v>0</v>
      </c>
      <c r="EE21">
        <v>10003.5</v>
      </c>
      <c r="EF21">
        <v>0</v>
      </c>
      <c r="EG21">
        <v>283.99153333333328</v>
      </c>
      <c r="EH21">
        <v>-58.691020000000002</v>
      </c>
      <c r="EI21">
        <v>434.64109999999999</v>
      </c>
      <c r="EJ21">
        <v>492.52496666666678</v>
      </c>
      <c r="EK21">
        <v>5.649194333333333</v>
      </c>
      <c r="EL21">
        <v>478.50063333333338</v>
      </c>
      <c r="EM21">
        <v>28.47452333333333</v>
      </c>
      <c r="EN21">
        <v>3.3251710000000001</v>
      </c>
      <c r="EO21">
        <v>2.7746876666666669</v>
      </c>
      <c r="EP21">
        <v>25.752573333333331</v>
      </c>
      <c r="EQ21">
        <v>22.734263333333331</v>
      </c>
      <c r="ER21">
        <v>1099.992</v>
      </c>
      <c r="ES21">
        <v>0.99098753333333345</v>
      </c>
      <c r="ET21">
        <v>9.0121636666666664E-3</v>
      </c>
      <c r="EU21">
        <v>0</v>
      </c>
      <c r="EV21">
        <v>783.62253333333331</v>
      </c>
      <c r="EW21">
        <v>5.0010700000000003</v>
      </c>
      <c r="EX21">
        <v>12172.51666666667</v>
      </c>
      <c r="EY21">
        <v>9996.6409999999996</v>
      </c>
      <c r="EZ21">
        <v>39.936999999999983</v>
      </c>
      <c r="FA21">
        <v>42.320399999999992</v>
      </c>
      <c r="FB21">
        <v>41.186999999999983</v>
      </c>
      <c r="FC21">
        <v>41.699733333333327</v>
      </c>
      <c r="FD21">
        <v>42.061999999999983</v>
      </c>
      <c r="FE21">
        <v>1085.1220000000001</v>
      </c>
      <c r="FF21">
        <v>9.870000000000001</v>
      </c>
      <c r="FG21">
        <v>0</v>
      </c>
      <c r="FH21">
        <v>126.3999998569489</v>
      </c>
      <c r="FI21">
        <v>0</v>
      </c>
      <c r="FJ21">
        <v>783.59441176470591</v>
      </c>
      <c r="FK21">
        <v>0.7943627808938869</v>
      </c>
      <c r="FL21">
        <v>265.02451016014498</v>
      </c>
      <c r="FM21">
        <v>12178.694117647059</v>
      </c>
      <c r="FN21">
        <v>10</v>
      </c>
      <c r="FO21">
        <v>1736186446.5</v>
      </c>
      <c r="FP21" t="s">
        <v>921</v>
      </c>
      <c r="FQ21">
        <v>1736186436.5</v>
      </c>
      <c r="FR21">
        <v>1736186446.5</v>
      </c>
      <c r="FS21">
        <v>6</v>
      </c>
      <c r="FT21">
        <v>-8.0000000000000002E-3</v>
      </c>
      <c r="FU21">
        <v>-6.0000000000000001E-3</v>
      </c>
      <c r="FV21">
        <v>-4.8680000000000003</v>
      </c>
      <c r="FW21">
        <v>0.28499999999999998</v>
      </c>
      <c r="FX21">
        <v>479</v>
      </c>
      <c r="FY21">
        <v>28</v>
      </c>
      <c r="FZ21">
        <v>0.13</v>
      </c>
      <c r="GA21">
        <v>0.05</v>
      </c>
      <c r="GB21">
        <v>-58.80934634146341</v>
      </c>
      <c r="GC21">
        <v>0.74621811846690156</v>
      </c>
      <c r="GD21">
        <v>0.44022332586195012</v>
      </c>
      <c r="GE21">
        <v>1</v>
      </c>
      <c r="GF21">
        <v>783.65585294117648</v>
      </c>
      <c r="GG21">
        <v>-0.18877004662164679</v>
      </c>
      <c r="GH21">
        <v>0.24472399006815401</v>
      </c>
      <c r="GI21">
        <v>1</v>
      </c>
      <c r="GJ21">
        <v>5.6563619512195116</v>
      </c>
      <c r="GK21">
        <v>-0.1061535888501776</v>
      </c>
      <c r="GL21">
        <v>1.7290242027324879E-2</v>
      </c>
      <c r="GM21">
        <v>1</v>
      </c>
      <c r="GN21">
        <v>3</v>
      </c>
      <c r="GO21">
        <v>3</v>
      </c>
      <c r="GP21" t="s">
        <v>599</v>
      </c>
      <c r="GQ21">
        <v>3.1322999999999999</v>
      </c>
      <c r="GR21">
        <v>2.7250999999999999</v>
      </c>
      <c r="GS21">
        <v>9.1179999999999997E-2</v>
      </c>
      <c r="GT21">
        <v>0.10055600000000001</v>
      </c>
      <c r="GU21">
        <v>0.14138100000000001</v>
      </c>
      <c r="GV21">
        <v>0.12613199999999999</v>
      </c>
      <c r="GW21">
        <v>22821</v>
      </c>
      <c r="GX21">
        <v>30391</v>
      </c>
      <c r="GY21">
        <v>27235.4</v>
      </c>
      <c r="GZ21">
        <v>34740.400000000001</v>
      </c>
      <c r="HA21">
        <v>34232.800000000003</v>
      </c>
      <c r="HB21">
        <v>38747.699999999997</v>
      </c>
      <c r="HC21">
        <v>40207.1</v>
      </c>
      <c r="HD21">
        <v>44424.3</v>
      </c>
      <c r="HE21">
        <v>1.9723999999999999</v>
      </c>
      <c r="HF21">
        <v>1.8051999999999999</v>
      </c>
      <c r="HG21">
        <v>3.5911800000000001E-2</v>
      </c>
      <c r="HH21">
        <v>0</v>
      </c>
      <c r="HI21">
        <v>31.8796</v>
      </c>
      <c r="HJ21">
        <v>999.9</v>
      </c>
      <c r="HK21">
        <v>71</v>
      </c>
      <c r="HL21">
        <v>33.200000000000003</v>
      </c>
      <c r="HM21">
        <v>37.226199999999999</v>
      </c>
      <c r="HN21">
        <v>60.26</v>
      </c>
      <c r="HO21">
        <v>7.2395899999999997</v>
      </c>
      <c r="HP21">
        <v>1</v>
      </c>
      <c r="HQ21">
        <v>0.47947200000000001</v>
      </c>
      <c r="HR21">
        <v>0</v>
      </c>
      <c r="HS21">
        <v>20.287099999999999</v>
      </c>
      <c r="HT21">
        <v>5.2100999999999997</v>
      </c>
      <c r="HU21">
        <v>11.9033</v>
      </c>
      <c r="HV21">
        <v>4.9855999999999998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1.8672500000000001</v>
      </c>
      <c r="IC21">
        <v>1.8627899999999999</v>
      </c>
      <c r="ID21">
        <v>1.8623099999999999</v>
      </c>
      <c r="IE21">
        <v>1.86172</v>
      </c>
      <c r="IF21">
        <v>1.86185</v>
      </c>
      <c r="IG21">
        <v>1.86252</v>
      </c>
      <c r="IH21">
        <v>1.8633999999999999</v>
      </c>
      <c r="II21">
        <v>1.8613900000000001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-4.6529999999999996</v>
      </c>
      <c r="IX21">
        <v>0.4521</v>
      </c>
      <c r="IY21">
        <v>-2.7689599310560649</v>
      </c>
      <c r="IZ21">
        <v>-5.1756331061651789E-3</v>
      </c>
      <c r="JA21">
        <v>1.8217400814442949E-6</v>
      </c>
      <c r="JB21">
        <v>-1.9713393848198499E-10</v>
      </c>
      <c r="JC21">
        <v>-0.22482523048764971</v>
      </c>
      <c r="JD21">
        <v>2.7492919904454862E-4</v>
      </c>
      <c r="JE21">
        <v>8.6739513355948885E-4</v>
      </c>
      <c r="JF21">
        <v>-8.2500691715147318E-6</v>
      </c>
      <c r="JG21">
        <v>20</v>
      </c>
      <c r="JH21">
        <v>1893</v>
      </c>
      <c r="JI21">
        <v>2</v>
      </c>
      <c r="JJ21">
        <v>37</v>
      </c>
      <c r="JK21">
        <v>0.9</v>
      </c>
      <c r="JL21">
        <v>0.7</v>
      </c>
      <c r="JM21">
        <v>1.2072799999999999</v>
      </c>
      <c r="JN21">
        <v>2.50488</v>
      </c>
      <c r="JO21">
        <v>1.50024</v>
      </c>
      <c r="JP21">
        <v>2.2778299999999998</v>
      </c>
      <c r="JQ21">
        <v>1.4477500000000001</v>
      </c>
      <c r="JR21">
        <v>2.36328</v>
      </c>
      <c r="JS21">
        <v>38.330100000000002</v>
      </c>
      <c r="JT21">
        <v>15.927</v>
      </c>
      <c r="JU21">
        <v>18</v>
      </c>
      <c r="JV21">
        <v>542.27599999999995</v>
      </c>
      <c r="JW21">
        <v>447.387</v>
      </c>
      <c r="JX21">
        <v>32.4788</v>
      </c>
      <c r="JY21">
        <v>33.228099999999998</v>
      </c>
      <c r="JZ21">
        <v>30.000900000000001</v>
      </c>
      <c r="KA21">
        <v>33.158900000000003</v>
      </c>
      <c r="KB21">
        <v>33.119900000000001</v>
      </c>
      <c r="KC21">
        <v>24.159600000000001</v>
      </c>
      <c r="KD21">
        <v>36.375799999999998</v>
      </c>
      <c r="KE21">
        <v>95.712400000000002</v>
      </c>
      <c r="KF21">
        <v>-999.9</v>
      </c>
      <c r="KG21">
        <v>478.89</v>
      </c>
      <c r="KH21">
        <v>28.425599999999999</v>
      </c>
      <c r="KI21">
        <v>100.5</v>
      </c>
      <c r="KJ21">
        <v>99.606099999999998</v>
      </c>
    </row>
    <row r="22" spans="1:296" x14ac:dyDescent="0.3">
      <c r="A22">
        <v>6</v>
      </c>
      <c r="B22">
        <v>1736186644</v>
      </c>
      <c r="C22">
        <v>869.40000009536743</v>
      </c>
      <c r="D22" t="s">
        <v>922</v>
      </c>
      <c r="E22" t="s">
        <v>923</v>
      </c>
      <c r="F22">
        <v>15</v>
      </c>
      <c r="H22">
        <v>1736186636</v>
      </c>
      <c r="I22">
        <f t="shared" si="0"/>
        <v>4.5483050595468933E-3</v>
      </c>
      <c r="J22">
        <f t="shared" si="1"/>
        <v>4.5483050595468937</v>
      </c>
      <c r="K22">
        <f t="shared" si="2"/>
        <v>44.044197177996168</v>
      </c>
      <c r="L22">
        <f t="shared" si="3"/>
        <v>419.8762258064516</v>
      </c>
      <c r="M22">
        <f t="shared" si="4"/>
        <v>150.2497009588682</v>
      </c>
      <c r="N22">
        <f t="shared" si="5"/>
        <v>14.648133596428991</v>
      </c>
      <c r="O22">
        <f t="shared" si="6"/>
        <v>40.934544363991776</v>
      </c>
      <c r="P22">
        <f t="shared" si="7"/>
        <v>0.28149908492748249</v>
      </c>
      <c r="Q22">
        <f t="shared" si="8"/>
        <v>2.8856194686170813</v>
      </c>
      <c r="R22">
        <f t="shared" si="9"/>
        <v>0.26708438983140753</v>
      </c>
      <c r="S22">
        <f t="shared" si="10"/>
        <v>0.16816131321749422</v>
      </c>
      <c r="T22">
        <f t="shared" si="11"/>
        <v>160.1790731612939</v>
      </c>
      <c r="U22">
        <f t="shared" si="12"/>
        <v>32.838849694494051</v>
      </c>
      <c r="V22">
        <f t="shared" si="13"/>
        <v>32.542722580645162</v>
      </c>
      <c r="W22">
        <f t="shared" si="14"/>
        <v>4.9237422361888052</v>
      </c>
      <c r="X22">
        <f t="shared" si="15"/>
        <v>65.694854774712184</v>
      </c>
      <c r="Y22">
        <f t="shared" si="16"/>
        <v>3.3338174313058158</v>
      </c>
      <c r="Z22">
        <f t="shared" si="17"/>
        <v>5.0747009681937785</v>
      </c>
      <c r="AA22">
        <f t="shared" si="18"/>
        <v>1.5899248048829895</v>
      </c>
      <c r="AB22">
        <f t="shared" si="19"/>
        <v>-200.58025312601799</v>
      </c>
      <c r="AC22">
        <f t="shared" si="20"/>
        <v>83.496668848068296</v>
      </c>
      <c r="AD22">
        <f t="shared" si="21"/>
        <v>6.6145649384131522</v>
      </c>
      <c r="AE22">
        <f t="shared" si="22"/>
        <v>49.710053821757342</v>
      </c>
      <c r="AF22">
        <f t="shared" si="23"/>
        <v>44.044197177996168</v>
      </c>
      <c r="AG22">
        <f t="shared" si="24"/>
        <v>4.5483050595468937</v>
      </c>
      <c r="AH22">
        <f t="shared" si="25"/>
        <v>44.217505921932926</v>
      </c>
      <c r="AI22">
        <v>489.22925337282601</v>
      </c>
      <c r="AJ22">
        <v>434.55984848484832</v>
      </c>
      <c r="AK22">
        <v>6.2463503313255619E-3</v>
      </c>
      <c r="AL22">
        <v>67.035254838707218</v>
      </c>
      <c r="AM22">
        <f t="shared" si="26"/>
        <v>4.5838932505629151</v>
      </c>
      <c r="AN22">
        <v>28.92933055278759</v>
      </c>
      <c r="AO22">
        <v>34.206582424242391</v>
      </c>
      <c r="AP22">
        <v>5.8336436117147096E-3</v>
      </c>
      <c r="AQ22">
        <v>78.064660022968283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50538.383773406305</v>
      </c>
      <c r="AW22" t="s">
        <v>903</v>
      </c>
      <c r="AX22">
        <v>5105.3</v>
      </c>
      <c r="AY22">
        <v>582.67647058823525</v>
      </c>
      <c r="AZ22">
        <v>2431.5</v>
      </c>
      <c r="BA22">
        <f t="shared" si="30"/>
        <v>0.76036336804925553</v>
      </c>
      <c r="BB22">
        <v>-6.5884728632969241</v>
      </c>
      <c r="BC22" t="s">
        <v>924</v>
      </c>
      <c r="BD22">
        <v>5096.57</v>
      </c>
      <c r="BE22">
        <v>781.88447058823533</v>
      </c>
      <c r="BF22">
        <v>1279.56</v>
      </c>
      <c r="BG22">
        <f t="shared" si="31"/>
        <v>0.388942706408269</v>
      </c>
      <c r="BH22">
        <v>0.5</v>
      </c>
      <c r="BI22">
        <f t="shared" si="32"/>
        <v>840.31686963730772</v>
      </c>
      <c r="BJ22">
        <f t="shared" si="33"/>
        <v>44.044197177996168</v>
      </c>
      <c r="BK22">
        <f t="shared" si="34"/>
        <v>163.41755875862953</v>
      </c>
      <c r="BL22">
        <f t="shared" si="35"/>
        <v>6.0254258685948844E-2</v>
      </c>
      <c r="BM22">
        <f t="shared" si="36"/>
        <v>0.90026259026540378</v>
      </c>
      <c r="BN22">
        <f t="shared" si="37"/>
        <v>479.27882444160201</v>
      </c>
      <c r="BO22" t="s">
        <v>407</v>
      </c>
      <c r="BP22">
        <v>0</v>
      </c>
      <c r="BQ22">
        <f t="shared" si="38"/>
        <v>479.27882444160201</v>
      </c>
      <c r="BR22">
        <f t="shared" si="39"/>
        <v>0.62543466156991312</v>
      </c>
      <c r="BS22">
        <f t="shared" si="40"/>
        <v>0.62187584140600383</v>
      </c>
      <c r="BT22">
        <f t="shared" si="41"/>
        <v>0.59006633798576036</v>
      </c>
      <c r="BU22">
        <f t="shared" si="42"/>
        <v>0.71414448527984242</v>
      </c>
      <c r="BV22">
        <f t="shared" si="43"/>
        <v>0.62306649697741012</v>
      </c>
      <c r="BW22">
        <f t="shared" si="44"/>
        <v>0.38119688192997125</v>
      </c>
      <c r="BX22">
        <f t="shared" si="45"/>
        <v>0.61880311807002875</v>
      </c>
      <c r="DG22">
        <f t="shared" si="46"/>
        <v>1000.022225806452</v>
      </c>
      <c r="DH22">
        <f t="shared" si="47"/>
        <v>840.31686963730772</v>
      </c>
      <c r="DI22">
        <f t="shared" si="48"/>
        <v>0.84029819333230082</v>
      </c>
      <c r="DJ22">
        <f t="shared" si="49"/>
        <v>0.16017551313134071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1736186636</v>
      </c>
      <c r="DQ22">
        <v>419.8762258064516</v>
      </c>
      <c r="DR22">
        <v>475.01674193548388</v>
      </c>
      <c r="DS22">
        <v>34.195829032258047</v>
      </c>
      <c r="DT22">
        <v>28.92490322580645</v>
      </c>
      <c r="DU22">
        <v>424.58003225806448</v>
      </c>
      <c r="DV22">
        <v>33.74907741935484</v>
      </c>
      <c r="DW22">
        <v>500.03800000000012</v>
      </c>
      <c r="DX22">
        <v>97.444454838709675</v>
      </c>
      <c r="DY22">
        <v>4.7476945161290321E-2</v>
      </c>
      <c r="DZ22">
        <v>33.079438709677433</v>
      </c>
      <c r="EA22">
        <v>32.542722580645162</v>
      </c>
      <c r="EB22">
        <v>999.90000000000032</v>
      </c>
      <c r="EC22">
        <v>0</v>
      </c>
      <c r="ED22">
        <v>0</v>
      </c>
      <c r="EE22">
        <v>10007.41935483871</v>
      </c>
      <c r="EF22">
        <v>0</v>
      </c>
      <c r="EG22">
        <v>343.32725806451612</v>
      </c>
      <c r="EH22">
        <v>-55.140561290322573</v>
      </c>
      <c r="EI22">
        <v>434.74261290322568</v>
      </c>
      <c r="EJ22">
        <v>489.16580645161281</v>
      </c>
      <c r="EK22">
        <v>5.2709174193548387</v>
      </c>
      <c r="EL22">
        <v>475.01674193548388</v>
      </c>
      <c r="EM22">
        <v>28.92490322580645</v>
      </c>
      <c r="EN22">
        <v>3.3321932258064511</v>
      </c>
      <c r="EO22">
        <v>2.8185712903225819</v>
      </c>
      <c r="EP22">
        <v>25.788158064516129</v>
      </c>
      <c r="EQ22">
        <v>22.99324838709677</v>
      </c>
      <c r="ER22">
        <v>1000.022225806452</v>
      </c>
      <c r="ES22">
        <v>0.99001016129032238</v>
      </c>
      <c r="ET22">
        <v>9.9894683870967761E-3</v>
      </c>
      <c r="EU22">
        <v>0</v>
      </c>
      <c r="EV22">
        <v>781.94122580645137</v>
      </c>
      <c r="EW22">
        <v>5.0010700000000003</v>
      </c>
      <c r="EX22">
        <v>11936.15161290323</v>
      </c>
      <c r="EY22">
        <v>9080.5222580645168</v>
      </c>
      <c r="EZ22">
        <v>39.875</v>
      </c>
      <c r="FA22">
        <v>42.287999999999982</v>
      </c>
      <c r="FB22">
        <v>41.142999999999986</v>
      </c>
      <c r="FC22">
        <v>41.900935483870938</v>
      </c>
      <c r="FD22">
        <v>42.029999999999987</v>
      </c>
      <c r="FE22">
        <v>985.08129032258057</v>
      </c>
      <c r="FF22">
        <v>9.94</v>
      </c>
      <c r="FG22">
        <v>0</v>
      </c>
      <c r="FH22">
        <v>154.5999999046326</v>
      </c>
      <c r="FI22">
        <v>0</v>
      </c>
      <c r="FJ22">
        <v>781.88447058823533</v>
      </c>
      <c r="FK22">
        <v>-2.9769607880238849</v>
      </c>
      <c r="FL22">
        <v>4319.2157010753863</v>
      </c>
      <c r="FM22">
        <v>12110.92352941177</v>
      </c>
      <c r="FN22">
        <v>10</v>
      </c>
      <c r="FO22">
        <v>1736186601.5</v>
      </c>
      <c r="FP22" t="s">
        <v>925</v>
      </c>
      <c r="FQ22">
        <v>1736186601.5</v>
      </c>
      <c r="FR22">
        <v>1736186598.5</v>
      </c>
      <c r="FS22">
        <v>7</v>
      </c>
      <c r="FT22">
        <v>-5.0999999999999997E-2</v>
      </c>
      <c r="FU22">
        <v>-8.9999999999999993E-3</v>
      </c>
      <c r="FV22">
        <v>-4.91</v>
      </c>
      <c r="FW22">
        <v>0.28499999999999998</v>
      </c>
      <c r="FX22">
        <v>476</v>
      </c>
      <c r="FY22">
        <v>29</v>
      </c>
      <c r="FZ22">
        <v>0.12</v>
      </c>
      <c r="GA22">
        <v>0.06</v>
      </c>
      <c r="GB22">
        <v>-55.158040000000007</v>
      </c>
      <c r="GC22">
        <v>-0.68613208255157698</v>
      </c>
      <c r="GD22">
        <v>0.31907613339138979</v>
      </c>
      <c r="GE22">
        <v>1</v>
      </c>
      <c r="GF22">
        <v>781.94517647058819</v>
      </c>
      <c r="GG22">
        <v>-1.1314591323313881</v>
      </c>
      <c r="GH22">
        <v>0.24781034856948719</v>
      </c>
      <c r="GI22">
        <v>1</v>
      </c>
      <c r="GJ22">
        <v>5.2764810000000004</v>
      </c>
      <c r="GK22">
        <v>-8.8041951219515177E-2</v>
      </c>
      <c r="GL22">
        <v>1.1906466898286819E-2</v>
      </c>
      <c r="GM22">
        <v>1</v>
      </c>
      <c r="GN22">
        <v>3</v>
      </c>
      <c r="GO22">
        <v>3</v>
      </c>
      <c r="GP22" t="s">
        <v>599</v>
      </c>
      <c r="GQ22">
        <v>3.1334599999999999</v>
      </c>
      <c r="GR22">
        <v>2.72377</v>
      </c>
      <c r="GS22">
        <v>9.1141299999999995E-2</v>
      </c>
      <c r="GT22">
        <v>9.9976999999999996E-2</v>
      </c>
      <c r="GU22">
        <v>0.141653</v>
      </c>
      <c r="GV22">
        <v>0.12758800000000001</v>
      </c>
      <c r="GW22">
        <v>22816.6</v>
      </c>
      <c r="GX22">
        <v>30402.799999999999</v>
      </c>
      <c r="GY22">
        <v>27229.8</v>
      </c>
      <c r="GZ22">
        <v>34732.699999999997</v>
      </c>
      <c r="HA22">
        <v>34216.400000000001</v>
      </c>
      <c r="HB22">
        <v>38678.1</v>
      </c>
      <c r="HC22">
        <v>40199</v>
      </c>
      <c r="HD22">
        <v>44418.1</v>
      </c>
      <c r="HE22">
        <v>1.9708000000000001</v>
      </c>
      <c r="HF22">
        <v>1.8004</v>
      </c>
      <c r="HG22">
        <v>4.0084099999999998E-2</v>
      </c>
      <c r="HH22">
        <v>0</v>
      </c>
      <c r="HI22">
        <v>31.905999999999999</v>
      </c>
      <c r="HJ22">
        <v>999.9</v>
      </c>
      <c r="HK22">
        <v>70.599999999999994</v>
      </c>
      <c r="HL22">
        <v>33.4</v>
      </c>
      <c r="HM22">
        <v>37.433</v>
      </c>
      <c r="HN22">
        <v>59.750100000000003</v>
      </c>
      <c r="HO22">
        <v>6.83894</v>
      </c>
      <c r="HP22">
        <v>1</v>
      </c>
      <c r="HQ22">
        <v>0.495305</v>
      </c>
      <c r="HR22">
        <v>0</v>
      </c>
      <c r="HS22">
        <v>20.288</v>
      </c>
      <c r="HT22">
        <v>5.2088999999999999</v>
      </c>
      <c r="HU22">
        <v>11.9057</v>
      </c>
      <c r="HV22">
        <v>4.9851999999999999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1.8672500000000001</v>
      </c>
      <c r="IC22">
        <v>1.8628499999999999</v>
      </c>
      <c r="ID22">
        <v>1.8622799999999999</v>
      </c>
      <c r="IE22">
        <v>1.86172</v>
      </c>
      <c r="IF22">
        <v>1.86188</v>
      </c>
      <c r="IG22">
        <v>1.86249</v>
      </c>
      <c r="IH22">
        <v>1.8633999999999999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-4.7030000000000003</v>
      </c>
      <c r="IX22">
        <v>0.4471</v>
      </c>
      <c r="IY22">
        <v>-2.819684270109958</v>
      </c>
      <c r="IZ22">
        <v>-5.1756331061651789E-3</v>
      </c>
      <c r="JA22">
        <v>1.8217400814442949E-6</v>
      </c>
      <c r="JB22">
        <v>-1.9713393848198499E-10</v>
      </c>
      <c r="JC22">
        <v>-0.23336315103646221</v>
      </c>
      <c r="JD22">
        <v>2.7492919904454862E-4</v>
      </c>
      <c r="JE22">
        <v>8.6739513355948885E-4</v>
      </c>
      <c r="JF22">
        <v>-8.2500691715147318E-6</v>
      </c>
      <c r="JG22">
        <v>20</v>
      </c>
      <c r="JH22">
        <v>1893</v>
      </c>
      <c r="JI22">
        <v>2</v>
      </c>
      <c r="JJ22">
        <v>37</v>
      </c>
      <c r="JK22">
        <v>0.7</v>
      </c>
      <c r="JL22">
        <v>0.8</v>
      </c>
      <c r="JM22">
        <v>1.2011700000000001</v>
      </c>
      <c r="JN22">
        <v>2.5158700000000001</v>
      </c>
      <c r="JO22">
        <v>1.50024</v>
      </c>
      <c r="JP22">
        <v>2.2766099999999998</v>
      </c>
      <c r="JQ22">
        <v>1.4477500000000001</v>
      </c>
      <c r="JR22">
        <v>2.2705099999999998</v>
      </c>
      <c r="JS22">
        <v>38.427900000000001</v>
      </c>
      <c r="JT22">
        <v>15.9095</v>
      </c>
      <c r="JU22">
        <v>18</v>
      </c>
      <c r="JV22">
        <v>542.64</v>
      </c>
      <c r="JW22">
        <v>445.524</v>
      </c>
      <c r="JX22">
        <v>32.616100000000003</v>
      </c>
      <c r="JY22">
        <v>33.409999999999997</v>
      </c>
      <c r="JZ22">
        <v>30.000499999999999</v>
      </c>
      <c r="KA22">
        <v>33.330399999999997</v>
      </c>
      <c r="KB22">
        <v>33.285899999999998</v>
      </c>
      <c r="KC22">
        <v>24.0349</v>
      </c>
      <c r="KD22">
        <v>35.6158</v>
      </c>
      <c r="KE22">
        <v>93.2697</v>
      </c>
      <c r="KF22">
        <v>-999.9</v>
      </c>
      <c r="KG22">
        <v>475.49599999999998</v>
      </c>
      <c r="KH22">
        <v>28.9</v>
      </c>
      <c r="KI22">
        <v>100.479</v>
      </c>
      <c r="KJ22">
        <v>99.5886</v>
      </c>
    </row>
    <row r="23" spans="1:296" x14ac:dyDescent="0.3">
      <c r="A23">
        <v>7</v>
      </c>
      <c r="B23">
        <v>1736186809.5</v>
      </c>
      <c r="C23">
        <v>1034.900000095367</v>
      </c>
      <c r="D23" t="s">
        <v>926</v>
      </c>
      <c r="E23" t="s">
        <v>927</v>
      </c>
      <c r="F23">
        <v>15</v>
      </c>
      <c r="H23">
        <v>1736186801.5</v>
      </c>
      <c r="I23">
        <f t="shared" si="0"/>
        <v>4.699525529820006E-3</v>
      </c>
      <c r="J23">
        <f t="shared" si="1"/>
        <v>4.699525529820006</v>
      </c>
      <c r="K23">
        <f t="shared" si="2"/>
        <v>41.000027759214689</v>
      </c>
      <c r="L23">
        <f t="shared" si="3"/>
        <v>418.83945161290319</v>
      </c>
      <c r="M23">
        <f t="shared" si="4"/>
        <v>178.04869916873542</v>
      </c>
      <c r="N23">
        <f t="shared" si="5"/>
        <v>17.360744979188802</v>
      </c>
      <c r="O23">
        <f t="shared" si="6"/>
        <v>40.839191415736671</v>
      </c>
      <c r="P23">
        <f t="shared" si="7"/>
        <v>0.29542937379136464</v>
      </c>
      <c r="Q23">
        <f t="shared" si="8"/>
        <v>2.8848969624464562</v>
      </c>
      <c r="R23">
        <f t="shared" si="9"/>
        <v>0.27959207843823142</v>
      </c>
      <c r="S23">
        <f t="shared" si="10"/>
        <v>0.17609718346874337</v>
      </c>
      <c r="T23">
        <f t="shared" si="11"/>
        <v>128.28242090057847</v>
      </c>
      <c r="U23">
        <f t="shared" si="12"/>
        <v>32.602974675730444</v>
      </c>
      <c r="V23">
        <f t="shared" si="13"/>
        <v>32.56327741935484</v>
      </c>
      <c r="W23">
        <f t="shared" si="14"/>
        <v>4.9294507620657502</v>
      </c>
      <c r="X23">
        <f t="shared" si="15"/>
        <v>66.237359944394399</v>
      </c>
      <c r="Y23">
        <f t="shared" si="16"/>
        <v>3.3601954742808546</v>
      </c>
      <c r="Z23">
        <f t="shared" si="17"/>
        <v>5.0729610556666289</v>
      </c>
      <c r="AA23">
        <f t="shared" si="18"/>
        <v>1.5692552877848955</v>
      </c>
      <c r="AB23">
        <f t="shared" si="19"/>
        <v>-207.24907586506225</v>
      </c>
      <c r="AC23">
        <f t="shared" si="20"/>
        <v>79.329117265601951</v>
      </c>
      <c r="AD23">
        <f t="shared" si="21"/>
        <v>6.2864324768699582</v>
      </c>
      <c r="AE23">
        <f t="shared" si="22"/>
        <v>6.6488947779881187</v>
      </c>
      <c r="AF23">
        <f t="shared" si="23"/>
        <v>41.000027759214689</v>
      </c>
      <c r="AG23">
        <f t="shared" si="24"/>
        <v>4.699525529820006</v>
      </c>
      <c r="AH23">
        <f t="shared" si="25"/>
        <v>39.127059091371919</v>
      </c>
      <c r="AI23">
        <v>483.47899500206529</v>
      </c>
      <c r="AJ23">
        <v>435.18156969696958</v>
      </c>
      <c r="AK23">
        <v>-1.0229931439950929E-2</v>
      </c>
      <c r="AL23">
        <v>67.095856608526645</v>
      </c>
      <c r="AM23">
        <f t="shared" si="26"/>
        <v>4.6355214988055389</v>
      </c>
      <c r="AN23">
        <v>29.019613631725029</v>
      </c>
      <c r="AO23">
        <v>34.39817151515151</v>
      </c>
      <c r="AP23">
        <v>-1.3192607243450831E-3</v>
      </c>
      <c r="AQ23">
        <v>78.256101769384543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50519.539344208817</v>
      </c>
      <c r="AW23" t="s">
        <v>903</v>
      </c>
      <c r="AX23">
        <v>5105.3</v>
      </c>
      <c r="AY23">
        <v>582.67647058823525</v>
      </c>
      <c r="AZ23">
        <v>2431.5</v>
      </c>
      <c r="BA23">
        <f t="shared" si="30"/>
        <v>0.76036336804925553</v>
      </c>
      <c r="BB23">
        <v>-6.5884728632969241</v>
      </c>
      <c r="BC23" t="s">
        <v>928</v>
      </c>
      <c r="BD23">
        <v>5098.6899999999996</v>
      </c>
      <c r="BE23">
        <v>785.74694117647061</v>
      </c>
      <c r="BF23">
        <v>1413.28</v>
      </c>
      <c r="BG23">
        <f t="shared" si="31"/>
        <v>0.44402599543157006</v>
      </c>
      <c r="BH23">
        <v>0.5</v>
      </c>
      <c r="BI23">
        <f t="shared" si="32"/>
        <v>672.3298707925444</v>
      </c>
      <c r="BJ23">
        <f t="shared" si="33"/>
        <v>41.000027759214689</v>
      </c>
      <c r="BK23">
        <f t="shared" si="34"/>
        <v>149.26597006851921</v>
      </c>
      <c r="BL23">
        <f t="shared" si="35"/>
        <v>7.0781476013276265E-2</v>
      </c>
      <c r="BM23">
        <f t="shared" si="36"/>
        <v>0.72046586663647683</v>
      </c>
      <c r="BN23">
        <f t="shared" si="37"/>
        <v>496.8886400654855</v>
      </c>
      <c r="BO23" t="s">
        <v>407</v>
      </c>
      <c r="BP23">
        <v>0</v>
      </c>
      <c r="BQ23">
        <f t="shared" si="38"/>
        <v>496.8886400654855</v>
      </c>
      <c r="BR23">
        <f t="shared" si="39"/>
        <v>0.64841458163599186</v>
      </c>
      <c r="BS23">
        <f t="shared" si="40"/>
        <v>0.68478718401314154</v>
      </c>
      <c r="BT23">
        <f t="shared" si="41"/>
        <v>0.52631759591986793</v>
      </c>
      <c r="BU23">
        <f t="shared" si="42"/>
        <v>0.75551455851379501</v>
      </c>
      <c r="BV23">
        <f t="shared" si="43"/>
        <v>0.55073942093541195</v>
      </c>
      <c r="BW23">
        <f t="shared" si="44"/>
        <v>0.43304396716976051</v>
      </c>
      <c r="BX23">
        <f t="shared" si="45"/>
        <v>0.56695603283023943</v>
      </c>
      <c r="DG23">
        <f t="shared" si="46"/>
        <v>800.02341935483878</v>
      </c>
      <c r="DH23">
        <f t="shared" si="47"/>
        <v>672.3298707925444</v>
      </c>
      <c r="DI23">
        <f t="shared" si="48"/>
        <v>0.84038773681741707</v>
      </c>
      <c r="DJ23">
        <f t="shared" si="49"/>
        <v>0.16034833205761526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1736186801.5</v>
      </c>
      <c r="DQ23">
        <v>418.83945161290319</v>
      </c>
      <c r="DR23">
        <v>470.39548387096772</v>
      </c>
      <c r="DS23">
        <v>34.461564516129037</v>
      </c>
      <c r="DT23">
        <v>29.017112903225801</v>
      </c>
      <c r="DU23">
        <v>423.50064516129032</v>
      </c>
      <c r="DV23">
        <v>34.010690322580643</v>
      </c>
      <c r="DW23">
        <v>500.05835483870959</v>
      </c>
      <c r="DX23">
        <v>97.457393548387074</v>
      </c>
      <c r="DY23">
        <v>4.8204977419354852E-2</v>
      </c>
      <c r="DZ23">
        <v>33.073332258064511</v>
      </c>
      <c r="EA23">
        <v>32.56327741935484</v>
      </c>
      <c r="EB23">
        <v>999.90000000000032</v>
      </c>
      <c r="EC23">
        <v>0</v>
      </c>
      <c r="ED23">
        <v>0</v>
      </c>
      <c r="EE23">
        <v>10001.93548387097</v>
      </c>
      <c r="EF23">
        <v>0</v>
      </c>
      <c r="EG23">
        <v>459.92590322580651</v>
      </c>
      <c r="EH23">
        <v>-51.556070967741938</v>
      </c>
      <c r="EI23">
        <v>433.78838709677422</v>
      </c>
      <c r="EJ23">
        <v>484.45300000000009</v>
      </c>
      <c r="EK23">
        <v>5.4444490322580643</v>
      </c>
      <c r="EL23">
        <v>470.39548387096772</v>
      </c>
      <c r="EM23">
        <v>29.017112903225801</v>
      </c>
      <c r="EN23">
        <v>3.3585341935483868</v>
      </c>
      <c r="EO23">
        <v>2.827933225806452</v>
      </c>
      <c r="EP23">
        <v>25.921067741935481</v>
      </c>
      <c r="EQ23">
        <v>23.048054838709682</v>
      </c>
      <c r="ER23">
        <v>800.02341935483878</v>
      </c>
      <c r="ES23">
        <v>0.98699841935483879</v>
      </c>
      <c r="ET23">
        <v>1.300173548387097E-2</v>
      </c>
      <c r="EU23">
        <v>0</v>
      </c>
      <c r="EV23">
        <v>785.65867741935483</v>
      </c>
      <c r="EW23">
        <v>5.0010700000000003</v>
      </c>
      <c r="EX23">
        <v>11180.92258064516</v>
      </c>
      <c r="EY23">
        <v>7246.8274193548395</v>
      </c>
      <c r="EZ23">
        <v>39.461387096774168</v>
      </c>
      <c r="FA23">
        <v>42.334354838709672</v>
      </c>
      <c r="FB23">
        <v>41</v>
      </c>
      <c r="FC23">
        <v>41.40696774193546</v>
      </c>
      <c r="FD23">
        <v>41.810129032258061</v>
      </c>
      <c r="FE23">
        <v>784.68612903225812</v>
      </c>
      <c r="FF23">
        <v>10.339999999999989</v>
      </c>
      <c r="FG23">
        <v>0</v>
      </c>
      <c r="FH23">
        <v>164.5999999046326</v>
      </c>
      <c r="FI23">
        <v>0</v>
      </c>
      <c r="FJ23">
        <v>785.74694117647061</v>
      </c>
      <c r="FK23">
        <v>0.62549020691236623</v>
      </c>
      <c r="FL23">
        <v>-6523.7500216952631</v>
      </c>
      <c r="FM23">
        <v>11067.9</v>
      </c>
      <c r="FN23">
        <v>10</v>
      </c>
      <c r="FO23">
        <v>1736186782</v>
      </c>
      <c r="FP23" t="s">
        <v>929</v>
      </c>
      <c r="FQ23">
        <v>1736186778.5</v>
      </c>
      <c r="FR23">
        <v>1736186782</v>
      </c>
      <c r="FS23">
        <v>8</v>
      </c>
      <c r="FT23">
        <v>3.9E-2</v>
      </c>
      <c r="FU23">
        <v>-4.0000000000000001E-3</v>
      </c>
      <c r="FV23">
        <v>-4.8479999999999999</v>
      </c>
      <c r="FW23">
        <v>0.29299999999999998</v>
      </c>
      <c r="FX23">
        <v>470</v>
      </c>
      <c r="FY23">
        <v>29</v>
      </c>
      <c r="FZ23">
        <v>0.21</v>
      </c>
      <c r="GA23">
        <v>0.06</v>
      </c>
      <c r="GB23">
        <v>-51.117009756097538</v>
      </c>
      <c r="GC23">
        <v>0.69429198606263887</v>
      </c>
      <c r="GD23">
        <v>2.5440544275130428</v>
      </c>
      <c r="GE23">
        <v>1</v>
      </c>
      <c r="GF23">
        <v>785.63405882352947</v>
      </c>
      <c r="GG23">
        <v>0.86854087281438952</v>
      </c>
      <c r="GH23">
        <v>0.33226999485505182</v>
      </c>
      <c r="GI23">
        <v>1</v>
      </c>
      <c r="GJ23">
        <v>5.4340831707317072</v>
      </c>
      <c r="GK23">
        <v>7.9427665505220818E-2</v>
      </c>
      <c r="GL23">
        <v>0.20933533502480289</v>
      </c>
      <c r="GM23">
        <v>1</v>
      </c>
      <c r="GN23">
        <v>3</v>
      </c>
      <c r="GO23">
        <v>3</v>
      </c>
      <c r="GP23" t="s">
        <v>599</v>
      </c>
      <c r="GQ23">
        <v>3.1332900000000001</v>
      </c>
      <c r="GR23">
        <v>2.7247599999999998</v>
      </c>
      <c r="GS23">
        <v>9.1169899999999998E-2</v>
      </c>
      <c r="GT23">
        <v>9.8957799999999999E-2</v>
      </c>
      <c r="GU23">
        <v>0.142152</v>
      </c>
      <c r="GV23">
        <v>0.127828</v>
      </c>
      <c r="GW23">
        <v>22809.8</v>
      </c>
      <c r="GX23">
        <v>30426.9</v>
      </c>
      <c r="GY23">
        <v>27223.3</v>
      </c>
      <c r="GZ23">
        <v>34722</v>
      </c>
      <c r="HA23">
        <v>34190.300000000003</v>
      </c>
      <c r="HB23">
        <v>38658.1</v>
      </c>
      <c r="HC23">
        <v>40190.400000000001</v>
      </c>
      <c r="HD23">
        <v>44407</v>
      </c>
      <c r="HE23">
        <v>1.9681999999999999</v>
      </c>
      <c r="HF23">
        <v>1.7976000000000001</v>
      </c>
      <c r="HG23">
        <v>3.1590500000000001E-2</v>
      </c>
      <c r="HH23">
        <v>0</v>
      </c>
      <c r="HI23">
        <v>32.049999999999997</v>
      </c>
      <c r="HJ23">
        <v>999.9</v>
      </c>
      <c r="HK23">
        <v>70.400000000000006</v>
      </c>
      <c r="HL23">
        <v>33.6</v>
      </c>
      <c r="HM23">
        <v>37.744500000000002</v>
      </c>
      <c r="HN23">
        <v>59.69</v>
      </c>
      <c r="HO23">
        <v>7.0632999999999999</v>
      </c>
      <c r="HP23">
        <v>1</v>
      </c>
      <c r="HQ23">
        <v>0.50957300000000005</v>
      </c>
      <c r="HR23">
        <v>0</v>
      </c>
      <c r="HS23">
        <v>20.289300000000001</v>
      </c>
      <c r="HT23">
        <v>5.2100999999999997</v>
      </c>
      <c r="HU23">
        <v>11.908099999999999</v>
      </c>
      <c r="HV23">
        <v>4.9855999999999998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1.8672500000000001</v>
      </c>
      <c r="IC23">
        <v>1.8628899999999999</v>
      </c>
      <c r="ID23">
        <v>1.8623400000000001</v>
      </c>
      <c r="IE23">
        <v>1.86178</v>
      </c>
      <c r="IF23">
        <v>1.86188</v>
      </c>
      <c r="IG23">
        <v>1.8625799999999999</v>
      </c>
      <c r="IH23">
        <v>1.8633999999999999</v>
      </c>
      <c r="II23">
        <v>1.8613900000000001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-4.665</v>
      </c>
      <c r="IX23">
        <v>0.44900000000000001</v>
      </c>
      <c r="IY23">
        <v>-2.7810677205212588</v>
      </c>
      <c r="IZ23">
        <v>-5.1756331061651789E-3</v>
      </c>
      <c r="JA23">
        <v>1.8217400814442949E-6</v>
      </c>
      <c r="JB23">
        <v>-1.9713393848198499E-10</v>
      </c>
      <c r="JC23">
        <v>-0.23723577215278069</v>
      </c>
      <c r="JD23">
        <v>2.7492919904454862E-4</v>
      </c>
      <c r="JE23">
        <v>8.6739513355948885E-4</v>
      </c>
      <c r="JF23">
        <v>-8.2500691715147318E-6</v>
      </c>
      <c r="JG23">
        <v>20</v>
      </c>
      <c r="JH23">
        <v>1893</v>
      </c>
      <c r="JI23">
        <v>2</v>
      </c>
      <c r="JJ23">
        <v>37</v>
      </c>
      <c r="JK23">
        <v>0.5</v>
      </c>
      <c r="JL23">
        <v>0.5</v>
      </c>
      <c r="JM23">
        <v>1.18896</v>
      </c>
      <c r="JN23">
        <v>2.50732</v>
      </c>
      <c r="JO23">
        <v>1.50024</v>
      </c>
      <c r="JP23">
        <v>2.2766099999999998</v>
      </c>
      <c r="JQ23">
        <v>1.4477500000000001</v>
      </c>
      <c r="JR23">
        <v>2.4279799999999998</v>
      </c>
      <c r="JS23">
        <v>38.624099999999999</v>
      </c>
      <c r="JT23">
        <v>15.9095</v>
      </c>
      <c r="JU23">
        <v>18</v>
      </c>
      <c r="JV23">
        <v>542.29200000000003</v>
      </c>
      <c r="JW23">
        <v>444.90899999999999</v>
      </c>
      <c r="JX23">
        <v>32.735700000000001</v>
      </c>
      <c r="JY23">
        <v>33.572099999999999</v>
      </c>
      <c r="JZ23">
        <v>30.000499999999999</v>
      </c>
      <c r="KA23">
        <v>33.497199999999999</v>
      </c>
      <c r="KB23">
        <v>33.450600000000001</v>
      </c>
      <c r="KC23">
        <v>23.774999999999999</v>
      </c>
      <c r="KD23">
        <v>36.379100000000001</v>
      </c>
      <c r="KE23">
        <v>90.423699999999997</v>
      </c>
      <c r="KF23">
        <v>-999.9</v>
      </c>
      <c r="KG23">
        <v>468.791</v>
      </c>
      <c r="KH23">
        <v>28.8857</v>
      </c>
      <c r="KI23">
        <v>100.45699999999999</v>
      </c>
      <c r="KJ23">
        <v>99.561199999999999</v>
      </c>
    </row>
    <row r="24" spans="1:296" x14ac:dyDescent="0.3">
      <c r="A24">
        <v>8</v>
      </c>
      <c r="B24">
        <v>1736186944</v>
      </c>
      <c r="C24">
        <v>1169.400000095367</v>
      </c>
      <c r="D24" t="s">
        <v>930</v>
      </c>
      <c r="E24" t="s">
        <v>931</v>
      </c>
      <c r="F24">
        <v>15</v>
      </c>
      <c r="H24">
        <v>1736186936.25</v>
      </c>
      <c r="I24">
        <f t="shared" si="0"/>
        <v>3.9053350548656812E-3</v>
      </c>
      <c r="J24">
        <f t="shared" si="1"/>
        <v>3.9053350548656813</v>
      </c>
      <c r="K24">
        <f t="shared" si="2"/>
        <v>29.912836265379411</v>
      </c>
      <c r="L24">
        <f t="shared" si="3"/>
        <v>420.31363333333343</v>
      </c>
      <c r="M24">
        <f t="shared" si="4"/>
        <v>205.63886143333528</v>
      </c>
      <c r="N24">
        <f t="shared" si="5"/>
        <v>20.052718017154955</v>
      </c>
      <c r="O24">
        <f t="shared" si="6"/>
        <v>40.986566008252069</v>
      </c>
      <c r="P24">
        <f t="shared" si="7"/>
        <v>0.24125944611764188</v>
      </c>
      <c r="Q24">
        <f t="shared" si="8"/>
        <v>2.8841927631657187</v>
      </c>
      <c r="R24">
        <f t="shared" si="9"/>
        <v>0.23058232799617961</v>
      </c>
      <c r="S24">
        <f t="shared" si="10"/>
        <v>0.14503387193596048</v>
      </c>
      <c r="T24">
        <f t="shared" si="11"/>
        <v>96.3413067294142</v>
      </c>
      <c r="U24">
        <f t="shared" si="12"/>
        <v>32.465141035147923</v>
      </c>
      <c r="V24">
        <f t="shared" si="13"/>
        <v>32.383093333333328</v>
      </c>
      <c r="W24">
        <f t="shared" si="14"/>
        <v>4.8796052106005927</v>
      </c>
      <c r="X24">
        <f t="shared" si="15"/>
        <v>65.569304551603111</v>
      </c>
      <c r="Y24">
        <f t="shared" si="16"/>
        <v>3.2972676448624236</v>
      </c>
      <c r="Z24">
        <f t="shared" si="17"/>
        <v>5.028675639326738</v>
      </c>
      <c r="AA24">
        <f t="shared" si="18"/>
        <v>1.5823375657381691</v>
      </c>
      <c r="AB24">
        <f t="shared" si="19"/>
        <v>-172.22527591957655</v>
      </c>
      <c r="AC24">
        <f t="shared" si="20"/>
        <v>83.063628743703134</v>
      </c>
      <c r="AD24">
        <f t="shared" si="21"/>
        <v>6.5731292785083903</v>
      </c>
      <c r="AE24">
        <f t="shared" si="22"/>
        <v>13.752788832049177</v>
      </c>
      <c r="AF24">
        <f t="shared" si="23"/>
        <v>29.912836265379411</v>
      </c>
      <c r="AG24">
        <f t="shared" si="24"/>
        <v>3.9053350548656813</v>
      </c>
      <c r="AH24">
        <f t="shared" si="25"/>
        <v>29.77720074733319</v>
      </c>
      <c r="AI24">
        <v>471.86477914685508</v>
      </c>
      <c r="AJ24">
        <v>435.10080000000011</v>
      </c>
      <c r="AK24">
        <v>-8.6689257129923883E-3</v>
      </c>
      <c r="AL24">
        <v>67.035069983592678</v>
      </c>
      <c r="AM24">
        <f t="shared" si="26"/>
        <v>4.0423244768059821</v>
      </c>
      <c r="AN24">
        <v>29.292600215811451</v>
      </c>
      <c r="AO24">
        <v>33.969760000000022</v>
      </c>
      <c r="AP24">
        <v>1.4337666116327179E-3</v>
      </c>
      <c r="AQ24">
        <v>78.064600760461261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50525.866038291082</v>
      </c>
      <c r="AW24" t="s">
        <v>903</v>
      </c>
      <c r="AX24">
        <v>5105.3</v>
      </c>
      <c r="AY24">
        <v>582.67647058823525</v>
      </c>
      <c r="AZ24">
        <v>2431.5</v>
      </c>
      <c r="BA24">
        <f t="shared" si="30"/>
        <v>0.76036336804925553</v>
      </c>
      <c r="BB24">
        <v>-6.5884728632969241</v>
      </c>
      <c r="BC24" t="s">
        <v>932</v>
      </c>
      <c r="BD24">
        <v>5100.1400000000003</v>
      </c>
      <c r="BE24">
        <v>774.53694117647058</v>
      </c>
      <c r="BF24">
        <v>1511.12</v>
      </c>
      <c r="BG24">
        <f t="shared" si="31"/>
        <v>0.48744180397554748</v>
      </c>
      <c r="BH24">
        <v>0.5</v>
      </c>
      <c r="BI24">
        <f t="shared" si="32"/>
        <v>504.27915760073279</v>
      </c>
      <c r="BJ24">
        <f t="shared" si="33"/>
        <v>29.912836265379411</v>
      </c>
      <c r="BK24">
        <f t="shared" si="34"/>
        <v>122.9033711440853</v>
      </c>
      <c r="BL24">
        <f t="shared" si="35"/>
        <v>7.2383140525463768E-2</v>
      </c>
      <c r="BM24">
        <f t="shared" si="36"/>
        <v>0.60907141722695757</v>
      </c>
      <c r="BN24">
        <f t="shared" si="37"/>
        <v>508.46329227738005</v>
      </c>
      <c r="BO24" t="s">
        <v>407</v>
      </c>
      <c r="BP24">
        <v>0</v>
      </c>
      <c r="BQ24">
        <f t="shared" si="38"/>
        <v>508.46329227738005</v>
      </c>
      <c r="BR24">
        <f t="shared" si="39"/>
        <v>0.66351891823456766</v>
      </c>
      <c r="BS24">
        <f t="shared" si="40"/>
        <v>0.73463135802139523</v>
      </c>
      <c r="BT24">
        <f t="shared" si="41"/>
        <v>0.47860760863476787</v>
      </c>
      <c r="BU24">
        <f t="shared" si="42"/>
        <v>0.79335256856193215</v>
      </c>
      <c r="BV24">
        <f t="shared" si="43"/>
        <v>0.49781928094177541</v>
      </c>
      <c r="BW24">
        <f t="shared" si="44"/>
        <v>0.48226631817249305</v>
      </c>
      <c r="BX24">
        <f t="shared" si="45"/>
        <v>0.5177336818275069</v>
      </c>
      <c r="DG24">
        <f t="shared" si="46"/>
        <v>599.97090000000003</v>
      </c>
      <c r="DH24">
        <f t="shared" si="47"/>
        <v>504.27915760073279</v>
      </c>
      <c r="DI24">
        <f t="shared" si="48"/>
        <v>0.84050602721020762</v>
      </c>
      <c r="DJ24">
        <f t="shared" si="49"/>
        <v>0.16057663251570067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1736186936.25</v>
      </c>
      <c r="DQ24">
        <v>420.31363333333343</v>
      </c>
      <c r="DR24">
        <v>458.1765666666667</v>
      </c>
      <c r="DS24">
        <v>33.813189999999999</v>
      </c>
      <c r="DT24">
        <v>29.28551666666667</v>
      </c>
      <c r="DU24">
        <v>424.98029999999989</v>
      </c>
      <c r="DV24">
        <v>33.518189999999997</v>
      </c>
      <c r="DW24">
        <v>500.02943333333332</v>
      </c>
      <c r="DX24">
        <v>97.466036666666653</v>
      </c>
      <c r="DY24">
        <v>4.8206883333333339E-2</v>
      </c>
      <c r="DZ24">
        <v>32.917290000000001</v>
      </c>
      <c r="EA24">
        <v>32.383093333333328</v>
      </c>
      <c r="EB24">
        <v>999.9000000000002</v>
      </c>
      <c r="EC24">
        <v>0</v>
      </c>
      <c r="ED24">
        <v>0</v>
      </c>
      <c r="EE24">
        <v>9997</v>
      </c>
      <c r="EF24">
        <v>0</v>
      </c>
      <c r="EG24">
        <v>126.7566666666667</v>
      </c>
      <c r="EH24">
        <v>-37.862990000000003</v>
      </c>
      <c r="EI24">
        <v>435.08663333333328</v>
      </c>
      <c r="EJ24">
        <v>471.99936666666667</v>
      </c>
      <c r="EK24">
        <v>4.6684789999999996</v>
      </c>
      <c r="EL24">
        <v>458.1765666666667</v>
      </c>
      <c r="EM24">
        <v>29.28551666666667</v>
      </c>
      <c r="EN24">
        <v>3.309361</v>
      </c>
      <c r="EO24">
        <v>2.8543423333333351</v>
      </c>
      <c r="EP24">
        <v>25.672203333333329</v>
      </c>
      <c r="EQ24">
        <v>23.20177666666666</v>
      </c>
      <c r="ER24">
        <v>599.97090000000003</v>
      </c>
      <c r="ES24">
        <v>0.98298633333333318</v>
      </c>
      <c r="ET24">
        <v>1.7013676666666661E-2</v>
      </c>
      <c r="EU24">
        <v>0</v>
      </c>
      <c r="EV24">
        <v>774.88763333333338</v>
      </c>
      <c r="EW24">
        <v>5.0010700000000003</v>
      </c>
      <c r="EX24">
        <v>6644.999333333335</v>
      </c>
      <c r="EY24">
        <v>5414.8190000000004</v>
      </c>
      <c r="EZ24">
        <v>38.983199999999989</v>
      </c>
      <c r="FA24">
        <v>41.957999999999977</v>
      </c>
      <c r="FB24">
        <v>40.645666666666664</v>
      </c>
      <c r="FC24">
        <v>41.445533333333309</v>
      </c>
      <c r="FD24">
        <v>41.353999999999978</v>
      </c>
      <c r="FE24">
        <v>584.84666666666669</v>
      </c>
      <c r="FF24">
        <v>10.119999999999999</v>
      </c>
      <c r="FG24">
        <v>0</v>
      </c>
      <c r="FH24">
        <v>134</v>
      </c>
      <c r="FI24">
        <v>0</v>
      </c>
      <c r="FJ24">
        <v>774.53694117647058</v>
      </c>
      <c r="FK24">
        <v>-6.5696078660492008</v>
      </c>
      <c r="FL24">
        <v>-50.664214978494513</v>
      </c>
      <c r="FM24">
        <v>6648.1441176470589</v>
      </c>
      <c r="FN24">
        <v>10</v>
      </c>
      <c r="FO24">
        <v>1736186970</v>
      </c>
      <c r="FP24" t="s">
        <v>933</v>
      </c>
      <c r="FQ24">
        <v>1736186778.5</v>
      </c>
      <c r="FR24">
        <v>1736186970</v>
      </c>
      <c r="FS24">
        <v>9</v>
      </c>
      <c r="FT24">
        <v>3.9E-2</v>
      </c>
      <c r="FU24">
        <v>-5.0000000000000001E-3</v>
      </c>
      <c r="FV24">
        <v>-4.8479999999999999</v>
      </c>
      <c r="FW24">
        <v>0.29499999999999998</v>
      </c>
      <c r="FX24">
        <v>470</v>
      </c>
      <c r="FY24">
        <v>29</v>
      </c>
      <c r="FZ24">
        <v>0.21</v>
      </c>
      <c r="GA24">
        <v>7.0000000000000007E-2</v>
      </c>
      <c r="GB24">
        <v>-37.894995000000002</v>
      </c>
      <c r="GC24">
        <v>0.87594371482181976</v>
      </c>
      <c r="GD24">
        <v>0.13809203081640889</v>
      </c>
      <c r="GE24">
        <v>1</v>
      </c>
      <c r="GF24">
        <v>775.24735294117647</v>
      </c>
      <c r="GG24">
        <v>-7.4059587425541684</v>
      </c>
      <c r="GH24">
        <v>0.77604126945872443</v>
      </c>
      <c r="GI24">
        <v>1</v>
      </c>
      <c r="GJ24">
        <v>4.69177775</v>
      </c>
      <c r="GK24">
        <v>-0.28653602251408328</v>
      </c>
      <c r="GL24">
        <v>5.6818106466490853E-2</v>
      </c>
      <c r="GM24">
        <v>1</v>
      </c>
      <c r="GN24">
        <v>3</v>
      </c>
      <c r="GO24">
        <v>3</v>
      </c>
      <c r="GP24" t="s">
        <v>599</v>
      </c>
      <c r="GQ24">
        <v>3.1326200000000002</v>
      </c>
      <c r="GR24">
        <v>2.7252000000000001</v>
      </c>
      <c r="GS24">
        <v>9.1199500000000003E-2</v>
      </c>
      <c r="GT24">
        <v>9.7252199999999997E-2</v>
      </c>
      <c r="GU24">
        <v>0.14093600000000001</v>
      </c>
      <c r="GV24">
        <v>0.12862699999999999</v>
      </c>
      <c r="GW24">
        <v>22805.5</v>
      </c>
      <c r="GX24">
        <v>30483.3</v>
      </c>
      <c r="GY24">
        <v>27219.4</v>
      </c>
      <c r="GZ24">
        <v>34721.1</v>
      </c>
      <c r="HA24">
        <v>34235.1</v>
      </c>
      <c r="HB24">
        <v>38622.300000000003</v>
      </c>
      <c r="HC24">
        <v>40185.199999999997</v>
      </c>
      <c r="HD24">
        <v>44406.5</v>
      </c>
      <c r="HE24">
        <v>1.9678</v>
      </c>
      <c r="HF24">
        <v>1.7954000000000001</v>
      </c>
      <c r="HG24">
        <v>3.3974600000000001E-2</v>
      </c>
      <c r="HH24">
        <v>0</v>
      </c>
      <c r="HI24">
        <v>31.8246</v>
      </c>
      <c r="HJ24">
        <v>999.9</v>
      </c>
      <c r="HK24">
        <v>70</v>
      </c>
      <c r="HL24">
        <v>33.799999999999997</v>
      </c>
      <c r="HM24">
        <v>37.9495</v>
      </c>
      <c r="HN24">
        <v>60.17</v>
      </c>
      <c r="HO24">
        <v>7.1594499999999996</v>
      </c>
      <c r="HP24">
        <v>1</v>
      </c>
      <c r="HQ24">
        <v>0.51609799999999995</v>
      </c>
      <c r="HR24">
        <v>0</v>
      </c>
      <c r="HS24">
        <v>20.290900000000001</v>
      </c>
      <c r="HT24">
        <v>5.2088999999999999</v>
      </c>
      <c r="HU24">
        <v>11.9069</v>
      </c>
      <c r="HV24">
        <v>4.9843999999999999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1.86731</v>
      </c>
      <c r="IC24">
        <v>1.8629199999999999</v>
      </c>
      <c r="ID24">
        <v>1.8623400000000001</v>
      </c>
      <c r="IE24">
        <v>1.86182</v>
      </c>
      <c r="IF24">
        <v>1.86188</v>
      </c>
      <c r="IG24">
        <v>1.86252</v>
      </c>
      <c r="IH24">
        <v>1.8633999999999999</v>
      </c>
      <c r="II24">
        <v>1.8614200000000001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-4.6660000000000004</v>
      </c>
      <c r="IX24">
        <v>0.29499999999999998</v>
      </c>
      <c r="IY24">
        <v>-2.7810677205212588</v>
      </c>
      <c r="IZ24">
        <v>-5.1756331061651789E-3</v>
      </c>
      <c r="JA24">
        <v>1.8217400814442949E-6</v>
      </c>
      <c r="JB24">
        <v>-1.9713393848198499E-10</v>
      </c>
      <c r="JC24">
        <v>-0.23723577215278069</v>
      </c>
      <c r="JD24">
        <v>2.7492919904454862E-4</v>
      </c>
      <c r="JE24">
        <v>8.6739513355948885E-4</v>
      </c>
      <c r="JF24">
        <v>-8.2500691715147318E-6</v>
      </c>
      <c r="JG24">
        <v>20</v>
      </c>
      <c r="JH24">
        <v>1893</v>
      </c>
      <c r="JI24">
        <v>2</v>
      </c>
      <c r="JJ24">
        <v>37</v>
      </c>
      <c r="JK24">
        <v>2.8</v>
      </c>
      <c r="JL24">
        <v>2.7</v>
      </c>
      <c r="JM24">
        <v>1.16699</v>
      </c>
      <c r="JN24">
        <v>2.5109900000000001</v>
      </c>
      <c r="JO24">
        <v>1.50024</v>
      </c>
      <c r="JP24">
        <v>2.2753899999999998</v>
      </c>
      <c r="JQ24">
        <v>1.4477500000000001</v>
      </c>
      <c r="JR24">
        <v>2.36084</v>
      </c>
      <c r="JS24">
        <v>38.697899999999997</v>
      </c>
      <c r="JT24">
        <v>15.891999999999999</v>
      </c>
      <c r="JU24">
        <v>18</v>
      </c>
      <c r="JV24">
        <v>542.77</v>
      </c>
      <c r="JW24">
        <v>444.15699999999998</v>
      </c>
      <c r="JX24">
        <v>32.729900000000001</v>
      </c>
      <c r="JY24">
        <v>33.653500000000001</v>
      </c>
      <c r="JZ24">
        <v>30.0001</v>
      </c>
      <c r="KA24">
        <v>33.5871</v>
      </c>
      <c r="KB24">
        <v>33.541200000000003</v>
      </c>
      <c r="KC24">
        <v>23.329499999999999</v>
      </c>
      <c r="KD24">
        <v>35.488399999999999</v>
      </c>
      <c r="KE24">
        <v>87.415800000000004</v>
      </c>
      <c r="KF24">
        <v>-999.9</v>
      </c>
      <c r="KG24">
        <v>457.85</v>
      </c>
      <c r="KH24">
        <v>29.251000000000001</v>
      </c>
      <c r="KI24">
        <v>100.443</v>
      </c>
      <c r="KJ24">
        <v>99.559399999999997</v>
      </c>
    </row>
    <row r="25" spans="1:296" x14ac:dyDescent="0.3">
      <c r="A25">
        <v>9</v>
      </c>
      <c r="B25">
        <v>1736187150</v>
      </c>
      <c r="C25">
        <v>1375.400000095367</v>
      </c>
      <c r="D25" t="s">
        <v>934</v>
      </c>
      <c r="E25" t="s">
        <v>935</v>
      </c>
      <c r="F25">
        <v>15</v>
      </c>
      <c r="H25">
        <v>1736187142.25</v>
      </c>
      <c r="I25">
        <f t="shared" si="0"/>
        <v>3.3606375391070872E-3</v>
      </c>
      <c r="J25">
        <f t="shared" si="1"/>
        <v>3.3606375391070871</v>
      </c>
      <c r="K25">
        <f t="shared" si="2"/>
        <v>19.496122249315267</v>
      </c>
      <c r="L25">
        <f t="shared" si="3"/>
        <v>419.97359999999998</v>
      </c>
      <c r="M25">
        <f t="shared" si="4"/>
        <v>260.09270893943159</v>
      </c>
      <c r="N25">
        <f t="shared" si="5"/>
        <v>25.361221935782737</v>
      </c>
      <c r="O25">
        <f t="shared" si="6"/>
        <v>40.950950606039399</v>
      </c>
      <c r="P25">
        <f t="shared" si="7"/>
        <v>0.21380725481559718</v>
      </c>
      <c r="Q25">
        <f t="shared" si="8"/>
        <v>2.8835715061884377</v>
      </c>
      <c r="R25">
        <f t="shared" si="9"/>
        <v>0.20537434110993788</v>
      </c>
      <c r="S25">
        <f t="shared" si="10"/>
        <v>0.12908891297677647</v>
      </c>
      <c r="T25">
        <f t="shared" si="11"/>
        <v>64.409058503800793</v>
      </c>
      <c r="U25">
        <f t="shared" si="12"/>
        <v>31.965661157755921</v>
      </c>
      <c r="V25">
        <f t="shared" si="13"/>
        <v>31.958676666666669</v>
      </c>
      <c r="W25">
        <f t="shared" si="14"/>
        <v>4.7639260338203782</v>
      </c>
      <c r="X25">
        <f t="shared" si="15"/>
        <v>65.965097566505591</v>
      </c>
      <c r="Y25">
        <f t="shared" si="16"/>
        <v>3.2337852285559432</v>
      </c>
      <c r="Z25">
        <f t="shared" si="17"/>
        <v>4.902267028856679</v>
      </c>
      <c r="AA25">
        <f t="shared" si="18"/>
        <v>1.530140805264435</v>
      </c>
      <c r="AB25">
        <f t="shared" si="19"/>
        <v>-148.20411547462254</v>
      </c>
      <c r="AC25">
        <f t="shared" si="20"/>
        <v>78.74521968682032</v>
      </c>
      <c r="AD25">
        <f t="shared" si="21"/>
        <v>6.2059682976938468</v>
      </c>
      <c r="AE25">
        <f t="shared" si="22"/>
        <v>1.1561310136924163</v>
      </c>
      <c r="AF25">
        <f t="shared" si="23"/>
        <v>19.496122249315267</v>
      </c>
      <c r="AG25">
        <f t="shared" si="24"/>
        <v>3.3606375391070871</v>
      </c>
      <c r="AH25">
        <f t="shared" si="25"/>
        <v>19.300750443526159</v>
      </c>
      <c r="AI25">
        <v>458.57102402660371</v>
      </c>
      <c r="AJ25">
        <v>434.37935151515143</v>
      </c>
      <c r="AK25">
        <v>6.465669088968766E-2</v>
      </c>
      <c r="AL25">
        <v>67.035481204168676</v>
      </c>
      <c r="AM25">
        <f t="shared" si="26"/>
        <v>3.340965719969093</v>
      </c>
      <c r="AN25">
        <v>29.2672349300741</v>
      </c>
      <c r="AO25">
        <v>33.139096363636362</v>
      </c>
      <c r="AP25">
        <v>7.4178381682260455E-4</v>
      </c>
      <c r="AQ25">
        <v>78.067451697828076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50583.187902296144</v>
      </c>
      <c r="AW25" t="s">
        <v>903</v>
      </c>
      <c r="AX25">
        <v>5105.3</v>
      </c>
      <c r="AY25">
        <v>582.67647058823525</v>
      </c>
      <c r="AZ25">
        <v>2431.5</v>
      </c>
      <c r="BA25">
        <f t="shared" si="30"/>
        <v>0.76036336804925553</v>
      </c>
      <c r="BB25">
        <v>-6.5884728632969241</v>
      </c>
      <c r="BC25" t="s">
        <v>936</v>
      </c>
      <c r="BD25">
        <v>5102.7700000000004</v>
      </c>
      <c r="BE25">
        <v>762.61858823529417</v>
      </c>
      <c r="BF25">
        <v>1631.14</v>
      </c>
      <c r="BG25">
        <f t="shared" si="31"/>
        <v>0.53246282462860695</v>
      </c>
      <c r="BH25">
        <v>0.5</v>
      </c>
      <c r="BI25">
        <f t="shared" si="32"/>
        <v>336.28063686207292</v>
      </c>
      <c r="BJ25">
        <f t="shared" si="33"/>
        <v>19.496122249315267</v>
      </c>
      <c r="BK25">
        <f t="shared" si="34"/>
        <v>89.528468885743095</v>
      </c>
      <c r="BL25">
        <f t="shared" si="35"/>
        <v>7.7567936578254157E-2</v>
      </c>
      <c r="BM25">
        <f t="shared" si="36"/>
        <v>0.49067523327243512</v>
      </c>
      <c r="BN25">
        <f t="shared" si="37"/>
        <v>521.37163342518488</v>
      </c>
      <c r="BO25" t="s">
        <v>407</v>
      </c>
      <c r="BP25">
        <v>0</v>
      </c>
      <c r="BQ25">
        <f t="shared" si="38"/>
        <v>521.37163342518488</v>
      </c>
      <c r="BR25">
        <f t="shared" si="39"/>
        <v>0.68036365154113998</v>
      </c>
      <c r="BS25">
        <f t="shared" si="40"/>
        <v>0.78261503744723504</v>
      </c>
      <c r="BT25">
        <f t="shared" si="41"/>
        <v>0.41900848864685541</v>
      </c>
      <c r="BU25">
        <f t="shared" si="42"/>
        <v>0.82837541545387428</v>
      </c>
      <c r="BV25">
        <f t="shared" si="43"/>
        <v>0.43290232262169892</v>
      </c>
      <c r="BW25">
        <f t="shared" si="44"/>
        <v>0.53504240089553756</v>
      </c>
      <c r="BX25">
        <f t="shared" si="45"/>
        <v>0.46495759910446244</v>
      </c>
      <c r="DG25">
        <f t="shared" si="46"/>
        <v>399.98123333333331</v>
      </c>
      <c r="DH25">
        <f t="shared" si="47"/>
        <v>336.28063686207292</v>
      </c>
      <c r="DI25">
        <f t="shared" si="48"/>
        <v>0.84074103692216462</v>
      </c>
      <c r="DJ25">
        <f t="shared" si="49"/>
        <v>0.16103020125977777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1736187142.25</v>
      </c>
      <c r="DQ25">
        <v>419.97359999999998</v>
      </c>
      <c r="DR25">
        <v>445.06263333333328</v>
      </c>
      <c r="DS25">
        <v>33.164173333333331</v>
      </c>
      <c r="DT25">
        <v>29.265146666666659</v>
      </c>
      <c r="DU25">
        <v>424.62259999999998</v>
      </c>
      <c r="DV25">
        <v>32.75465333333333</v>
      </c>
      <c r="DW25">
        <v>499.99936666666662</v>
      </c>
      <c r="DX25">
        <v>97.460469999999987</v>
      </c>
      <c r="DY25">
        <v>4.7922446666666681E-2</v>
      </c>
      <c r="DZ25">
        <v>32.465209999999999</v>
      </c>
      <c r="EA25">
        <v>31.958676666666669</v>
      </c>
      <c r="EB25">
        <v>999.9000000000002</v>
      </c>
      <c r="EC25">
        <v>0</v>
      </c>
      <c r="ED25">
        <v>0</v>
      </c>
      <c r="EE25">
        <v>9994</v>
      </c>
      <c r="EF25">
        <v>0</v>
      </c>
      <c r="EG25">
        <v>153.51846666666671</v>
      </c>
      <c r="EH25">
        <v>-25.08903333333334</v>
      </c>
      <c r="EI25">
        <v>434.3794333333334</v>
      </c>
      <c r="EJ25">
        <v>458.48016666666661</v>
      </c>
      <c r="EK25">
        <v>3.8990383333333329</v>
      </c>
      <c r="EL25">
        <v>445.06263333333328</v>
      </c>
      <c r="EM25">
        <v>29.265146666666659</v>
      </c>
      <c r="EN25">
        <v>3.2321953333333329</v>
      </c>
      <c r="EO25">
        <v>2.8521926666666668</v>
      </c>
      <c r="EP25">
        <v>25.275056666666671</v>
      </c>
      <c r="EQ25">
        <v>23.18931666666667</v>
      </c>
      <c r="ER25">
        <v>399.98123333333331</v>
      </c>
      <c r="ES25">
        <v>0.97498176666666658</v>
      </c>
      <c r="ET25">
        <v>2.5018539999999999E-2</v>
      </c>
      <c r="EU25">
        <v>0</v>
      </c>
      <c r="EV25">
        <v>762.87043333333349</v>
      </c>
      <c r="EW25">
        <v>5.0010700000000003</v>
      </c>
      <c r="EX25">
        <v>5085.0493333333334</v>
      </c>
      <c r="EY25">
        <v>3583.48</v>
      </c>
      <c r="EZ25">
        <v>37.92046666666667</v>
      </c>
      <c r="FA25">
        <v>41.037199999999999</v>
      </c>
      <c r="FB25">
        <v>39.774799999999999</v>
      </c>
      <c r="FC25">
        <v>40.449666666666651</v>
      </c>
      <c r="FD25">
        <v>40.453799999999987</v>
      </c>
      <c r="FE25">
        <v>385.09899999999988</v>
      </c>
      <c r="FF25">
        <v>9.879999999999999</v>
      </c>
      <c r="FG25">
        <v>0</v>
      </c>
      <c r="FH25">
        <v>205.5999999046326</v>
      </c>
      <c r="FI25">
        <v>0</v>
      </c>
      <c r="FJ25">
        <v>762.61858823529417</v>
      </c>
      <c r="FK25">
        <v>-4.7112745642171703</v>
      </c>
      <c r="FL25">
        <v>-170.7450986558365</v>
      </c>
      <c r="FM25">
        <v>5085.8082352941183</v>
      </c>
      <c r="FN25">
        <v>10</v>
      </c>
      <c r="FO25">
        <v>1736187108</v>
      </c>
      <c r="FP25" t="s">
        <v>937</v>
      </c>
      <c r="FQ25">
        <v>1736187102</v>
      </c>
      <c r="FR25">
        <v>1736187108</v>
      </c>
      <c r="FS25">
        <v>10</v>
      </c>
      <c r="FT25">
        <v>1.6E-2</v>
      </c>
      <c r="FU25">
        <v>2E-3</v>
      </c>
      <c r="FV25">
        <v>-4.7439999999999998</v>
      </c>
      <c r="FW25">
        <v>0.29399999999999998</v>
      </c>
      <c r="FX25">
        <v>445</v>
      </c>
      <c r="FY25">
        <v>29</v>
      </c>
      <c r="FZ25">
        <v>0.32</v>
      </c>
      <c r="GA25">
        <v>7.0000000000000007E-2</v>
      </c>
      <c r="GB25">
        <v>-25.115214999999999</v>
      </c>
      <c r="GC25">
        <v>-0.2585425891181532</v>
      </c>
      <c r="GD25">
        <v>0.24779628079331659</v>
      </c>
      <c r="GE25">
        <v>1</v>
      </c>
      <c r="GF25">
        <v>763.03835294117653</v>
      </c>
      <c r="GG25">
        <v>-3.4763025260737388</v>
      </c>
      <c r="GH25">
        <v>0.38902025369569948</v>
      </c>
      <c r="GI25">
        <v>1</v>
      </c>
      <c r="GJ25">
        <v>3.9114225</v>
      </c>
      <c r="GK25">
        <v>-0.25708412757975241</v>
      </c>
      <c r="GL25">
        <v>2.5175710094255489E-2</v>
      </c>
      <c r="GM25">
        <v>1</v>
      </c>
      <c r="GN25">
        <v>3</v>
      </c>
      <c r="GO25">
        <v>3</v>
      </c>
      <c r="GP25" t="s">
        <v>599</v>
      </c>
      <c r="GQ25">
        <v>3.1324999999999998</v>
      </c>
      <c r="GR25">
        <v>2.7234400000000001</v>
      </c>
      <c r="GS25">
        <v>9.1111800000000007E-2</v>
      </c>
      <c r="GT25">
        <v>9.5214800000000002E-2</v>
      </c>
      <c r="GU25">
        <v>0.13864699999999999</v>
      </c>
      <c r="GV25">
        <v>0.12855</v>
      </c>
      <c r="GW25">
        <v>22812.2</v>
      </c>
      <c r="GX25">
        <v>30559.7</v>
      </c>
      <c r="GY25">
        <v>27224.3</v>
      </c>
      <c r="GZ25">
        <v>34728.9</v>
      </c>
      <c r="HA25">
        <v>34332.199999999997</v>
      </c>
      <c r="HB25">
        <v>38633.599999999999</v>
      </c>
      <c r="HC25">
        <v>40192.699999999997</v>
      </c>
      <c r="HD25">
        <v>44416.2</v>
      </c>
      <c r="HE25">
        <v>1.9688000000000001</v>
      </c>
      <c r="HF25">
        <v>1.7951999999999999</v>
      </c>
      <c r="HG25">
        <v>3.9190099999999999E-2</v>
      </c>
      <c r="HH25">
        <v>0</v>
      </c>
      <c r="HI25">
        <v>31.319700000000001</v>
      </c>
      <c r="HJ25">
        <v>999.9</v>
      </c>
      <c r="HK25">
        <v>69.400000000000006</v>
      </c>
      <c r="HL25">
        <v>34</v>
      </c>
      <c r="HM25">
        <v>38.046300000000002</v>
      </c>
      <c r="HN25">
        <v>60.27</v>
      </c>
      <c r="HO25">
        <v>7.0593000000000004</v>
      </c>
      <c r="HP25">
        <v>1</v>
      </c>
      <c r="HQ25">
        <v>0.50394300000000003</v>
      </c>
      <c r="HR25">
        <v>0</v>
      </c>
      <c r="HS25">
        <v>20.293099999999999</v>
      </c>
      <c r="HT25">
        <v>5.2112999999999996</v>
      </c>
      <c r="HU25">
        <v>11.908099999999999</v>
      </c>
      <c r="HV25">
        <v>4.9851999999999999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1.86731</v>
      </c>
      <c r="IC25">
        <v>1.8629199999999999</v>
      </c>
      <c r="ID25">
        <v>1.8623400000000001</v>
      </c>
      <c r="IE25">
        <v>1.86185</v>
      </c>
      <c r="IF25">
        <v>1.86188</v>
      </c>
      <c r="IG25">
        <v>1.86249</v>
      </c>
      <c r="IH25">
        <v>1.8633999999999999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-4.6479999999999997</v>
      </c>
      <c r="IX25">
        <v>0.40889999999999999</v>
      </c>
      <c r="IY25">
        <v>-2.7646047274165362</v>
      </c>
      <c r="IZ25">
        <v>-5.1756331061651789E-3</v>
      </c>
      <c r="JA25">
        <v>1.8217400814442949E-6</v>
      </c>
      <c r="JB25">
        <v>-1.9713393848198499E-10</v>
      </c>
      <c r="JC25">
        <v>-0.2401658113502517</v>
      </c>
      <c r="JD25">
        <v>2.7492919904454862E-4</v>
      </c>
      <c r="JE25">
        <v>8.6739513355948885E-4</v>
      </c>
      <c r="JF25">
        <v>-8.2500691715147318E-6</v>
      </c>
      <c r="JG25">
        <v>20</v>
      </c>
      <c r="JH25">
        <v>1893</v>
      </c>
      <c r="JI25">
        <v>2</v>
      </c>
      <c r="JJ25">
        <v>37</v>
      </c>
      <c r="JK25">
        <v>0.8</v>
      </c>
      <c r="JL25">
        <v>0.7</v>
      </c>
      <c r="JM25">
        <v>1.1413599999999999</v>
      </c>
      <c r="JN25">
        <v>2.5134300000000001</v>
      </c>
      <c r="JO25">
        <v>1.50024</v>
      </c>
      <c r="JP25">
        <v>2.2741699999999998</v>
      </c>
      <c r="JQ25">
        <v>1.4477500000000001</v>
      </c>
      <c r="JR25">
        <v>2.3156699999999999</v>
      </c>
      <c r="JS25">
        <v>38.550400000000003</v>
      </c>
      <c r="JT25">
        <v>15.8657</v>
      </c>
      <c r="JU25">
        <v>18</v>
      </c>
      <c r="JV25">
        <v>542.99</v>
      </c>
      <c r="JW25">
        <v>443.65199999999999</v>
      </c>
      <c r="JX25">
        <v>32.441299999999998</v>
      </c>
      <c r="JY25">
        <v>33.539000000000001</v>
      </c>
      <c r="JZ25">
        <v>29.999500000000001</v>
      </c>
      <c r="KA25">
        <v>33.533099999999997</v>
      </c>
      <c r="KB25">
        <v>33.487499999999997</v>
      </c>
      <c r="KC25">
        <v>22.821999999999999</v>
      </c>
      <c r="KD25">
        <v>35.515300000000003</v>
      </c>
      <c r="KE25">
        <v>83.96</v>
      </c>
      <c r="KF25">
        <v>-999.9</v>
      </c>
      <c r="KG25">
        <v>445.36700000000002</v>
      </c>
      <c r="KH25">
        <v>29.320399999999999</v>
      </c>
      <c r="KI25">
        <v>100.462</v>
      </c>
      <c r="KJ25">
        <v>99.581400000000002</v>
      </c>
    </row>
    <row r="26" spans="1:296" x14ac:dyDescent="0.3">
      <c r="A26">
        <v>10</v>
      </c>
      <c r="B26">
        <v>1736187284</v>
      </c>
      <c r="C26">
        <v>1509.400000095367</v>
      </c>
      <c r="D26" t="s">
        <v>938</v>
      </c>
      <c r="E26" t="s">
        <v>939</v>
      </c>
      <c r="F26">
        <v>15</v>
      </c>
      <c r="H26">
        <v>1736187276</v>
      </c>
      <c r="I26">
        <f t="shared" si="0"/>
        <v>3.5676059137636105E-3</v>
      </c>
      <c r="J26">
        <f t="shared" si="1"/>
        <v>3.5676059137636105</v>
      </c>
      <c r="K26">
        <f t="shared" si="2"/>
        <v>14.749722676745147</v>
      </c>
      <c r="L26">
        <f t="shared" si="3"/>
        <v>420.01906451612899</v>
      </c>
      <c r="M26">
        <f t="shared" si="4"/>
        <v>300.28076742347969</v>
      </c>
      <c r="N26">
        <f t="shared" si="5"/>
        <v>29.281356579699331</v>
      </c>
      <c r="O26">
        <f t="shared" si="6"/>
        <v>40.957428289184683</v>
      </c>
      <c r="P26">
        <f t="shared" si="7"/>
        <v>0.22208700652703653</v>
      </c>
      <c r="Q26">
        <f t="shared" si="8"/>
        <v>2.8844759273481482</v>
      </c>
      <c r="R26">
        <f t="shared" si="9"/>
        <v>0.21300595525955934</v>
      </c>
      <c r="S26">
        <f t="shared" si="10"/>
        <v>0.13391367704514351</v>
      </c>
      <c r="T26">
        <f t="shared" si="11"/>
        <v>48.445667947146234</v>
      </c>
      <c r="U26">
        <f t="shared" si="12"/>
        <v>31.921473814922884</v>
      </c>
      <c r="V26">
        <f t="shared" si="13"/>
        <v>32.16827096774194</v>
      </c>
      <c r="W26">
        <f t="shared" si="14"/>
        <v>4.820751212569621</v>
      </c>
      <c r="X26">
        <f t="shared" si="15"/>
        <v>66.008300515316449</v>
      </c>
      <c r="Y26">
        <f t="shared" si="16"/>
        <v>3.2551467563237875</v>
      </c>
      <c r="Z26">
        <f t="shared" si="17"/>
        <v>4.9314203379141226</v>
      </c>
      <c r="AA26">
        <f t="shared" si="18"/>
        <v>1.5656044562458336</v>
      </c>
      <c r="AB26">
        <f t="shared" si="19"/>
        <v>-157.33142079697524</v>
      </c>
      <c r="AC26">
        <f t="shared" si="20"/>
        <v>62.52870972053055</v>
      </c>
      <c r="AD26">
        <f t="shared" si="21"/>
        <v>4.9340113097651175</v>
      </c>
      <c r="AE26">
        <f t="shared" si="22"/>
        <v>-41.423031819533342</v>
      </c>
      <c r="AF26">
        <f t="shared" si="23"/>
        <v>14.749722676745147</v>
      </c>
      <c r="AG26">
        <f t="shared" si="24"/>
        <v>3.5676059137636105</v>
      </c>
      <c r="AH26">
        <f t="shared" si="25"/>
        <v>14.948055404988413</v>
      </c>
      <c r="AI26">
        <v>452.68105885832131</v>
      </c>
      <c r="AJ26">
        <v>434.35145454545437</v>
      </c>
      <c r="AK26">
        <v>-2.8600682868500218E-2</v>
      </c>
      <c r="AL26">
        <v>67.095679382844025</v>
      </c>
      <c r="AM26">
        <f t="shared" si="26"/>
        <v>3.5798863194089705</v>
      </c>
      <c r="AN26">
        <v>29.246298423653371</v>
      </c>
      <c r="AO26">
        <v>33.397481818181809</v>
      </c>
      <c r="AP26">
        <v>1.5399520521651241E-4</v>
      </c>
      <c r="AQ26">
        <v>78.255591379933975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50591.113289216104</v>
      </c>
      <c r="AW26" t="s">
        <v>903</v>
      </c>
      <c r="AX26">
        <v>5105.3</v>
      </c>
      <c r="AY26">
        <v>582.67647058823525</v>
      </c>
      <c r="AZ26">
        <v>2431.5</v>
      </c>
      <c r="BA26">
        <f t="shared" si="30"/>
        <v>0.76036336804925553</v>
      </c>
      <c r="BB26">
        <v>-6.5884728632969241</v>
      </c>
      <c r="BC26" t="s">
        <v>940</v>
      </c>
      <c r="BD26">
        <v>5104.8599999999997</v>
      </c>
      <c r="BE26">
        <v>769.2023529411764</v>
      </c>
      <c r="BF26">
        <v>1741.57</v>
      </c>
      <c r="BG26">
        <f t="shared" si="31"/>
        <v>0.55832820217322499</v>
      </c>
      <c r="BH26">
        <v>0.5</v>
      </c>
      <c r="BI26">
        <f t="shared" si="32"/>
        <v>252.30064082837251</v>
      </c>
      <c r="BJ26">
        <f t="shared" si="33"/>
        <v>14.749722676745147</v>
      </c>
      <c r="BK26">
        <f t="shared" si="34"/>
        <v>70.433281600428899</v>
      </c>
      <c r="BL26">
        <f t="shared" si="35"/>
        <v>8.4574480151865236E-2</v>
      </c>
      <c r="BM26">
        <f t="shared" si="36"/>
        <v>0.39615404491349765</v>
      </c>
      <c r="BN26">
        <f t="shared" si="37"/>
        <v>532.15718165654221</v>
      </c>
      <c r="BO26" t="s">
        <v>407</v>
      </c>
      <c r="BP26">
        <v>0</v>
      </c>
      <c r="BQ26">
        <f t="shared" si="38"/>
        <v>532.15718165654221</v>
      </c>
      <c r="BR26">
        <f t="shared" si="39"/>
        <v>0.6944382472960936</v>
      </c>
      <c r="BS26">
        <f t="shared" si="40"/>
        <v>0.80399978593800847</v>
      </c>
      <c r="BT26">
        <f t="shared" si="41"/>
        <v>0.3632466942443458</v>
      </c>
      <c r="BU26">
        <f t="shared" si="42"/>
        <v>0.83904830114323048</v>
      </c>
      <c r="BV26">
        <f t="shared" si="43"/>
        <v>0.37317244670696786</v>
      </c>
      <c r="BW26">
        <f t="shared" si="44"/>
        <v>0.55623108600911075</v>
      </c>
      <c r="BX26">
        <f t="shared" si="45"/>
        <v>0.44376891399088925</v>
      </c>
      <c r="DG26">
        <f t="shared" si="46"/>
        <v>300.00996774193538</v>
      </c>
      <c r="DH26">
        <f t="shared" si="47"/>
        <v>252.30064082837251</v>
      </c>
      <c r="DI26">
        <f t="shared" si="48"/>
        <v>0.84097419404877305</v>
      </c>
      <c r="DJ26">
        <f t="shared" si="49"/>
        <v>0.16148019451413215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1736187276</v>
      </c>
      <c r="DQ26">
        <v>420.01906451612899</v>
      </c>
      <c r="DR26">
        <v>439.51554838709671</v>
      </c>
      <c r="DS26">
        <v>33.381580645161293</v>
      </c>
      <c r="DT26">
        <v>29.243648387096769</v>
      </c>
      <c r="DU26">
        <v>424.65464516129032</v>
      </c>
      <c r="DV26">
        <v>32.96125806451613</v>
      </c>
      <c r="DW26">
        <v>500.03432258064521</v>
      </c>
      <c r="DX26">
        <v>97.46523870967745</v>
      </c>
      <c r="DY26">
        <v>4.8021400000000013E-2</v>
      </c>
      <c r="DZ26">
        <v>32.570364516129032</v>
      </c>
      <c r="EA26">
        <v>32.16827096774194</v>
      </c>
      <c r="EB26">
        <v>999.90000000000032</v>
      </c>
      <c r="EC26">
        <v>0</v>
      </c>
      <c r="ED26">
        <v>0</v>
      </c>
      <c r="EE26">
        <v>9998.7096774193542</v>
      </c>
      <c r="EF26">
        <v>0</v>
      </c>
      <c r="EG26">
        <v>428.27661290322578</v>
      </c>
      <c r="EH26">
        <v>-19.496645161290321</v>
      </c>
      <c r="EI26">
        <v>434.52403225806461</v>
      </c>
      <c r="EJ26">
        <v>452.75590322580649</v>
      </c>
      <c r="EK26">
        <v>4.1379380645161294</v>
      </c>
      <c r="EL26">
        <v>439.51554838709671</v>
      </c>
      <c r="EM26">
        <v>29.243648387096769</v>
      </c>
      <c r="EN26">
        <v>3.2535445161290322</v>
      </c>
      <c r="EO26">
        <v>2.850239677419355</v>
      </c>
      <c r="EP26">
        <v>25.38575483870968</v>
      </c>
      <c r="EQ26">
        <v>23.17796774193549</v>
      </c>
      <c r="ER26">
        <v>300.00996774193538</v>
      </c>
      <c r="ES26">
        <v>0.96697064516129028</v>
      </c>
      <c r="ET26">
        <v>3.3029206451612912E-2</v>
      </c>
      <c r="EU26">
        <v>0</v>
      </c>
      <c r="EV26">
        <v>769.20051612903217</v>
      </c>
      <c r="EW26">
        <v>5.0010700000000003</v>
      </c>
      <c r="EX26">
        <v>6692.1816129032259</v>
      </c>
      <c r="EY26">
        <v>2668.0877419354838</v>
      </c>
      <c r="EZ26">
        <v>37.618903225806442</v>
      </c>
      <c r="FA26">
        <v>41.116870967741939</v>
      </c>
      <c r="FB26">
        <v>39.520000000000003</v>
      </c>
      <c r="FC26">
        <v>40.413161290322577</v>
      </c>
      <c r="FD26">
        <v>40.27999999999998</v>
      </c>
      <c r="FE26">
        <v>285.2664516129031</v>
      </c>
      <c r="FF26">
        <v>9.7422580645161307</v>
      </c>
      <c r="FG26">
        <v>0</v>
      </c>
      <c r="FH26">
        <v>133.20000004768369</v>
      </c>
      <c r="FI26">
        <v>0</v>
      </c>
      <c r="FJ26">
        <v>769.2023529411764</v>
      </c>
      <c r="FK26">
        <v>-0.94338232858180993</v>
      </c>
      <c r="FL26">
        <v>326.0367689109799</v>
      </c>
      <c r="FM26">
        <v>6648.8805882352945</v>
      </c>
      <c r="FN26">
        <v>10</v>
      </c>
      <c r="FO26">
        <v>1736187241.5</v>
      </c>
      <c r="FP26" t="s">
        <v>941</v>
      </c>
      <c r="FQ26">
        <v>1736187234.5</v>
      </c>
      <c r="FR26">
        <v>1736187241.5</v>
      </c>
      <c r="FS26">
        <v>11</v>
      </c>
      <c r="FT26">
        <v>1.2999999999999999E-2</v>
      </c>
      <c r="FU26">
        <v>4.0000000000000001E-3</v>
      </c>
      <c r="FV26">
        <v>-4.7089999999999996</v>
      </c>
      <c r="FW26">
        <v>0.30099999999999999</v>
      </c>
      <c r="FX26">
        <v>440</v>
      </c>
      <c r="FY26">
        <v>29</v>
      </c>
      <c r="FZ26">
        <v>0.36</v>
      </c>
      <c r="GA26">
        <v>0.08</v>
      </c>
      <c r="GB26">
        <v>-19.5241975</v>
      </c>
      <c r="GC26">
        <v>1.92258911819768E-2</v>
      </c>
      <c r="GD26">
        <v>0.1829049896633497</v>
      </c>
      <c r="GE26">
        <v>1</v>
      </c>
      <c r="GF26">
        <v>769.12070588235304</v>
      </c>
      <c r="GG26">
        <v>0.89182582158688795</v>
      </c>
      <c r="GH26">
        <v>0.22913963497906489</v>
      </c>
      <c r="GI26">
        <v>1</v>
      </c>
      <c r="GJ26">
        <v>4.1334382500000002</v>
      </c>
      <c r="GK26">
        <v>9.2889568480293616E-2</v>
      </c>
      <c r="GL26">
        <v>1.02519066245016E-2</v>
      </c>
      <c r="GM26">
        <v>1</v>
      </c>
      <c r="GN26">
        <v>3</v>
      </c>
      <c r="GO26">
        <v>3</v>
      </c>
      <c r="GP26" t="s">
        <v>599</v>
      </c>
      <c r="GQ26">
        <v>3.13327</v>
      </c>
      <c r="GR26">
        <v>2.72431</v>
      </c>
      <c r="GS26">
        <v>9.1138499999999997E-2</v>
      </c>
      <c r="GT26">
        <v>9.4275399999999995E-2</v>
      </c>
      <c r="GU26">
        <v>0.13936200000000001</v>
      </c>
      <c r="GV26">
        <v>0.12848000000000001</v>
      </c>
      <c r="GW26">
        <v>22812</v>
      </c>
      <c r="GX26">
        <v>30592.799999999999</v>
      </c>
      <c r="GY26">
        <v>27224.7</v>
      </c>
      <c r="GZ26">
        <v>34730.300000000003</v>
      </c>
      <c r="HA26">
        <v>34303.800000000003</v>
      </c>
      <c r="HB26">
        <v>38638.6</v>
      </c>
      <c r="HC26">
        <v>40193.199999999997</v>
      </c>
      <c r="HD26">
        <v>44418.5</v>
      </c>
      <c r="HE26">
        <v>1.9696</v>
      </c>
      <c r="HF26">
        <v>1.7931999999999999</v>
      </c>
      <c r="HG26">
        <v>2.7418100000000001E-2</v>
      </c>
      <c r="HH26">
        <v>0</v>
      </c>
      <c r="HI26">
        <v>31.698799999999999</v>
      </c>
      <c r="HJ26">
        <v>999.9</v>
      </c>
      <c r="HK26">
        <v>69.2</v>
      </c>
      <c r="HL26">
        <v>34.1</v>
      </c>
      <c r="HM26">
        <v>38.146900000000002</v>
      </c>
      <c r="HN26">
        <v>59.95</v>
      </c>
      <c r="HO26">
        <v>7.2355799999999997</v>
      </c>
      <c r="HP26">
        <v>1</v>
      </c>
      <c r="HQ26">
        <v>0.50152399999999997</v>
      </c>
      <c r="HR26">
        <v>0</v>
      </c>
      <c r="HS26">
        <v>20.293900000000001</v>
      </c>
      <c r="HT26">
        <v>5.2100999999999997</v>
      </c>
      <c r="HU26">
        <v>11.908099999999999</v>
      </c>
      <c r="HV26">
        <v>4.9859999999999998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1.8672800000000001</v>
      </c>
      <c r="IC26">
        <v>1.8628899999999999</v>
      </c>
      <c r="ID26">
        <v>1.8623099999999999</v>
      </c>
      <c r="IE26">
        <v>1.86172</v>
      </c>
      <c r="IF26">
        <v>1.86188</v>
      </c>
      <c r="IG26">
        <v>1.8625499999999999</v>
      </c>
      <c r="IH26">
        <v>1.8633999999999999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-4.6349999999999998</v>
      </c>
      <c r="IX26">
        <v>0.42070000000000002</v>
      </c>
      <c r="IY26">
        <v>-2.7512686179317738</v>
      </c>
      <c r="IZ26">
        <v>-5.1756331061651789E-3</v>
      </c>
      <c r="JA26">
        <v>1.8217400814442949E-6</v>
      </c>
      <c r="JB26">
        <v>-1.9713393848198499E-10</v>
      </c>
      <c r="JC26">
        <v>-0.23568138316347631</v>
      </c>
      <c r="JD26">
        <v>2.7492919904454862E-4</v>
      </c>
      <c r="JE26">
        <v>8.6739513355948885E-4</v>
      </c>
      <c r="JF26">
        <v>-8.2500691715147318E-6</v>
      </c>
      <c r="JG26">
        <v>20</v>
      </c>
      <c r="JH26">
        <v>1893</v>
      </c>
      <c r="JI26">
        <v>2</v>
      </c>
      <c r="JJ26">
        <v>37</v>
      </c>
      <c r="JK26">
        <v>0.8</v>
      </c>
      <c r="JL26">
        <v>0.7</v>
      </c>
      <c r="JM26">
        <v>1.1303700000000001</v>
      </c>
      <c r="JN26">
        <v>2.50732</v>
      </c>
      <c r="JO26">
        <v>1.50024</v>
      </c>
      <c r="JP26">
        <v>2.2741699999999998</v>
      </c>
      <c r="JQ26">
        <v>1.4477500000000001</v>
      </c>
      <c r="JR26">
        <v>2.3779300000000001</v>
      </c>
      <c r="JS26">
        <v>38.501399999999997</v>
      </c>
      <c r="JT26">
        <v>15.8569</v>
      </c>
      <c r="JU26">
        <v>18</v>
      </c>
      <c r="JV26">
        <v>543.32399999999996</v>
      </c>
      <c r="JW26">
        <v>442.30399999999997</v>
      </c>
      <c r="JX26">
        <v>32.463799999999999</v>
      </c>
      <c r="JY26">
        <v>33.508899999999997</v>
      </c>
      <c r="JZ26">
        <v>30.0001</v>
      </c>
      <c r="KA26">
        <v>33.5092</v>
      </c>
      <c r="KB26">
        <v>33.4756</v>
      </c>
      <c r="KC26">
        <v>22.5992</v>
      </c>
      <c r="KD26">
        <v>35.683900000000001</v>
      </c>
      <c r="KE26">
        <v>81.647599999999997</v>
      </c>
      <c r="KF26">
        <v>-999.9</v>
      </c>
      <c r="KG26">
        <v>439.71699999999998</v>
      </c>
      <c r="KH26">
        <v>29.101099999999999</v>
      </c>
      <c r="KI26">
        <v>100.46299999999999</v>
      </c>
      <c r="KJ26">
        <v>99.585999999999999</v>
      </c>
    </row>
    <row r="27" spans="1:296" x14ac:dyDescent="0.3">
      <c r="A27">
        <v>11</v>
      </c>
      <c r="B27">
        <v>1736187413.5</v>
      </c>
      <c r="C27">
        <v>1638.900000095367</v>
      </c>
      <c r="D27" t="s">
        <v>942</v>
      </c>
      <c r="E27" t="s">
        <v>943</v>
      </c>
      <c r="F27">
        <v>15</v>
      </c>
      <c r="H27">
        <v>1736187405.75</v>
      </c>
      <c r="I27">
        <f t="shared" si="0"/>
        <v>3.788779944231825E-3</v>
      </c>
      <c r="J27">
        <f t="shared" si="1"/>
        <v>3.7887799442318251</v>
      </c>
      <c r="K27">
        <f t="shared" si="2"/>
        <v>9.2656090928329213</v>
      </c>
      <c r="L27">
        <f t="shared" si="3"/>
        <v>420.07903333333331</v>
      </c>
      <c r="M27">
        <f t="shared" si="4"/>
        <v>342.02894602301967</v>
      </c>
      <c r="N27">
        <f t="shared" si="5"/>
        <v>33.351733771478855</v>
      </c>
      <c r="O27">
        <f t="shared" si="6"/>
        <v>40.962509885846266</v>
      </c>
      <c r="P27">
        <f t="shared" si="7"/>
        <v>0.22775742968363366</v>
      </c>
      <c r="Q27">
        <f t="shared" si="8"/>
        <v>2.8852775308728797</v>
      </c>
      <c r="R27">
        <f t="shared" si="9"/>
        <v>0.21821997592489609</v>
      </c>
      <c r="S27">
        <f t="shared" si="10"/>
        <v>0.13721110604292655</v>
      </c>
      <c r="T27">
        <f t="shared" si="11"/>
        <v>32.485868138682406</v>
      </c>
      <c r="U27">
        <f t="shared" si="12"/>
        <v>31.98727860724858</v>
      </c>
      <c r="V27">
        <f t="shared" si="13"/>
        <v>32.448560000000001</v>
      </c>
      <c r="W27">
        <f t="shared" si="14"/>
        <v>4.8976647228720385</v>
      </c>
      <c r="X27">
        <f t="shared" si="15"/>
        <v>65.609981620278617</v>
      </c>
      <c r="Y27">
        <f t="shared" si="16"/>
        <v>3.2756041670698659</v>
      </c>
      <c r="Z27">
        <f t="shared" si="17"/>
        <v>4.9925393761388399</v>
      </c>
      <c r="AA27">
        <f t="shared" si="18"/>
        <v>1.6220605558021726</v>
      </c>
      <c r="AB27">
        <f t="shared" si="19"/>
        <v>-167.08519554062349</v>
      </c>
      <c r="AC27">
        <f t="shared" si="20"/>
        <v>52.967217518653484</v>
      </c>
      <c r="AD27">
        <f t="shared" si="21"/>
        <v>4.1886220778467367</v>
      </c>
      <c r="AE27">
        <f t="shared" si="22"/>
        <v>-77.443487805440867</v>
      </c>
      <c r="AF27">
        <f t="shared" si="23"/>
        <v>9.2656090928329213</v>
      </c>
      <c r="AG27">
        <f t="shared" si="24"/>
        <v>3.7887799442318251</v>
      </c>
      <c r="AH27">
        <f t="shared" si="25"/>
        <v>9.2366953599602226</v>
      </c>
      <c r="AI27">
        <v>446.22958536794158</v>
      </c>
      <c r="AJ27">
        <v>434.66722424242431</v>
      </c>
      <c r="AK27">
        <v>2.8398910787250729E-2</v>
      </c>
      <c r="AL27">
        <v>67.09458934386447</v>
      </c>
      <c r="AM27">
        <f t="shared" si="26"/>
        <v>3.7943549866535435</v>
      </c>
      <c r="AN27">
        <v>29.273218678333379</v>
      </c>
      <c r="AO27">
        <v>33.629706060606047</v>
      </c>
      <c r="AP27">
        <v>7.2058289614100064E-3</v>
      </c>
      <c r="AQ27">
        <v>78.253446022003388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50577.24274215824</v>
      </c>
      <c r="AW27" t="s">
        <v>903</v>
      </c>
      <c r="AX27">
        <v>5105.3</v>
      </c>
      <c r="AY27">
        <v>582.67647058823525</v>
      </c>
      <c r="AZ27">
        <v>2431.5</v>
      </c>
      <c r="BA27">
        <f t="shared" si="30"/>
        <v>0.76036336804925553</v>
      </c>
      <c r="BB27">
        <v>-6.5884728632969241</v>
      </c>
      <c r="BC27" t="s">
        <v>944</v>
      </c>
      <c r="BD27">
        <v>5106.26</v>
      </c>
      <c r="BE27">
        <v>777.55064705882342</v>
      </c>
      <c r="BF27">
        <v>1904.53</v>
      </c>
      <c r="BG27">
        <f t="shared" si="31"/>
        <v>0.59173620417697625</v>
      </c>
      <c r="BH27">
        <v>0.5</v>
      </c>
      <c r="BI27">
        <f t="shared" si="32"/>
        <v>168.29685623765934</v>
      </c>
      <c r="BJ27">
        <f t="shared" si="33"/>
        <v>9.2656090928329213</v>
      </c>
      <c r="BK27">
        <f t="shared" si="34"/>
        <v>49.793671442495402</v>
      </c>
      <c r="BL27">
        <f t="shared" si="35"/>
        <v>9.420307848021596E-2</v>
      </c>
      <c r="BM27">
        <f t="shared" si="36"/>
        <v>0.27669293736512424</v>
      </c>
      <c r="BN27">
        <f t="shared" si="37"/>
        <v>546.44407868894257</v>
      </c>
      <c r="BO27" t="s">
        <v>407</v>
      </c>
      <c r="BP27">
        <v>0</v>
      </c>
      <c r="BQ27">
        <f t="shared" si="38"/>
        <v>546.44407868894257</v>
      </c>
      <c r="BR27">
        <f t="shared" si="39"/>
        <v>0.71308192641284585</v>
      </c>
      <c r="BS27">
        <f t="shared" si="40"/>
        <v>0.82982919950545009</v>
      </c>
      <c r="BT27">
        <f t="shared" si="41"/>
        <v>0.2795513883924951</v>
      </c>
      <c r="BU27">
        <f t="shared" si="42"/>
        <v>0.85257506059895405</v>
      </c>
      <c r="BV27">
        <f t="shared" si="43"/>
        <v>0.28502990773146675</v>
      </c>
      <c r="BW27">
        <f t="shared" si="44"/>
        <v>0.58318420042242414</v>
      </c>
      <c r="BX27">
        <f t="shared" si="45"/>
        <v>0.41681579957757586</v>
      </c>
      <c r="DG27">
        <f t="shared" si="46"/>
        <v>200.00483333333341</v>
      </c>
      <c r="DH27">
        <f t="shared" si="47"/>
        <v>168.29685623765934</v>
      </c>
      <c r="DI27">
        <f t="shared" si="48"/>
        <v>0.84146394580960593</v>
      </c>
      <c r="DJ27">
        <f t="shared" si="49"/>
        <v>0.16242541541253949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1736187405.75</v>
      </c>
      <c r="DQ27">
        <v>420.07903333333331</v>
      </c>
      <c r="DR27">
        <v>433.10646666666668</v>
      </c>
      <c r="DS27">
        <v>33.591999999999999</v>
      </c>
      <c r="DT27">
        <v>29.19859666666666</v>
      </c>
      <c r="DU27">
        <v>424.76186666666661</v>
      </c>
      <c r="DV27">
        <v>33.167400000000001</v>
      </c>
      <c r="DW27">
        <v>500.04613333333327</v>
      </c>
      <c r="DX27">
        <v>97.463473333333312</v>
      </c>
      <c r="DY27">
        <v>4.7962933333333339E-2</v>
      </c>
      <c r="DZ27">
        <v>32.789073333333327</v>
      </c>
      <c r="EA27">
        <v>32.448560000000001</v>
      </c>
      <c r="EB27">
        <v>999.9000000000002</v>
      </c>
      <c r="EC27">
        <v>0</v>
      </c>
      <c r="ED27">
        <v>0</v>
      </c>
      <c r="EE27">
        <v>10003.5</v>
      </c>
      <c r="EF27">
        <v>0</v>
      </c>
      <c r="EG27">
        <v>427.30176666666671</v>
      </c>
      <c r="EH27">
        <v>-13.027533333333331</v>
      </c>
      <c r="EI27">
        <v>434.68069999999989</v>
      </c>
      <c r="EJ27">
        <v>446.13299999999998</v>
      </c>
      <c r="EK27">
        <v>4.393400999999999</v>
      </c>
      <c r="EL27">
        <v>433.10646666666668</v>
      </c>
      <c r="EM27">
        <v>29.19859666666666</v>
      </c>
      <c r="EN27">
        <v>3.2739929999999999</v>
      </c>
      <c r="EO27">
        <v>2.8457963333333329</v>
      </c>
      <c r="EP27">
        <v>25.49119</v>
      </c>
      <c r="EQ27">
        <v>23.152143333333331</v>
      </c>
      <c r="ER27">
        <v>200.00483333333341</v>
      </c>
      <c r="ES27">
        <v>0.94996426666666667</v>
      </c>
      <c r="ET27">
        <v>5.0035360000000001E-2</v>
      </c>
      <c r="EU27">
        <v>0</v>
      </c>
      <c r="EV27">
        <v>777.6617</v>
      </c>
      <c r="EW27">
        <v>5.0010700000000003</v>
      </c>
      <c r="EX27">
        <v>6048.4279999999999</v>
      </c>
      <c r="EY27">
        <v>1751.848333333334</v>
      </c>
      <c r="EZ27">
        <v>37.566199999999988</v>
      </c>
      <c r="FA27">
        <v>41.424599999999977</v>
      </c>
      <c r="FB27">
        <v>39.561999999999983</v>
      </c>
      <c r="FC27">
        <v>41.074666666666673</v>
      </c>
      <c r="FD27">
        <v>40.228999999999999</v>
      </c>
      <c r="FE27">
        <v>185.2463333333333</v>
      </c>
      <c r="FF27">
        <v>9.759999999999998</v>
      </c>
      <c r="FG27">
        <v>0</v>
      </c>
      <c r="FH27">
        <v>128.5</v>
      </c>
      <c r="FI27">
        <v>0</v>
      </c>
      <c r="FJ27">
        <v>777.55064705882342</v>
      </c>
      <c r="FK27">
        <v>-1.0536764816822559</v>
      </c>
      <c r="FL27">
        <v>-549.77451387906319</v>
      </c>
      <c r="FM27">
        <v>6041.3176470588232</v>
      </c>
      <c r="FN27">
        <v>10</v>
      </c>
      <c r="FO27">
        <v>1736187372.5</v>
      </c>
      <c r="FP27" t="s">
        <v>945</v>
      </c>
      <c r="FQ27">
        <v>1736187371.5</v>
      </c>
      <c r="FR27">
        <v>1736187372.5</v>
      </c>
      <c r="FS27">
        <v>12</v>
      </c>
      <c r="FT27">
        <v>-4.7E-2</v>
      </c>
      <c r="FU27">
        <v>-2E-3</v>
      </c>
      <c r="FV27">
        <v>-4.7329999999999997</v>
      </c>
      <c r="FW27">
        <v>0.28899999999999998</v>
      </c>
      <c r="FX27">
        <v>433</v>
      </c>
      <c r="FY27">
        <v>29</v>
      </c>
      <c r="FZ27">
        <v>0.63</v>
      </c>
      <c r="GA27">
        <v>0.06</v>
      </c>
      <c r="GB27">
        <v>-13.086407317073171</v>
      </c>
      <c r="GC27">
        <v>0.42458048780483532</v>
      </c>
      <c r="GD27">
        <v>0.16089399690213241</v>
      </c>
      <c r="GE27">
        <v>1</v>
      </c>
      <c r="GF27">
        <v>777.76429411764707</v>
      </c>
      <c r="GG27">
        <v>-1.9735676101158579</v>
      </c>
      <c r="GH27">
        <v>0.25777937778739451</v>
      </c>
      <c r="GI27">
        <v>1</v>
      </c>
      <c r="GJ27">
        <v>4.4059570731707316</v>
      </c>
      <c r="GK27">
        <v>-0.28696850174214911</v>
      </c>
      <c r="GL27">
        <v>3.878928071968777E-2</v>
      </c>
      <c r="GM27">
        <v>1</v>
      </c>
      <c r="GN27">
        <v>3</v>
      </c>
      <c r="GO27">
        <v>3</v>
      </c>
      <c r="GP27" t="s">
        <v>599</v>
      </c>
      <c r="GQ27">
        <v>3.1329500000000001</v>
      </c>
      <c r="GR27">
        <v>2.7245499999999998</v>
      </c>
      <c r="GS27">
        <v>9.1133599999999995E-2</v>
      </c>
      <c r="GT27">
        <v>9.3186900000000003E-2</v>
      </c>
      <c r="GU27">
        <v>0.13999300000000001</v>
      </c>
      <c r="GV27">
        <v>0.12864200000000001</v>
      </c>
      <c r="GW27">
        <v>22806.5</v>
      </c>
      <c r="GX27">
        <v>30621.7</v>
      </c>
      <c r="GY27">
        <v>27218.5</v>
      </c>
      <c r="GZ27">
        <v>34722.199999999997</v>
      </c>
      <c r="HA27">
        <v>34272.6</v>
      </c>
      <c r="HB27">
        <v>38624.800000000003</v>
      </c>
      <c r="HC27">
        <v>40185.1</v>
      </c>
      <c r="HD27">
        <v>44410.7</v>
      </c>
      <c r="HE27">
        <v>1.9681999999999999</v>
      </c>
      <c r="HF27">
        <v>1.7904</v>
      </c>
      <c r="HG27">
        <v>1.9669499999999999E-2</v>
      </c>
      <c r="HH27">
        <v>0</v>
      </c>
      <c r="HI27">
        <v>32.125399999999999</v>
      </c>
      <c r="HJ27">
        <v>999.9</v>
      </c>
      <c r="HK27">
        <v>69</v>
      </c>
      <c r="HL27">
        <v>34.200000000000003</v>
      </c>
      <c r="HM27">
        <v>38.250300000000003</v>
      </c>
      <c r="HN27">
        <v>59.89</v>
      </c>
      <c r="HO27">
        <v>6.9871800000000004</v>
      </c>
      <c r="HP27">
        <v>1</v>
      </c>
      <c r="HQ27">
        <v>0.51335399999999998</v>
      </c>
      <c r="HR27">
        <v>0</v>
      </c>
      <c r="HS27">
        <v>20.294599999999999</v>
      </c>
      <c r="HT27">
        <v>5.2112999999999996</v>
      </c>
      <c r="HU27">
        <v>11.908099999999999</v>
      </c>
      <c r="HV27">
        <v>4.9851999999999999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1.8628899999999999</v>
      </c>
      <c r="ID27">
        <v>1.8623400000000001</v>
      </c>
      <c r="IE27">
        <v>1.86182</v>
      </c>
      <c r="IF27">
        <v>1.86188</v>
      </c>
      <c r="IG27">
        <v>1.8626100000000001</v>
      </c>
      <c r="IH27">
        <v>1.8633999999999999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-4.6820000000000004</v>
      </c>
      <c r="IX27">
        <v>0.42570000000000002</v>
      </c>
      <c r="IY27">
        <v>-2.7980021167826008</v>
      </c>
      <c r="IZ27">
        <v>-5.1756331061651789E-3</v>
      </c>
      <c r="JA27">
        <v>1.8217400814442949E-6</v>
      </c>
      <c r="JB27">
        <v>-1.9713393848198499E-10</v>
      </c>
      <c r="JC27">
        <v>-0.23769211432450479</v>
      </c>
      <c r="JD27">
        <v>2.7492919904454862E-4</v>
      </c>
      <c r="JE27">
        <v>8.6739513355948885E-4</v>
      </c>
      <c r="JF27">
        <v>-8.2500691715147318E-6</v>
      </c>
      <c r="JG27">
        <v>20</v>
      </c>
      <c r="JH27">
        <v>1893</v>
      </c>
      <c r="JI27">
        <v>2</v>
      </c>
      <c r="JJ27">
        <v>37</v>
      </c>
      <c r="JK27">
        <v>0.7</v>
      </c>
      <c r="JL27">
        <v>0.7</v>
      </c>
      <c r="JM27">
        <v>1.11572</v>
      </c>
      <c r="JN27">
        <v>2.5109900000000001</v>
      </c>
      <c r="JO27">
        <v>1.50024</v>
      </c>
      <c r="JP27">
        <v>2.2741699999999998</v>
      </c>
      <c r="JQ27">
        <v>1.4477500000000001</v>
      </c>
      <c r="JR27">
        <v>2.2802699999999998</v>
      </c>
      <c r="JS27">
        <v>38.5259</v>
      </c>
      <c r="JT27">
        <v>15.8307</v>
      </c>
      <c r="JU27">
        <v>18</v>
      </c>
      <c r="JV27">
        <v>543.15700000000004</v>
      </c>
      <c r="JW27">
        <v>441.185</v>
      </c>
      <c r="JX27">
        <v>32.643000000000001</v>
      </c>
      <c r="JY27">
        <v>33.632399999999997</v>
      </c>
      <c r="JZ27">
        <v>30.000299999999999</v>
      </c>
      <c r="KA27">
        <v>33.6021</v>
      </c>
      <c r="KB27">
        <v>33.568100000000001</v>
      </c>
      <c r="KC27">
        <v>22.3294</v>
      </c>
      <c r="KD27">
        <v>35.585900000000002</v>
      </c>
      <c r="KE27">
        <v>79.329300000000003</v>
      </c>
      <c r="KF27">
        <v>-999.9</v>
      </c>
      <c r="KG27">
        <v>433.14800000000002</v>
      </c>
      <c r="KH27">
        <v>29.302499999999998</v>
      </c>
      <c r="KI27">
        <v>100.44199999999999</v>
      </c>
      <c r="KJ27">
        <v>99.566000000000003</v>
      </c>
    </row>
    <row r="28" spans="1:296" x14ac:dyDescent="0.3">
      <c r="A28">
        <v>12</v>
      </c>
      <c r="B28">
        <v>1736187565</v>
      </c>
      <c r="C28">
        <v>1790.400000095367</v>
      </c>
      <c r="D28" t="s">
        <v>946</v>
      </c>
      <c r="E28" t="s">
        <v>947</v>
      </c>
      <c r="F28">
        <v>15</v>
      </c>
      <c r="H28">
        <v>1736187557</v>
      </c>
      <c r="I28">
        <f t="shared" si="0"/>
        <v>3.6927336889529283E-3</v>
      </c>
      <c r="J28">
        <f t="shared" si="1"/>
        <v>3.6927336889529281</v>
      </c>
      <c r="K28">
        <f t="shared" si="2"/>
        <v>2.2773849418287009</v>
      </c>
      <c r="L28">
        <f t="shared" si="3"/>
        <v>420.00306451612909</v>
      </c>
      <c r="M28">
        <f t="shared" si="4"/>
        <v>391.58387639873348</v>
      </c>
      <c r="N28">
        <f t="shared" si="5"/>
        <v>38.187205414774745</v>
      </c>
      <c r="O28">
        <f t="shared" si="6"/>
        <v>40.95864070557576</v>
      </c>
      <c r="P28">
        <f t="shared" si="7"/>
        <v>0.22027716203002937</v>
      </c>
      <c r="Q28">
        <f t="shared" si="8"/>
        <v>2.8863788869190099</v>
      </c>
      <c r="R28">
        <f t="shared" si="9"/>
        <v>0.21134594824082817</v>
      </c>
      <c r="S28">
        <f t="shared" si="10"/>
        <v>0.1328634774978934</v>
      </c>
      <c r="T28">
        <f t="shared" si="11"/>
        <v>16.5069095699494</v>
      </c>
      <c r="U28">
        <f t="shared" si="12"/>
        <v>32.137484724189015</v>
      </c>
      <c r="V28">
        <f t="shared" si="13"/>
        <v>32.668951612903228</v>
      </c>
      <c r="W28">
        <f t="shared" si="14"/>
        <v>4.9588898024374171</v>
      </c>
      <c r="X28">
        <f t="shared" si="15"/>
        <v>65.828498818251973</v>
      </c>
      <c r="Y28">
        <f t="shared" si="16"/>
        <v>3.3273685535354036</v>
      </c>
      <c r="Z28">
        <f t="shared" si="17"/>
        <v>5.0546019023189981</v>
      </c>
      <c r="AA28">
        <f t="shared" si="18"/>
        <v>1.6315212489020134</v>
      </c>
      <c r="AB28">
        <f t="shared" si="19"/>
        <v>-162.84955568282413</v>
      </c>
      <c r="AC28">
        <f t="shared" si="20"/>
        <v>52.881955477257925</v>
      </c>
      <c r="AD28">
        <f t="shared" si="21"/>
        <v>4.189320118555214</v>
      </c>
      <c r="AE28">
        <f t="shared" si="22"/>
        <v>-89.271370517061598</v>
      </c>
      <c r="AF28">
        <f t="shared" si="23"/>
        <v>2.2773849418287009</v>
      </c>
      <c r="AG28">
        <f t="shared" si="24"/>
        <v>3.6927336889529281</v>
      </c>
      <c r="AH28">
        <f t="shared" si="25"/>
        <v>2.4457178790614957</v>
      </c>
      <c r="AI28">
        <v>437.74290934817361</v>
      </c>
      <c r="AJ28">
        <v>434.75878787878759</v>
      </c>
      <c r="AK28">
        <v>-7.9837415048160353E-3</v>
      </c>
      <c r="AL28">
        <v>67.088689977827727</v>
      </c>
      <c r="AM28">
        <f t="shared" si="26"/>
        <v>3.6795125854611483</v>
      </c>
      <c r="AN28">
        <v>29.829560854246751</v>
      </c>
      <c r="AO28">
        <v>34.096264848484857</v>
      </c>
      <c r="AP28">
        <v>-3.0380108730740862E-4</v>
      </c>
      <c r="AQ28">
        <v>78.240098254312969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50571.821552558053</v>
      </c>
      <c r="AW28" t="s">
        <v>903</v>
      </c>
      <c r="AX28">
        <v>5105.3</v>
      </c>
      <c r="AY28">
        <v>582.67647058823525</v>
      </c>
      <c r="AZ28">
        <v>2431.5</v>
      </c>
      <c r="BA28">
        <f t="shared" si="30"/>
        <v>0.76036336804925553</v>
      </c>
      <c r="BB28">
        <v>-6.5884728632969241</v>
      </c>
      <c r="BC28" t="s">
        <v>948</v>
      </c>
      <c r="BD28">
        <v>5106.83</v>
      </c>
      <c r="BE28">
        <v>760.86723529411768</v>
      </c>
      <c r="BF28">
        <v>2065.94</v>
      </c>
      <c r="BG28">
        <f t="shared" si="31"/>
        <v>0.63170893864578948</v>
      </c>
      <c r="BH28">
        <v>0.5</v>
      </c>
      <c r="BI28">
        <f t="shared" si="32"/>
        <v>84.267772336761354</v>
      </c>
      <c r="BJ28">
        <f t="shared" si="33"/>
        <v>2.2773849418287009</v>
      </c>
      <c r="BK28">
        <f t="shared" si="34"/>
        <v>26.616352512450266</v>
      </c>
      <c r="BL28">
        <f t="shared" si="35"/>
        <v>0.10521053967933057</v>
      </c>
      <c r="BM28">
        <f t="shared" si="36"/>
        <v>0.17694608749528057</v>
      </c>
      <c r="BN28">
        <f t="shared" si="37"/>
        <v>558.97441033638847</v>
      </c>
      <c r="BO28" t="s">
        <v>407</v>
      </c>
      <c r="BP28">
        <v>0</v>
      </c>
      <c r="BQ28">
        <f t="shared" si="38"/>
        <v>558.97441033638847</v>
      </c>
      <c r="BR28">
        <f t="shared" si="39"/>
        <v>0.72943337641151795</v>
      </c>
      <c r="BS28">
        <f t="shared" si="40"/>
        <v>0.86602691770633189</v>
      </c>
      <c r="BT28">
        <f t="shared" si="41"/>
        <v>0.19522296625365249</v>
      </c>
      <c r="BU28">
        <f t="shared" si="42"/>
        <v>0.87986574120341943</v>
      </c>
      <c r="BV28">
        <f t="shared" si="43"/>
        <v>0.19772573973910273</v>
      </c>
      <c r="BW28">
        <f t="shared" si="44"/>
        <v>0.63623042655163131</v>
      </c>
      <c r="BX28">
        <f t="shared" si="45"/>
        <v>0.36376957344836869</v>
      </c>
      <c r="DG28">
        <f t="shared" si="46"/>
        <v>99.979400000000012</v>
      </c>
      <c r="DH28">
        <f t="shared" si="47"/>
        <v>84.267772336761354</v>
      </c>
      <c r="DI28">
        <f t="shared" si="48"/>
        <v>0.84285135074586714</v>
      </c>
      <c r="DJ28">
        <f t="shared" si="49"/>
        <v>0.16510310693952351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1736187557</v>
      </c>
      <c r="DQ28">
        <v>420.00306451612909</v>
      </c>
      <c r="DR28">
        <v>424.59709677419357</v>
      </c>
      <c r="DS28">
        <v>34.119906451612898</v>
      </c>
      <c r="DT28">
        <v>29.839803225806449</v>
      </c>
      <c r="DU28">
        <v>424.66512903225799</v>
      </c>
      <c r="DV28">
        <v>33.68933548387097</v>
      </c>
      <c r="DW28">
        <v>499.99793548387089</v>
      </c>
      <c r="DX28">
        <v>97.472861290322612</v>
      </c>
      <c r="DY28">
        <v>4.7000267741935477E-2</v>
      </c>
      <c r="DZ28">
        <v>33.008787096774192</v>
      </c>
      <c r="EA28">
        <v>32.668951612903228</v>
      </c>
      <c r="EB28">
        <v>999.90000000000032</v>
      </c>
      <c r="EC28">
        <v>0</v>
      </c>
      <c r="ED28">
        <v>0</v>
      </c>
      <c r="EE28">
        <v>10008.870967741939</v>
      </c>
      <c r="EF28">
        <v>0</v>
      </c>
      <c r="EG28">
        <v>314.88848387096772</v>
      </c>
      <c r="EH28">
        <v>-4.5940454838709677</v>
      </c>
      <c r="EI28">
        <v>434.83974193548391</v>
      </c>
      <c r="EJ28">
        <v>437.65661290322578</v>
      </c>
      <c r="EK28">
        <v>4.2800948387096778</v>
      </c>
      <c r="EL28">
        <v>424.59709677419357</v>
      </c>
      <c r="EM28">
        <v>29.839803225806449</v>
      </c>
      <c r="EN28">
        <v>3.325763225806452</v>
      </c>
      <c r="EO28">
        <v>2.9085703225806441</v>
      </c>
      <c r="EP28">
        <v>25.75558387096774</v>
      </c>
      <c r="EQ28">
        <v>23.513558064516129</v>
      </c>
      <c r="ER28">
        <v>99.979400000000012</v>
      </c>
      <c r="ES28">
        <v>0.89994499999999988</v>
      </c>
      <c r="ET28">
        <v>0.1000550935483871</v>
      </c>
      <c r="EU28">
        <v>0</v>
      </c>
      <c r="EV28">
        <v>760.98674193548402</v>
      </c>
      <c r="EW28">
        <v>5.0010700000000003</v>
      </c>
      <c r="EX28">
        <v>4565.6761290322584</v>
      </c>
      <c r="EY28">
        <v>836.37132258064514</v>
      </c>
      <c r="EZ28">
        <v>37.670999999999992</v>
      </c>
      <c r="FA28">
        <v>41.75</v>
      </c>
      <c r="FB28">
        <v>39.71951612903225</v>
      </c>
      <c r="FC28">
        <v>41.429129032258061</v>
      </c>
      <c r="FD28">
        <v>40.436999999999983</v>
      </c>
      <c r="FE28">
        <v>85.476129032258072</v>
      </c>
      <c r="FF28">
        <v>9.502580645161288</v>
      </c>
      <c r="FG28">
        <v>0</v>
      </c>
      <c r="FH28">
        <v>150.5999999046326</v>
      </c>
      <c r="FI28">
        <v>0</v>
      </c>
      <c r="FJ28">
        <v>760.86723529411768</v>
      </c>
      <c r="FK28">
        <v>1.9424019625726809</v>
      </c>
      <c r="FL28">
        <v>8486.00983132478</v>
      </c>
      <c r="FM28">
        <v>4575.4023529411761</v>
      </c>
      <c r="FN28">
        <v>10</v>
      </c>
      <c r="FO28">
        <v>1736187529.5</v>
      </c>
      <c r="FP28" t="s">
        <v>949</v>
      </c>
      <c r="FQ28">
        <v>1736187524.5</v>
      </c>
      <c r="FR28">
        <v>1736187529.5</v>
      </c>
      <c r="FS28">
        <v>13</v>
      </c>
      <c r="FT28">
        <v>0.02</v>
      </c>
      <c r="FU28">
        <v>-0.01</v>
      </c>
      <c r="FV28">
        <v>-4.68</v>
      </c>
      <c r="FW28">
        <v>0.30099999999999999</v>
      </c>
      <c r="FX28">
        <v>425</v>
      </c>
      <c r="FY28">
        <v>30</v>
      </c>
      <c r="FZ28">
        <v>1.73</v>
      </c>
      <c r="GA28">
        <v>0.06</v>
      </c>
      <c r="GB28">
        <v>-4.6403027499999991</v>
      </c>
      <c r="GC28">
        <v>0.62410142589119055</v>
      </c>
      <c r="GD28">
        <v>0.15720840049099641</v>
      </c>
      <c r="GE28">
        <v>1</v>
      </c>
      <c r="GF28">
        <v>761.16899999999998</v>
      </c>
      <c r="GG28">
        <v>-3.333109253918856</v>
      </c>
      <c r="GH28">
        <v>0.49150423372001389</v>
      </c>
      <c r="GI28">
        <v>1</v>
      </c>
      <c r="GJ28">
        <v>4.2994052500000004</v>
      </c>
      <c r="GK28">
        <v>-0.3293652157598575</v>
      </c>
      <c r="GL28">
        <v>3.7062999607931073E-2</v>
      </c>
      <c r="GM28">
        <v>1</v>
      </c>
      <c r="GN28">
        <v>3</v>
      </c>
      <c r="GO28">
        <v>3</v>
      </c>
      <c r="GP28" t="s">
        <v>599</v>
      </c>
      <c r="GQ28">
        <v>3.1330399999999998</v>
      </c>
      <c r="GR28">
        <v>2.72404</v>
      </c>
      <c r="GS28">
        <v>9.1102000000000002E-2</v>
      </c>
      <c r="GT28">
        <v>9.1759499999999994E-2</v>
      </c>
      <c r="GU28">
        <v>0.14127899999999999</v>
      </c>
      <c r="GV28">
        <v>0.13020000000000001</v>
      </c>
      <c r="GW28">
        <v>22798.6</v>
      </c>
      <c r="GX28">
        <v>30654.799999999999</v>
      </c>
      <c r="GY28">
        <v>27209.200000000001</v>
      </c>
      <c r="GZ28">
        <v>34706.6</v>
      </c>
      <c r="HA28">
        <v>34211.599999999999</v>
      </c>
      <c r="HB28">
        <v>38541.199999999997</v>
      </c>
      <c r="HC28">
        <v>40171.800000000003</v>
      </c>
      <c r="HD28">
        <v>44393.4</v>
      </c>
      <c r="HE28">
        <v>1.9658</v>
      </c>
      <c r="HF28">
        <v>1.788</v>
      </c>
      <c r="HG28">
        <v>1.5407799999999999E-2</v>
      </c>
      <c r="HH28">
        <v>0</v>
      </c>
      <c r="HI28">
        <v>32.423699999999997</v>
      </c>
      <c r="HJ28">
        <v>999.9</v>
      </c>
      <c r="HK28">
        <v>69</v>
      </c>
      <c r="HL28">
        <v>34.299999999999997</v>
      </c>
      <c r="HM28">
        <v>38.459899999999998</v>
      </c>
      <c r="HN28">
        <v>59.4801</v>
      </c>
      <c r="HO28">
        <v>6.7628199999999996</v>
      </c>
      <c r="HP28">
        <v>1</v>
      </c>
      <c r="HQ28">
        <v>0.53554900000000005</v>
      </c>
      <c r="HR28">
        <v>0</v>
      </c>
      <c r="HS28">
        <v>20.295000000000002</v>
      </c>
      <c r="HT28">
        <v>5.2100999999999997</v>
      </c>
      <c r="HU28">
        <v>11.908099999999999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1.8628499999999999</v>
      </c>
      <c r="ID28">
        <v>1.8623400000000001</v>
      </c>
      <c r="IE28">
        <v>1.86178</v>
      </c>
      <c r="IF28">
        <v>1.86188</v>
      </c>
      <c r="IG28">
        <v>1.8625499999999999</v>
      </c>
      <c r="IH28">
        <v>1.8633999999999999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-4.6609999999999996</v>
      </c>
      <c r="IX28">
        <v>0.4299</v>
      </c>
      <c r="IY28">
        <v>-2.777572936101691</v>
      </c>
      <c r="IZ28">
        <v>-5.1756331061651789E-3</v>
      </c>
      <c r="JA28">
        <v>1.8217400814442949E-6</v>
      </c>
      <c r="JB28">
        <v>-1.9713393848198499E-10</v>
      </c>
      <c r="JC28">
        <v>-0.24771901243969491</v>
      </c>
      <c r="JD28">
        <v>2.7492919904454862E-4</v>
      </c>
      <c r="JE28">
        <v>8.6739513355948885E-4</v>
      </c>
      <c r="JF28">
        <v>-8.2500691715147318E-6</v>
      </c>
      <c r="JG28">
        <v>20</v>
      </c>
      <c r="JH28">
        <v>1893</v>
      </c>
      <c r="JI28">
        <v>2</v>
      </c>
      <c r="JJ28">
        <v>37</v>
      </c>
      <c r="JK28">
        <v>0.7</v>
      </c>
      <c r="JL28">
        <v>0.6</v>
      </c>
      <c r="JM28">
        <v>1.09863</v>
      </c>
      <c r="JN28">
        <v>2.50122</v>
      </c>
      <c r="JO28">
        <v>1.50024</v>
      </c>
      <c r="JP28">
        <v>2.2741699999999998</v>
      </c>
      <c r="JQ28">
        <v>1.4477500000000001</v>
      </c>
      <c r="JR28">
        <v>2.33765</v>
      </c>
      <c r="JS28">
        <v>38.722499999999997</v>
      </c>
      <c r="JT28">
        <v>15.821899999999999</v>
      </c>
      <c r="JU28">
        <v>18</v>
      </c>
      <c r="JV28">
        <v>543.13699999999994</v>
      </c>
      <c r="JW28">
        <v>440.96600000000001</v>
      </c>
      <c r="JX28">
        <v>32.940600000000003</v>
      </c>
      <c r="JY28">
        <v>33.869100000000003</v>
      </c>
      <c r="JZ28">
        <v>30.001000000000001</v>
      </c>
      <c r="KA28">
        <v>33.793100000000003</v>
      </c>
      <c r="KB28">
        <v>33.753999999999998</v>
      </c>
      <c r="KC28">
        <v>21.9909</v>
      </c>
      <c r="KD28">
        <v>34.933599999999998</v>
      </c>
      <c r="KE28">
        <v>76.735900000000001</v>
      </c>
      <c r="KF28">
        <v>-999.9</v>
      </c>
      <c r="KG28">
        <v>424.66899999999998</v>
      </c>
      <c r="KH28">
        <v>29.8993</v>
      </c>
      <c r="KI28">
        <v>100.408</v>
      </c>
      <c r="KJ28">
        <v>99.524600000000007</v>
      </c>
    </row>
    <row r="29" spans="1:296" x14ac:dyDescent="0.3">
      <c r="A29">
        <v>13</v>
      </c>
      <c r="B29">
        <v>1736187690.5999999</v>
      </c>
      <c r="C29">
        <v>1916</v>
      </c>
      <c r="D29" t="s">
        <v>950</v>
      </c>
      <c r="E29" t="s">
        <v>951</v>
      </c>
      <c r="F29">
        <v>15</v>
      </c>
      <c r="H29">
        <v>1736187682.7806449</v>
      </c>
      <c r="I29">
        <f t="shared" si="0"/>
        <v>3.5177099646093368E-3</v>
      </c>
      <c r="J29">
        <f t="shared" si="1"/>
        <v>3.5177099646093368</v>
      </c>
      <c r="K29">
        <f t="shared" si="2"/>
        <v>-1.2923878665637496</v>
      </c>
      <c r="L29">
        <f t="shared" si="3"/>
        <v>419.98951612903221</v>
      </c>
      <c r="M29">
        <f t="shared" si="4"/>
        <v>418.54045382158364</v>
      </c>
      <c r="N29">
        <f t="shared" si="5"/>
        <v>40.816952249031978</v>
      </c>
      <c r="O29">
        <f t="shared" si="6"/>
        <v>40.958267876873812</v>
      </c>
      <c r="P29">
        <f t="shared" si="7"/>
        <v>0.20838022306483486</v>
      </c>
      <c r="Q29">
        <f t="shared" si="8"/>
        <v>2.8825982794517655</v>
      </c>
      <c r="R29">
        <f t="shared" si="9"/>
        <v>0.20035874895443831</v>
      </c>
      <c r="S29">
        <f t="shared" si="10"/>
        <v>0.12591918784841352</v>
      </c>
      <c r="T29">
        <f t="shared" si="11"/>
        <v>8.2449109313865936</v>
      </c>
      <c r="U29">
        <f t="shared" si="12"/>
        <v>32.271712748889719</v>
      </c>
      <c r="V29">
        <f t="shared" si="13"/>
        <v>32.79908064516129</v>
      </c>
      <c r="W29">
        <f t="shared" si="14"/>
        <v>4.9953516587311606</v>
      </c>
      <c r="X29">
        <f t="shared" si="15"/>
        <v>65.88994265196709</v>
      </c>
      <c r="Y29">
        <f t="shared" si="16"/>
        <v>3.3564669265990021</v>
      </c>
      <c r="Z29">
        <f t="shared" si="17"/>
        <v>5.0940504597613234</v>
      </c>
      <c r="AA29">
        <f t="shared" si="18"/>
        <v>1.6388847321321585</v>
      </c>
      <c r="AB29">
        <f t="shared" si="19"/>
        <v>-155.13100943927176</v>
      </c>
      <c r="AC29">
        <f t="shared" si="20"/>
        <v>54.10406920591015</v>
      </c>
      <c r="AD29">
        <f t="shared" si="21"/>
        <v>4.2974132819349871</v>
      </c>
      <c r="AE29">
        <f t="shared" si="22"/>
        <v>-88.484616020040022</v>
      </c>
      <c r="AF29">
        <f t="shared" si="23"/>
        <v>-1.2923878665637496</v>
      </c>
      <c r="AG29">
        <f t="shared" si="24"/>
        <v>3.5177099646093368</v>
      </c>
      <c r="AH29">
        <f t="shared" si="25"/>
        <v>-1.255898129119835</v>
      </c>
      <c r="AI29">
        <v>433.22330591667162</v>
      </c>
      <c r="AJ29">
        <v>434.82537575757578</v>
      </c>
      <c r="AK29">
        <v>-9.3437266365117011E-3</v>
      </c>
      <c r="AL29">
        <v>67.035846037339198</v>
      </c>
      <c r="AM29">
        <f t="shared" si="26"/>
        <v>3.489068096368694</v>
      </c>
      <c r="AN29">
        <v>30.347971797224719</v>
      </c>
      <c r="AO29">
        <v>34.39383999999999</v>
      </c>
      <c r="AP29">
        <v>-5.4937840229002442E-4</v>
      </c>
      <c r="AQ29">
        <v>78.069577260009012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50443.676117126997</v>
      </c>
      <c r="AW29" t="s">
        <v>903</v>
      </c>
      <c r="AX29">
        <v>5105.3</v>
      </c>
      <c r="AY29">
        <v>582.67647058823525</v>
      </c>
      <c r="AZ29">
        <v>2431.5</v>
      </c>
      <c r="BA29">
        <f t="shared" si="30"/>
        <v>0.76036336804925553</v>
      </c>
      <c r="BB29">
        <v>-6.5884728632969241</v>
      </c>
      <c r="BC29" t="s">
        <v>952</v>
      </c>
      <c r="BD29">
        <v>5105.41</v>
      </c>
      <c r="BE29">
        <v>728.93841176470585</v>
      </c>
      <c r="BF29">
        <v>2180.9699999999998</v>
      </c>
      <c r="BG29">
        <f t="shared" si="31"/>
        <v>0.66577329731050594</v>
      </c>
      <c r="BH29">
        <v>0.5</v>
      </c>
      <c r="BI29">
        <f t="shared" si="32"/>
        <v>42.157809406534923</v>
      </c>
      <c r="BJ29">
        <f t="shared" si="33"/>
        <v>-1.2923878665637496</v>
      </c>
      <c r="BK29">
        <f t="shared" si="34"/>
        <v>14.03377188798831</v>
      </c>
      <c r="BL29">
        <f t="shared" si="35"/>
        <v>0.12562524171173428</v>
      </c>
      <c r="BM29">
        <f t="shared" si="36"/>
        <v>0.11487090606473277</v>
      </c>
      <c r="BN29">
        <f t="shared" si="37"/>
        <v>567.06666928357652</v>
      </c>
      <c r="BO29" t="s">
        <v>407</v>
      </c>
      <c r="BP29">
        <v>0</v>
      </c>
      <c r="BQ29">
        <f t="shared" si="38"/>
        <v>567.06666928357652</v>
      </c>
      <c r="BR29">
        <f t="shared" si="39"/>
        <v>0.7399933656659301</v>
      </c>
      <c r="BS29">
        <f t="shared" si="40"/>
        <v>0.89970171112462272</v>
      </c>
      <c r="BT29">
        <f t="shared" si="41"/>
        <v>0.13437326820569767</v>
      </c>
      <c r="BU29">
        <f t="shared" si="42"/>
        <v>0.90848868591096588</v>
      </c>
      <c r="BV29">
        <f t="shared" si="43"/>
        <v>0.13550779510022282</v>
      </c>
      <c r="BW29">
        <f t="shared" si="44"/>
        <v>0.69990940858918393</v>
      </c>
      <c r="BX29">
        <f t="shared" si="45"/>
        <v>0.30009059141081607</v>
      </c>
      <c r="DG29">
        <f t="shared" si="46"/>
        <v>50.027135483870971</v>
      </c>
      <c r="DH29">
        <f t="shared" si="47"/>
        <v>42.157809406534923</v>
      </c>
      <c r="DI29">
        <f t="shared" si="48"/>
        <v>0.84269884731111255</v>
      </c>
      <c r="DJ29">
        <f t="shared" si="49"/>
        <v>0.16480877531044724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1736187682.7806449</v>
      </c>
      <c r="DQ29">
        <v>419.98951612903221</v>
      </c>
      <c r="DR29">
        <v>420.21151612903219</v>
      </c>
      <c r="DS29">
        <v>34.4174935483871</v>
      </c>
      <c r="DT29">
        <v>30.341822580645161</v>
      </c>
      <c r="DU29">
        <v>424.65738709677419</v>
      </c>
      <c r="DV29">
        <v>33.987125806451623</v>
      </c>
      <c r="DW29">
        <v>500.03632258064522</v>
      </c>
      <c r="DX29">
        <v>97.473261290322597</v>
      </c>
      <c r="DY29">
        <v>4.8858438709677418E-2</v>
      </c>
      <c r="DZ29">
        <v>33.147225806451623</v>
      </c>
      <c r="EA29">
        <v>32.79908064516129</v>
      </c>
      <c r="EB29">
        <v>999.90000000000032</v>
      </c>
      <c r="EC29">
        <v>0</v>
      </c>
      <c r="ED29">
        <v>0</v>
      </c>
      <c r="EE29">
        <v>9987.0967741935492</v>
      </c>
      <c r="EF29">
        <v>0</v>
      </c>
      <c r="EG29">
        <v>2082.0974193548382</v>
      </c>
      <c r="EH29">
        <v>-0.2219818741935484</v>
      </c>
      <c r="EI29">
        <v>434.95980645161291</v>
      </c>
      <c r="EJ29">
        <v>433.36045161290332</v>
      </c>
      <c r="EK29">
        <v>4.0756803225806459</v>
      </c>
      <c r="EL29">
        <v>420.21151612903219</v>
      </c>
      <c r="EM29">
        <v>30.341822580645161</v>
      </c>
      <c r="EN29">
        <v>3.354786129032258</v>
      </c>
      <c r="EO29">
        <v>2.9575161290322578</v>
      </c>
      <c r="EP29">
        <v>25.90221935483871</v>
      </c>
      <c r="EQ29">
        <v>23.790635483870961</v>
      </c>
      <c r="ER29">
        <v>50.027135483870971</v>
      </c>
      <c r="ES29">
        <v>0.90001667741935465</v>
      </c>
      <c r="ET29">
        <v>9.9983635483870931E-2</v>
      </c>
      <c r="EU29">
        <v>0</v>
      </c>
      <c r="EV29">
        <v>729.07019354838724</v>
      </c>
      <c r="EW29">
        <v>5.0010700000000003</v>
      </c>
      <c r="EX29">
        <v>5276.8603225806464</v>
      </c>
      <c r="EY29">
        <v>396.50722580645157</v>
      </c>
      <c r="EZ29">
        <v>37.686999999999983</v>
      </c>
      <c r="FA29">
        <v>41.840451612903223</v>
      </c>
      <c r="FB29">
        <v>39.789999999999978</v>
      </c>
      <c r="FC29">
        <v>41.43729032258063</v>
      </c>
      <c r="FD29">
        <v>40.526000000000003</v>
      </c>
      <c r="FE29">
        <v>40.523548387096767</v>
      </c>
      <c r="FF29">
        <v>4.500322580645161</v>
      </c>
      <c r="FG29">
        <v>0</v>
      </c>
      <c r="FH29">
        <v>125</v>
      </c>
      <c r="FI29">
        <v>0</v>
      </c>
      <c r="FJ29">
        <v>728.93841176470585</v>
      </c>
      <c r="FK29">
        <v>1.650490110263237</v>
      </c>
      <c r="FL29">
        <v>164.91420705327681</v>
      </c>
      <c r="FM29">
        <v>5298.0394117647056</v>
      </c>
      <c r="FN29">
        <v>10</v>
      </c>
      <c r="FO29">
        <v>1736187658.5</v>
      </c>
      <c r="FP29" t="s">
        <v>953</v>
      </c>
      <c r="FQ29">
        <v>1736187653</v>
      </c>
      <c r="FR29">
        <v>1736187658.5</v>
      </c>
      <c r="FS29">
        <v>14</v>
      </c>
      <c r="FT29">
        <v>-6.0000000000000001E-3</v>
      </c>
      <c r="FU29">
        <v>-8.9999999999999993E-3</v>
      </c>
      <c r="FV29">
        <v>-4.6660000000000004</v>
      </c>
      <c r="FW29">
        <v>0.30599999999999999</v>
      </c>
      <c r="FX29">
        <v>420</v>
      </c>
      <c r="FY29">
        <v>30</v>
      </c>
      <c r="FZ29">
        <v>1.52</v>
      </c>
      <c r="GA29">
        <v>7.0000000000000007E-2</v>
      </c>
      <c r="GB29">
        <v>-0.24581239268292679</v>
      </c>
      <c r="GC29">
        <v>0.24632304363674901</v>
      </c>
      <c r="GD29">
        <v>0.14794704138576961</v>
      </c>
      <c r="GE29">
        <v>1</v>
      </c>
      <c r="GF29">
        <v>729.22423529411765</v>
      </c>
      <c r="GG29">
        <v>-2.6128342291189002</v>
      </c>
      <c r="GH29">
        <v>0.41815526660514141</v>
      </c>
      <c r="GI29">
        <v>1</v>
      </c>
      <c r="GJ29">
        <v>4.0971570731707319</v>
      </c>
      <c r="GK29">
        <v>-0.39409186721241218</v>
      </c>
      <c r="GL29">
        <v>3.8778851619111689E-2</v>
      </c>
      <c r="GM29">
        <v>1</v>
      </c>
      <c r="GN29">
        <v>3</v>
      </c>
      <c r="GO29">
        <v>3</v>
      </c>
      <c r="GP29" t="s">
        <v>599</v>
      </c>
      <c r="GQ29">
        <v>3.1331799999999999</v>
      </c>
      <c r="GR29">
        <v>2.7256200000000002</v>
      </c>
      <c r="GS29">
        <v>9.1067700000000001E-2</v>
      </c>
      <c r="GT29">
        <v>9.1063699999999997E-2</v>
      </c>
      <c r="GU29">
        <v>0.14207500000000001</v>
      </c>
      <c r="GV29">
        <v>0.131693</v>
      </c>
      <c r="GW29">
        <v>22792.7</v>
      </c>
      <c r="GX29">
        <v>30670.7</v>
      </c>
      <c r="GY29">
        <v>27202</v>
      </c>
      <c r="GZ29">
        <v>34699.199999999997</v>
      </c>
      <c r="HA29">
        <v>34172.1</v>
      </c>
      <c r="HB29">
        <v>38468.5</v>
      </c>
      <c r="HC29">
        <v>40161.199999999997</v>
      </c>
      <c r="HD29">
        <v>44385.4</v>
      </c>
      <c r="HE29">
        <v>1.9628000000000001</v>
      </c>
      <c r="HF29">
        <v>1.7847999999999999</v>
      </c>
      <c r="HG29">
        <v>1.6093300000000001E-2</v>
      </c>
      <c r="HH29">
        <v>0</v>
      </c>
      <c r="HI29">
        <v>32.533200000000001</v>
      </c>
      <c r="HJ29">
        <v>999.9</v>
      </c>
      <c r="HK29">
        <v>68.900000000000006</v>
      </c>
      <c r="HL29">
        <v>34.4</v>
      </c>
      <c r="HM29">
        <v>38.619999999999997</v>
      </c>
      <c r="HN29">
        <v>59.981000000000002</v>
      </c>
      <c r="HO29">
        <v>6.7908600000000003</v>
      </c>
      <c r="HP29">
        <v>1</v>
      </c>
      <c r="HQ29">
        <v>0.55044700000000002</v>
      </c>
      <c r="HR29">
        <v>0</v>
      </c>
      <c r="HS29">
        <v>20.2926</v>
      </c>
      <c r="HT29">
        <v>5.1933299999999996</v>
      </c>
      <c r="HU29">
        <v>11.9069</v>
      </c>
      <c r="HV29">
        <v>4.9795999999999996</v>
      </c>
      <c r="HW29">
        <v>3.2671999999999999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1.8629500000000001</v>
      </c>
      <c r="ID29">
        <v>1.8623400000000001</v>
      </c>
      <c r="IE29">
        <v>1.86185</v>
      </c>
      <c r="IF29">
        <v>1.86188</v>
      </c>
      <c r="IG29">
        <v>1.86252</v>
      </c>
      <c r="IH29">
        <v>1.8633999999999999</v>
      </c>
      <c r="II29">
        <v>1.8614200000000001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-4.6680000000000001</v>
      </c>
      <c r="IX29">
        <v>0.42970000000000003</v>
      </c>
      <c r="IY29">
        <v>-2.7834511963028601</v>
      </c>
      <c r="IZ29">
        <v>-5.1756331061651789E-3</v>
      </c>
      <c r="JA29">
        <v>1.8217400814442949E-6</v>
      </c>
      <c r="JB29">
        <v>-1.9713393848198499E-10</v>
      </c>
      <c r="JC29">
        <v>-0.25702984334398887</v>
      </c>
      <c r="JD29">
        <v>2.7492919904454862E-4</v>
      </c>
      <c r="JE29">
        <v>8.6739513355948885E-4</v>
      </c>
      <c r="JF29">
        <v>-8.2500691715147318E-6</v>
      </c>
      <c r="JG29">
        <v>20</v>
      </c>
      <c r="JH29">
        <v>1893</v>
      </c>
      <c r="JI29">
        <v>2</v>
      </c>
      <c r="JJ29">
        <v>37</v>
      </c>
      <c r="JK29">
        <v>0.6</v>
      </c>
      <c r="JL29">
        <v>0.5</v>
      </c>
      <c r="JM29">
        <v>1.09009</v>
      </c>
      <c r="JN29">
        <v>2.50366</v>
      </c>
      <c r="JO29">
        <v>1.50024</v>
      </c>
      <c r="JP29">
        <v>2.2741699999999998</v>
      </c>
      <c r="JQ29">
        <v>1.4477500000000001</v>
      </c>
      <c r="JR29">
        <v>2.4389599999999998</v>
      </c>
      <c r="JS29">
        <v>38.944499999999998</v>
      </c>
      <c r="JT29">
        <v>15.8132</v>
      </c>
      <c r="JU29">
        <v>18</v>
      </c>
      <c r="JV29">
        <v>542.45299999999997</v>
      </c>
      <c r="JW29">
        <v>440.01600000000002</v>
      </c>
      <c r="JX29">
        <v>33.122300000000003</v>
      </c>
      <c r="JY29">
        <v>34.046700000000001</v>
      </c>
      <c r="JZ29">
        <v>30.000399999999999</v>
      </c>
      <c r="KA29">
        <v>33.9529</v>
      </c>
      <c r="KB29">
        <v>33.908099999999997</v>
      </c>
      <c r="KC29">
        <v>21.8125</v>
      </c>
      <c r="KD29">
        <v>34.442100000000003</v>
      </c>
      <c r="KE29">
        <v>75.280699999999996</v>
      </c>
      <c r="KF29">
        <v>-999.9</v>
      </c>
      <c r="KG29">
        <v>420.39600000000002</v>
      </c>
      <c r="KH29">
        <v>30.349</v>
      </c>
      <c r="KI29">
        <v>100.381</v>
      </c>
      <c r="KJ29">
        <v>99.505200000000002</v>
      </c>
    </row>
    <row r="30" spans="1:296" x14ac:dyDescent="0.3">
      <c r="A30">
        <v>14</v>
      </c>
      <c r="B30">
        <v>1736187844.5999999</v>
      </c>
      <c r="C30">
        <v>2070</v>
      </c>
      <c r="D30" t="s">
        <v>954</v>
      </c>
      <c r="E30" t="s">
        <v>955</v>
      </c>
      <c r="F30">
        <v>15</v>
      </c>
      <c r="H30">
        <v>1736187836.599999</v>
      </c>
      <c r="I30">
        <f t="shared" si="0"/>
        <v>3.3831365283467814E-3</v>
      </c>
      <c r="J30">
        <f t="shared" si="1"/>
        <v>3.3831365283467814</v>
      </c>
      <c r="K30">
        <f t="shared" si="2"/>
        <v>-2.3046705536834344</v>
      </c>
      <c r="L30">
        <f t="shared" si="3"/>
        <v>419.83938709677432</v>
      </c>
      <c r="M30">
        <f t="shared" si="4"/>
        <v>427.2333988055326</v>
      </c>
      <c r="N30">
        <f t="shared" si="5"/>
        <v>41.662130743954073</v>
      </c>
      <c r="O30">
        <f t="shared" si="6"/>
        <v>40.941095629672596</v>
      </c>
      <c r="P30">
        <f t="shared" si="7"/>
        <v>0.19468994929085592</v>
      </c>
      <c r="Q30">
        <f t="shared" si="8"/>
        <v>2.8842186138039683</v>
      </c>
      <c r="R30">
        <f t="shared" si="9"/>
        <v>0.18767254059233154</v>
      </c>
      <c r="S30">
        <f t="shared" si="10"/>
        <v>0.11790475129671482</v>
      </c>
      <c r="T30">
        <f t="shared" si="11"/>
        <v>4.9341181620000878</v>
      </c>
      <c r="U30">
        <f t="shared" si="12"/>
        <v>32.473753990104896</v>
      </c>
      <c r="V30">
        <f t="shared" si="13"/>
        <v>33.016877419354827</v>
      </c>
      <c r="W30">
        <f t="shared" si="14"/>
        <v>5.0568999310585259</v>
      </c>
      <c r="X30">
        <f t="shared" si="15"/>
        <v>65.566670405864897</v>
      </c>
      <c r="Y30">
        <f t="shared" si="16"/>
        <v>3.3749963428911407</v>
      </c>
      <c r="Z30">
        <f t="shared" si="17"/>
        <v>5.1474267672882306</v>
      </c>
      <c r="AA30">
        <f t="shared" si="18"/>
        <v>1.6819035881673852</v>
      </c>
      <c r="AB30">
        <f t="shared" si="19"/>
        <v>-149.19632090009307</v>
      </c>
      <c r="AC30">
        <f t="shared" si="20"/>
        <v>49.165194499405878</v>
      </c>
      <c r="AD30">
        <f t="shared" si="21"/>
        <v>3.9106591593657827</v>
      </c>
      <c r="AE30">
        <f t="shared" si="22"/>
        <v>-91.186349079321303</v>
      </c>
      <c r="AF30">
        <f t="shared" si="23"/>
        <v>-2.3046705536834344</v>
      </c>
      <c r="AG30">
        <f t="shared" si="24"/>
        <v>3.3831365283467814</v>
      </c>
      <c r="AH30">
        <f t="shared" si="25"/>
        <v>-2.4723778907983887</v>
      </c>
      <c r="AI30">
        <v>432.1841010124366</v>
      </c>
      <c r="AJ30">
        <v>434.98901818181798</v>
      </c>
      <c r="AK30">
        <v>4.9813838557411463E-2</v>
      </c>
      <c r="AL30">
        <v>67.080634965209654</v>
      </c>
      <c r="AM30">
        <f t="shared" si="26"/>
        <v>3.3880150493788959</v>
      </c>
      <c r="AN30">
        <v>30.69580143987444</v>
      </c>
      <c r="AO30">
        <v>34.618219999999987</v>
      </c>
      <c r="AP30">
        <v>3.5383618572456767E-4</v>
      </c>
      <c r="AQ30">
        <v>78.215267145573804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50458.019241807277</v>
      </c>
      <c r="AW30" t="s">
        <v>903</v>
      </c>
      <c r="AX30">
        <v>5105.3</v>
      </c>
      <c r="AY30">
        <v>582.67647058823525</v>
      </c>
      <c r="AZ30">
        <v>2431.5</v>
      </c>
      <c r="BA30">
        <f t="shared" si="30"/>
        <v>0.76036336804925553</v>
      </c>
      <c r="BB30">
        <v>-6.5884728632969241</v>
      </c>
      <c r="BC30" t="s">
        <v>956</v>
      </c>
      <c r="BD30">
        <v>5103.6499999999996</v>
      </c>
      <c r="BE30">
        <v>710.51952941176478</v>
      </c>
      <c r="BF30">
        <v>2320.88</v>
      </c>
      <c r="BG30">
        <f t="shared" si="31"/>
        <v>0.69385770508955025</v>
      </c>
      <c r="BH30">
        <v>0.5</v>
      </c>
      <c r="BI30">
        <f t="shared" si="32"/>
        <v>25.28445699451785</v>
      </c>
      <c r="BJ30">
        <f t="shared" si="33"/>
        <v>-2.3046705536834344</v>
      </c>
      <c r="BK30">
        <f t="shared" si="34"/>
        <v>8.7719076523257904</v>
      </c>
      <c r="BL30">
        <f t="shared" si="35"/>
        <v>0.16942433490038167</v>
      </c>
      <c r="BM30">
        <f t="shared" si="36"/>
        <v>4.766295543069865E-2</v>
      </c>
      <c r="BN30">
        <f t="shared" si="37"/>
        <v>576.09641821725404</v>
      </c>
      <c r="BO30" t="s">
        <v>407</v>
      </c>
      <c r="BP30">
        <v>0</v>
      </c>
      <c r="BQ30">
        <f t="shared" si="38"/>
        <v>576.09641821725404</v>
      </c>
      <c r="BR30">
        <f t="shared" si="39"/>
        <v>0.75177673200800821</v>
      </c>
      <c r="BS30">
        <f t="shared" si="40"/>
        <v>0.9229571434543401</v>
      </c>
      <c r="BT30">
        <f t="shared" si="41"/>
        <v>5.9620451898509202E-2</v>
      </c>
      <c r="BU30">
        <f t="shared" si="42"/>
        <v>0.92645104174492521</v>
      </c>
      <c r="BV30">
        <f t="shared" si="43"/>
        <v>5.9832643970728537E-2</v>
      </c>
      <c r="BW30">
        <f t="shared" si="44"/>
        <v>0.74834298355215556</v>
      </c>
      <c r="BX30">
        <f t="shared" si="45"/>
        <v>0.25165701644784444</v>
      </c>
      <c r="DG30">
        <f t="shared" si="46"/>
        <v>30.011551612903229</v>
      </c>
      <c r="DH30">
        <f t="shared" si="47"/>
        <v>25.28445699451785</v>
      </c>
      <c r="DI30">
        <f t="shared" si="48"/>
        <v>0.84249082888626781</v>
      </c>
      <c r="DJ30">
        <f t="shared" si="49"/>
        <v>0.16440729975049684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1736187836.599999</v>
      </c>
      <c r="DQ30">
        <v>419.83938709677432</v>
      </c>
      <c r="DR30">
        <v>418.77832258064518</v>
      </c>
      <c r="DS30">
        <v>34.609635483870967</v>
      </c>
      <c r="DT30">
        <v>30.690716129032261</v>
      </c>
      <c r="DU30">
        <v>424.5281612903226</v>
      </c>
      <c r="DV30">
        <v>34.177925806451611</v>
      </c>
      <c r="DW30">
        <v>500.04306451612911</v>
      </c>
      <c r="DX30">
        <v>97.46654193548386</v>
      </c>
      <c r="DY30">
        <v>4.9548474193548381E-2</v>
      </c>
      <c r="DZ30">
        <v>33.333064516129028</v>
      </c>
      <c r="EA30">
        <v>33.016877419354827</v>
      </c>
      <c r="EB30">
        <v>999.90000000000032</v>
      </c>
      <c r="EC30">
        <v>0</v>
      </c>
      <c r="ED30">
        <v>0</v>
      </c>
      <c r="EE30">
        <v>9997.0967741935492</v>
      </c>
      <c r="EF30">
        <v>0</v>
      </c>
      <c r="EG30">
        <v>2099.3777419354842</v>
      </c>
      <c r="EH30">
        <v>1.061131774193548</v>
      </c>
      <c r="EI30">
        <v>434.89090322580648</v>
      </c>
      <c r="EJ30">
        <v>432.03780645161299</v>
      </c>
      <c r="EK30">
        <v>3.9189080645161289</v>
      </c>
      <c r="EL30">
        <v>418.77832258064518</v>
      </c>
      <c r="EM30">
        <v>30.690716129032261</v>
      </c>
      <c r="EN30">
        <v>3.373281612903225</v>
      </c>
      <c r="EO30">
        <v>2.9913190322580641</v>
      </c>
      <c r="EP30">
        <v>25.995100000000001</v>
      </c>
      <c r="EQ30">
        <v>23.979664516129031</v>
      </c>
      <c r="ER30">
        <v>30.011551612903229</v>
      </c>
      <c r="ES30">
        <v>0.90041706451612924</v>
      </c>
      <c r="ET30">
        <v>9.9582777419354826E-2</v>
      </c>
      <c r="EU30">
        <v>0</v>
      </c>
      <c r="EV30">
        <v>710.52074193548367</v>
      </c>
      <c r="EW30">
        <v>5.0010700000000003</v>
      </c>
      <c r="EX30">
        <v>5344.3145161290331</v>
      </c>
      <c r="EY30">
        <v>220.28238709677419</v>
      </c>
      <c r="EZ30">
        <v>37.686999999999983</v>
      </c>
      <c r="FA30">
        <v>41.936999999999983</v>
      </c>
      <c r="FB30">
        <v>39.811999999999983</v>
      </c>
      <c r="FC30">
        <v>41.60874193548387</v>
      </c>
      <c r="FD30">
        <v>40.471548387096767</v>
      </c>
      <c r="FE30">
        <v>22.52032258064515</v>
      </c>
      <c r="FF30">
        <v>2.491935483870968</v>
      </c>
      <c r="FG30">
        <v>0</v>
      </c>
      <c r="FH30">
        <v>153.4000000953674</v>
      </c>
      <c r="FI30">
        <v>0</v>
      </c>
      <c r="FJ30">
        <v>710.51952941176478</v>
      </c>
      <c r="FK30">
        <v>0.83014703214100516</v>
      </c>
      <c r="FL30">
        <v>-3093.245088723309</v>
      </c>
      <c r="FM30">
        <v>5260.0970588235296</v>
      </c>
      <c r="FN30">
        <v>10</v>
      </c>
      <c r="FO30">
        <v>1736187811.0999999</v>
      </c>
      <c r="FP30" t="s">
        <v>957</v>
      </c>
      <c r="FQ30">
        <v>1736187801.0999999</v>
      </c>
      <c r="FR30">
        <v>1736187811.0999999</v>
      </c>
      <c r="FS30">
        <v>15</v>
      </c>
      <c r="FT30">
        <v>-2.1000000000000001E-2</v>
      </c>
      <c r="FU30">
        <v>-5.0000000000000001E-3</v>
      </c>
      <c r="FV30">
        <v>-4.6820000000000004</v>
      </c>
      <c r="FW30">
        <v>0.31</v>
      </c>
      <c r="FX30">
        <v>418</v>
      </c>
      <c r="FY30">
        <v>30</v>
      </c>
      <c r="FZ30">
        <v>1.69</v>
      </c>
      <c r="GA30">
        <v>0.09</v>
      </c>
      <c r="GB30">
        <v>1.0570261951219511</v>
      </c>
      <c r="GC30">
        <v>-0.4985445993031361</v>
      </c>
      <c r="GD30">
        <v>0.15729707083192429</v>
      </c>
      <c r="GE30">
        <v>1</v>
      </c>
      <c r="GF30">
        <v>710.49088235294118</v>
      </c>
      <c r="GG30">
        <v>3.7799841965611793E-2</v>
      </c>
      <c r="GH30">
        <v>0.21889250178029501</v>
      </c>
      <c r="GI30">
        <v>1</v>
      </c>
      <c r="GJ30">
        <v>3.949480487804879</v>
      </c>
      <c r="GK30">
        <v>-0.44573581881532232</v>
      </c>
      <c r="GL30">
        <v>5.6989193710404867E-2</v>
      </c>
      <c r="GM30">
        <v>1</v>
      </c>
      <c r="GN30">
        <v>3</v>
      </c>
      <c r="GO30">
        <v>3</v>
      </c>
      <c r="GP30" t="s">
        <v>599</v>
      </c>
      <c r="GQ30">
        <v>3.1332599999999999</v>
      </c>
      <c r="GR30">
        <v>2.7250899999999998</v>
      </c>
      <c r="GS30">
        <v>9.1030299999999995E-2</v>
      </c>
      <c r="GT30">
        <v>9.0804599999999999E-2</v>
      </c>
      <c r="GU30">
        <v>0.142627</v>
      </c>
      <c r="GV30">
        <v>0.132633</v>
      </c>
      <c r="GW30">
        <v>22785.9</v>
      </c>
      <c r="GX30">
        <v>30667</v>
      </c>
      <c r="GY30">
        <v>27193.7</v>
      </c>
      <c r="GZ30">
        <v>34686.699999999997</v>
      </c>
      <c r="HA30">
        <v>34141.599999999999</v>
      </c>
      <c r="HB30">
        <v>38415.699999999997</v>
      </c>
      <c r="HC30">
        <v>40149.199999999997</v>
      </c>
      <c r="HD30">
        <v>44371.7</v>
      </c>
      <c r="HE30">
        <v>1.9610000000000001</v>
      </c>
      <c r="HF30">
        <v>1.7804</v>
      </c>
      <c r="HG30">
        <v>1.72853E-2</v>
      </c>
      <c r="HH30">
        <v>0</v>
      </c>
      <c r="HI30">
        <v>32.7333</v>
      </c>
      <c r="HJ30">
        <v>999.9</v>
      </c>
      <c r="HK30">
        <v>68.7</v>
      </c>
      <c r="HL30">
        <v>34.6</v>
      </c>
      <c r="HM30">
        <v>38.94</v>
      </c>
      <c r="HN30">
        <v>60.061</v>
      </c>
      <c r="HO30">
        <v>6.6906999999999996</v>
      </c>
      <c r="HP30">
        <v>1</v>
      </c>
      <c r="HQ30">
        <v>0.57093499999999997</v>
      </c>
      <c r="HR30">
        <v>0</v>
      </c>
      <c r="HS30">
        <v>20.294899999999998</v>
      </c>
      <c r="HT30">
        <v>5.2100999999999997</v>
      </c>
      <c r="HU30">
        <v>11.908099999999999</v>
      </c>
      <c r="HV30">
        <v>4.9832000000000001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1.86734</v>
      </c>
      <c r="IC30">
        <v>1.8629500000000001</v>
      </c>
      <c r="ID30">
        <v>1.8623400000000001</v>
      </c>
      <c r="IE30">
        <v>1.86188</v>
      </c>
      <c r="IF30">
        <v>1.86191</v>
      </c>
      <c r="IG30">
        <v>1.8625799999999999</v>
      </c>
      <c r="IH30">
        <v>1.8634299999999999</v>
      </c>
      <c r="II30">
        <v>1.8614200000000001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-4.6890000000000001</v>
      </c>
      <c r="IX30">
        <v>0.43190000000000001</v>
      </c>
      <c r="IY30">
        <v>-2.8047512500553791</v>
      </c>
      <c r="IZ30">
        <v>-5.1756331061651789E-3</v>
      </c>
      <c r="JA30">
        <v>1.8217400814442949E-6</v>
      </c>
      <c r="JB30">
        <v>-1.9713393848198499E-10</v>
      </c>
      <c r="JC30">
        <v>-0.2615437975387076</v>
      </c>
      <c r="JD30">
        <v>2.7492919904454862E-4</v>
      </c>
      <c r="JE30">
        <v>8.6739513355948885E-4</v>
      </c>
      <c r="JF30">
        <v>-8.2500691715147318E-6</v>
      </c>
      <c r="JG30">
        <v>20</v>
      </c>
      <c r="JH30">
        <v>1893</v>
      </c>
      <c r="JI30">
        <v>2</v>
      </c>
      <c r="JJ30">
        <v>37</v>
      </c>
      <c r="JK30">
        <v>0.7</v>
      </c>
      <c r="JL30">
        <v>0.6</v>
      </c>
      <c r="JM30">
        <v>1.08765</v>
      </c>
      <c r="JN30">
        <v>2.50366</v>
      </c>
      <c r="JO30">
        <v>1.50024</v>
      </c>
      <c r="JP30">
        <v>2.2729499999999998</v>
      </c>
      <c r="JQ30">
        <v>1.4477500000000001</v>
      </c>
      <c r="JR30">
        <v>2.4279799999999998</v>
      </c>
      <c r="JS30">
        <v>39.267099999999999</v>
      </c>
      <c r="JT30">
        <v>15.7957</v>
      </c>
      <c r="JU30">
        <v>18</v>
      </c>
      <c r="JV30">
        <v>543.00900000000001</v>
      </c>
      <c r="JW30">
        <v>438.733</v>
      </c>
      <c r="JX30">
        <v>33.308</v>
      </c>
      <c r="JY30">
        <v>34.272100000000002</v>
      </c>
      <c r="JZ30">
        <v>30.000900000000001</v>
      </c>
      <c r="KA30">
        <v>34.167099999999998</v>
      </c>
      <c r="KB30">
        <v>34.124299999999998</v>
      </c>
      <c r="KC30">
        <v>21.7559</v>
      </c>
      <c r="KD30">
        <v>34.196899999999999</v>
      </c>
      <c r="KE30">
        <v>72.968500000000006</v>
      </c>
      <c r="KF30">
        <v>-999.9</v>
      </c>
      <c r="KG30">
        <v>418.80099999999999</v>
      </c>
      <c r="KH30">
        <v>30.661000000000001</v>
      </c>
      <c r="KI30">
        <v>100.351</v>
      </c>
      <c r="KJ30">
        <v>99.472200000000001</v>
      </c>
    </row>
    <row r="31" spans="1:296" x14ac:dyDescent="0.3">
      <c r="A31">
        <v>15</v>
      </c>
      <c r="B31">
        <v>1736187989.0999999</v>
      </c>
      <c r="C31">
        <v>2214.5</v>
      </c>
      <c r="D31" t="s">
        <v>958</v>
      </c>
      <c r="E31" t="s">
        <v>959</v>
      </c>
      <c r="F31">
        <v>15</v>
      </c>
      <c r="H31">
        <v>1736187981.349999</v>
      </c>
      <c r="I31">
        <f t="shared" si="0"/>
        <v>3.1757980879559299E-3</v>
      </c>
      <c r="J31">
        <f t="shared" si="1"/>
        <v>3.17579808795593</v>
      </c>
      <c r="K31">
        <f t="shared" si="2"/>
        <v>-5.5066614979238357</v>
      </c>
      <c r="L31">
        <f t="shared" si="3"/>
        <v>420.20373333333328</v>
      </c>
      <c r="M31">
        <f t="shared" si="4"/>
        <v>457.2051029392498</v>
      </c>
      <c r="N31">
        <f t="shared" si="5"/>
        <v>44.589090386494512</v>
      </c>
      <c r="O31">
        <f t="shared" si="6"/>
        <v>40.980518646643382</v>
      </c>
      <c r="P31">
        <f t="shared" si="7"/>
        <v>0.1832296681326446</v>
      </c>
      <c r="Q31">
        <f t="shared" si="8"/>
        <v>2.8864709069804775</v>
      </c>
      <c r="R31">
        <f t="shared" si="9"/>
        <v>0.17700455479060959</v>
      </c>
      <c r="S31">
        <f t="shared" si="10"/>
        <v>0.11116952938334065</v>
      </c>
      <c r="T31">
        <f t="shared" si="11"/>
        <v>1.5966703903835998E-4</v>
      </c>
      <c r="U31">
        <f t="shared" si="12"/>
        <v>32.650558627938238</v>
      </c>
      <c r="V31">
        <f t="shared" si="13"/>
        <v>33.145773333333338</v>
      </c>
      <c r="W31">
        <f t="shared" si="14"/>
        <v>5.0936351865217278</v>
      </c>
      <c r="X31">
        <f t="shared" si="15"/>
        <v>65.885452873140565</v>
      </c>
      <c r="Y31">
        <f t="shared" si="16"/>
        <v>3.4202223587597924</v>
      </c>
      <c r="Z31">
        <f t="shared" si="17"/>
        <v>5.1911646799260449</v>
      </c>
      <c r="AA31">
        <f t="shared" si="18"/>
        <v>1.6734128277619353</v>
      </c>
      <c r="AB31">
        <f t="shared" si="19"/>
        <v>-140.05269567885651</v>
      </c>
      <c r="AC31">
        <f t="shared" si="20"/>
        <v>52.648846173931545</v>
      </c>
      <c r="AD31">
        <f t="shared" si="21"/>
        <v>4.1902268684903339</v>
      </c>
      <c r="AE31">
        <f t="shared" si="22"/>
        <v>-83.213462969395593</v>
      </c>
      <c r="AF31">
        <f t="shared" si="23"/>
        <v>-5.5066614979238357</v>
      </c>
      <c r="AG31">
        <f t="shared" si="24"/>
        <v>3.17579808795593</v>
      </c>
      <c r="AH31">
        <f t="shared" si="25"/>
        <v>-5.4972520832518574</v>
      </c>
      <c r="AI31">
        <v>428.62194807741861</v>
      </c>
      <c r="AJ31">
        <v>435.46444848484839</v>
      </c>
      <c r="AK31">
        <v>-6.3432054592368146E-3</v>
      </c>
      <c r="AL31">
        <v>67.035310752157088</v>
      </c>
      <c r="AM31">
        <f t="shared" si="26"/>
        <v>3.1836943391615367</v>
      </c>
      <c r="AN31">
        <v>31.365641175594352</v>
      </c>
      <c r="AO31">
        <v>35.056242424242413</v>
      </c>
      <c r="AP31">
        <v>-7.3359375991270291E-4</v>
      </c>
      <c r="AQ31">
        <v>78.067931496499426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50496.035765531575</v>
      </c>
      <c r="AW31" t="s">
        <v>960</v>
      </c>
      <c r="AX31">
        <v>5098.08</v>
      </c>
      <c r="AY31">
        <v>569.65000000000009</v>
      </c>
      <c r="AZ31">
        <v>2546</v>
      </c>
      <c r="BA31">
        <f t="shared" si="30"/>
        <v>0.77625687352710127</v>
      </c>
      <c r="BB31">
        <v>-5.5066614979238357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-5.5066614979238357</v>
      </c>
      <c r="BK31" t="e">
        <f t="shared" si="34"/>
        <v>#DIV/0!</v>
      </c>
      <c r="BL31">
        <f t="shared" si="35"/>
        <v>0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1.2882333594758013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1736187981.349999</v>
      </c>
      <c r="DQ31">
        <v>420.20373333333328</v>
      </c>
      <c r="DR31">
        <v>415.19749999999988</v>
      </c>
      <c r="DS31">
        <v>35.070083333333329</v>
      </c>
      <c r="DT31">
        <v>31.39305666666667</v>
      </c>
      <c r="DU31">
        <v>424.93450000000001</v>
      </c>
      <c r="DV31">
        <v>34.634886666666667</v>
      </c>
      <c r="DW31">
        <v>500.03813333333329</v>
      </c>
      <c r="DX31">
        <v>97.476760000000013</v>
      </c>
      <c r="DY31">
        <v>4.8595906666666668E-2</v>
      </c>
      <c r="DZ31">
        <v>33.484099999999998</v>
      </c>
      <c r="EA31">
        <v>33.145773333333338</v>
      </c>
      <c r="EB31">
        <v>999.9000000000002</v>
      </c>
      <c r="EC31">
        <v>0</v>
      </c>
      <c r="ED31">
        <v>0</v>
      </c>
      <c r="EE31">
        <v>10009</v>
      </c>
      <c r="EF31">
        <v>0</v>
      </c>
      <c r="EG31">
        <v>1248.629666666666</v>
      </c>
      <c r="EH31">
        <v>5.0062643333333332</v>
      </c>
      <c r="EI31">
        <v>435.47590000000008</v>
      </c>
      <c r="EJ31">
        <v>428.65429999999992</v>
      </c>
      <c r="EK31">
        <v>3.6770260000000001</v>
      </c>
      <c r="EL31">
        <v>415.19749999999988</v>
      </c>
      <c r="EM31">
        <v>31.39305666666667</v>
      </c>
      <c r="EN31">
        <v>3.4185176666666668</v>
      </c>
      <c r="EO31">
        <v>3.0600943333333328</v>
      </c>
      <c r="EP31">
        <v>26.220410000000001</v>
      </c>
      <c r="EQ31">
        <v>24.358550000000001</v>
      </c>
      <c r="ER31">
        <v>1.00021E-2</v>
      </c>
      <c r="ES31">
        <v>0</v>
      </c>
      <c r="ET31">
        <v>0</v>
      </c>
      <c r="EU31">
        <v>0</v>
      </c>
      <c r="EV31">
        <v>569.88</v>
      </c>
      <c r="EW31">
        <v>1.00021E-2</v>
      </c>
      <c r="EX31">
        <v>3337.309999999999</v>
      </c>
      <c r="EY31">
        <v>3.6616666666666671</v>
      </c>
      <c r="EZ31">
        <v>37.703799999999987</v>
      </c>
      <c r="FA31">
        <v>41.974799999999988</v>
      </c>
      <c r="FB31">
        <v>39.875</v>
      </c>
      <c r="FC31">
        <v>41.558133333333323</v>
      </c>
      <c r="FD31">
        <v>40.375</v>
      </c>
      <c r="FE31">
        <v>0</v>
      </c>
      <c r="FF31">
        <v>0</v>
      </c>
      <c r="FG31">
        <v>0</v>
      </c>
      <c r="FH31">
        <v>143.70000004768369</v>
      </c>
      <c r="FI31">
        <v>0</v>
      </c>
      <c r="FJ31">
        <v>569.65000000000009</v>
      </c>
      <c r="FK31">
        <v>-28.884803831532409</v>
      </c>
      <c r="FL31">
        <v>-2513.884805978139</v>
      </c>
      <c r="FM31">
        <v>3305.276470588235</v>
      </c>
      <c r="FN31">
        <v>10</v>
      </c>
      <c r="FO31">
        <v>1736187946.0999999</v>
      </c>
      <c r="FP31" t="s">
        <v>623</v>
      </c>
      <c r="FQ31">
        <v>1736187936.0999999</v>
      </c>
      <c r="FR31">
        <v>1736187946.0999999</v>
      </c>
      <c r="FS31">
        <v>16</v>
      </c>
      <c r="FT31">
        <v>-0.04</v>
      </c>
      <c r="FU31">
        <v>-1.0999999999999999E-2</v>
      </c>
      <c r="FV31">
        <v>-4.7140000000000004</v>
      </c>
      <c r="FW31">
        <v>0.317</v>
      </c>
      <c r="FX31">
        <v>416</v>
      </c>
      <c r="FY31">
        <v>31</v>
      </c>
      <c r="FZ31">
        <v>1.27</v>
      </c>
      <c r="GA31">
        <v>0.12</v>
      </c>
      <c r="GB31">
        <v>5.0343072500000003</v>
      </c>
      <c r="GC31">
        <v>-0.22462570356473791</v>
      </c>
      <c r="GD31">
        <v>0.15146269984698371</v>
      </c>
      <c r="GE31">
        <v>1</v>
      </c>
      <c r="GF31">
        <v>570.4176470588236</v>
      </c>
      <c r="GG31">
        <v>-9.5553857649653526</v>
      </c>
      <c r="GH31">
        <v>3.905235594929342</v>
      </c>
      <c r="GI31">
        <v>1</v>
      </c>
      <c r="GJ31">
        <v>3.6667087499999989</v>
      </c>
      <c r="GK31">
        <v>0.26585189493432321</v>
      </c>
      <c r="GL31">
        <v>4.8691686312321313E-2</v>
      </c>
      <c r="GM31">
        <v>1</v>
      </c>
      <c r="GN31">
        <v>3</v>
      </c>
      <c r="GO31">
        <v>3</v>
      </c>
      <c r="GP31" t="s">
        <v>599</v>
      </c>
      <c r="GQ31">
        <v>3.1335099999999998</v>
      </c>
      <c r="GR31">
        <v>2.72525</v>
      </c>
      <c r="GS31">
        <v>9.1023900000000005E-2</v>
      </c>
      <c r="GT31">
        <v>9.0078500000000006E-2</v>
      </c>
      <c r="GU31">
        <v>0.14379800000000001</v>
      </c>
      <c r="GV31">
        <v>0.13453200000000001</v>
      </c>
      <c r="GW31">
        <v>22776.3</v>
      </c>
      <c r="GX31">
        <v>30677.4</v>
      </c>
      <c r="GY31">
        <v>27183.200000000001</v>
      </c>
      <c r="GZ31">
        <v>34672.300000000003</v>
      </c>
      <c r="HA31">
        <v>34084.6</v>
      </c>
      <c r="HB31">
        <v>38319.9</v>
      </c>
      <c r="HC31">
        <v>40134.800000000003</v>
      </c>
      <c r="HD31">
        <v>44357.4</v>
      </c>
      <c r="HE31">
        <v>1.9583999999999999</v>
      </c>
      <c r="HF31">
        <v>1.7762</v>
      </c>
      <c r="HG31">
        <v>1.72555E-2</v>
      </c>
      <c r="HH31">
        <v>0</v>
      </c>
      <c r="HI31">
        <v>32.864199999999997</v>
      </c>
      <c r="HJ31">
        <v>999.9</v>
      </c>
      <c r="HK31">
        <v>68.5</v>
      </c>
      <c r="HL31">
        <v>34.799999999999997</v>
      </c>
      <c r="HM31">
        <v>39.255200000000002</v>
      </c>
      <c r="HN31">
        <v>59.930999999999997</v>
      </c>
      <c r="HO31">
        <v>6.6786899999999996</v>
      </c>
      <c r="HP31">
        <v>1</v>
      </c>
      <c r="HQ31">
        <v>0.59311000000000003</v>
      </c>
      <c r="HR31">
        <v>0</v>
      </c>
      <c r="HS31">
        <v>20.2958</v>
      </c>
      <c r="HT31">
        <v>5.2100999999999997</v>
      </c>
      <c r="HU31">
        <v>11.908099999999999</v>
      </c>
      <c r="HV31">
        <v>4.9847999999999999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1.86737</v>
      </c>
      <c r="IC31">
        <v>1.8629199999999999</v>
      </c>
      <c r="ID31">
        <v>1.8623400000000001</v>
      </c>
      <c r="IE31">
        <v>1.86188</v>
      </c>
      <c r="IF31">
        <v>1.8619699999999999</v>
      </c>
      <c r="IG31">
        <v>1.8626400000000001</v>
      </c>
      <c r="IH31">
        <v>1.8633999999999999</v>
      </c>
      <c r="II31">
        <v>1.8614200000000001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-4.7309999999999999</v>
      </c>
      <c r="IX31">
        <v>0.43480000000000002</v>
      </c>
      <c r="IY31">
        <v>-2.8451595805672389</v>
      </c>
      <c r="IZ31">
        <v>-5.1756331061651789E-3</v>
      </c>
      <c r="JA31">
        <v>1.8217400814442949E-6</v>
      </c>
      <c r="JB31">
        <v>-1.9713393848198499E-10</v>
      </c>
      <c r="JC31">
        <v>-0.27206236709024711</v>
      </c>
      <c r="JD31">
        <v>2.7492919904454862E-4</v>
      </c>
      <c r="JE31">
        <v>8.6739513355948885E-4</v>
      </c>
      <c r="JF31">
        <v>-8.2500691715147318E-6</v>
      </c>
      <c r="JG31">
        <v>20</v>
      </c>
      <c r="JH31">
        <v>1893</v>
      </c>
      <c r="JI31">
        <v>2</v>
      </c>
      <c r="JJ31">
        <v>37</v>
      </c>
      <c r="JK31">
        <v>0.9</v>
      </c>
      <c r="JL31">
        <v>0.7</v>
      </c>
      <c r="JM31">
        <v>1.0790999999999999</v>
      </c>
      <c r="JN31">
        <v>2.50366</v>
      </c>
      <c r="JO31">
        <v>1.50024</v>
      </c>
      <c r="JP31">
        <v>2.2729499999999998</v>
      </c>
      <c r="JQ31">
        <v>1.4477500000000001</v>
      </c>
      <c r="JR31">
        <v>2.4414099999999999</v>
      </c>
      <c r="JS31">
        <v>39.541600000000003</v>
      </c>
      <c r="JT31">
        <v>15.769399999999999</v>
      </c>
      <c r="JU31">
        <v>18</v>
      </c>
      <c r="JV31">
        <v>543.19100000000003</v>
      </c>
      <c r="JW31">
        <v>437.66500000000002</v>
      </c>
      <c r="JX31">
        <v>33.5244</v>
      </c>
      <c r="JY31">
        <v>34.521599999999999</v>
      </c>
      <c r="JZ31">
        <v>30.000699999999998</v>
      </c>
      <c r="KA31">
        <v>34.401899999999998</v>
      </c>
      <c r="KB31">
        <v>34.354799999999997</v>
      </c>
      <c r="KC31">
        <v>21.595099999999999</v>
      </c>
      <c r="KD31">
        <v>33.583399999999997</v>
      </c>
      <c r="KE31">
        <v>71.448499999999996</v>
      </c>
      <c r="KF31">
        <v>-999.9</v>
      </c>
      <c r="KG31">
        <v>414.99099999999999</v>
      </c>
      <c r="KH31">
        <v>31.3108</v>
      </c>
      <c r="KI31">
        <v>100.31399999999999</v>
      </c>
      <c r="KJ31">
        <v>99.436199999999999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4DBF-27CA-4134-941A-08E388DFE055}">
  <dimension ref="A2:KJ31"/>
  <sheetViews>
    <sheetView workbookViewId="0">
      <selection activeCell="F25" sqref="F2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961</v>
      </c>
      <c r="G13" t="s">
        <v>962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1782836306.5</v>
      </c>
      <c r="C17">
        <v>0</v>
      </c>
      <c r="D17" t="s">
        <v>963</v>
      </c>
      <c r="E17" t="s">
        <v>964</v>
      </c>
      <c r="F17">
        <v>15</v>
      </c>
      <c r="H17">
        <v>1782836298.75</v>
      </c>
      <c r="I17">
        <f t="shared" ref="I17:I31" si="0">(J17)/1000</f>
        <v>6.9205291328339894E-3</v>
      </c>
      <c r="J17">
        <f t="shared" ref="J17:J31" si="1">IF(DO17, AM17, AG17)</f>
        <v>6.9205291328339893</v>
      </c>
      <c r="K17">
        <f t="shared" ref="K17:K31" si="2">IF(DO17, AH17, AF17)</f>
        <v>44.869499819538667</v>
      </c>
      <c r="L17">
        <f t="shared" ref="L17:L31" si="3">DQ17 - IF(AT17&gt;1, K17*DK17*100/(AV17), 0)</f>
        <v>419.6697333333334</v>
      </c>
      <c r="M17">
        <f t="shared" ref="M17:M31" si="4">((S17-I17/2)*L17-K17)/(S17+I17/2)</f>
        <v>214.94978018122927</v>
      </c>
      <c r="N17">
        <f t="shared" ref="N17:N31" si="5">M17*(DX17+DY17)/1000</f>
        <v>20.950395283394926</v>
      </c>
      <c r="O17">
        <f t="shared" ref="O17:O31" si="6">(DQ17 - IF(AT17&gt;1, K17*DK17*100/(AV17), 0))*(DX17+DY17)/1000</f>
        <v>40.903725486005712</v>
      </c>
      <c r="P17">
        <f t="shared" ref="P17:P31" si="7">2/((1/R17-1/Q17)+SIGN(R17)*SQRT((1/R17-1/Q17)*(1/R17-1/Q17) + 4*DL17/((DL17+1)*(DL17+1))*(2*1/R17*1/Q17-1/Q17*1/Q17)))</f>
        <v>0.39149668179320729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2.8818553917519161</v>
      </c>
      <c r="R17">
        <f t="shared" ref="R17:R31" si="9">I17*(1000-(1000*0.61365*EXP(17.502*V17/(240.97+V17))/(DX17+DY17)+DS17)/2)/(1000*0.61365*EXP(17.502*V17/(240.97+V17))/(DX17+DY17)-DS17)</f>
        <v>0.36416878559351051</v>
      </c>
      <c r="S17">
        <f t="shared" ref="S17:S31" si="10">1/((DL17+1)/(P17/1.6)+1/(Q17/1.37)) + DL17/((DL17+1)/(P17/1.6) + DL17/(Q17/1.37))</f>
        <v>0.22990163152460724</v>
      </c>
      <c r="T17">
        <f t="shared" ref="T17:T31" si="11">(DG17*DJ17)</f>
        <v>319.78283629054926</v>
      </c>
      <c r="U17">
        <f t="shared" ref="U17:U31" si="12">(DZ17+(T17+2*0.95*0.0000000567*(((DZ17+$B$7)+273)^4-(DZ17+273)^4)-44100*I17)/(1.84*29.3*Q17+8*0.95*0.0000000567*(DZ17+273)^3))</f>
        <v>35.203321741601592</v>
      </c>
      <c r="V17">
        <f t="shared" ref="V17:V31" si="13">($C$7*EA17+$D$7*EB17+$E$7*U17)</f>
        <v>34.355856666666661</v>
      </c>
      <c r="W17">
        <f t="shared" ref="W17:W31" si="14">0.61365*EXP(17.502*V17/(240.97+V17))</f>
        <v>5.4499872808558099</v>
      </c>
      <c r="X17">
        <f t="shared" ref="X17:X31" si="15">(Y17/Z17*100)</f>
        <v>64.813126302956874</v>
      </c>
      <c r="Y17">
        <f t="shared" ref="Y17:Y31" si="16">DS17*(DX17+DY17)/1000</f>
        <v>3.684565397376983</v>
      </c>
      <c r="Z17">
        <f t="shared" ref="Z17:Z31" si="17">0.61365*EXP(17.502*DZ17/(240.97+DZ17))</f>
        <v>5.6849061410094137</v>
      </c>
      <c r="AA17">
        <f t="shared" ref="AA17:AA31" si="18">(W17-DS17*(DX17+DY17)/1000)</f>
        <v>1.7654218834788269</v>
      </c>
      <c r="AB17">
        <f t="shared" ref="AB17:AB31" si="19">(-I17*44100)</f>
        <v>-305.19533475797891</v>
      </c>
      <c r="AC17">
        <f t="shared" ref="AC17:AC31" si="20">2*29.3*Q17*0.92*(DZ17-V17)</f>
        <v>118.17493407338553</v>
      </c>
      <c r="AD17">
        <f t="shared" ref="AD17:AD31" si="21">2*0.95*0.0000000567*(((DZ17+$B$7)+273)^4-(V17+273)^4)</f>
        <v>9.5521398934174204</v>
      </c>
      <c r="AE17">
        <f t="shared" ref="AE17:AE31" si="22">T17+AD17+AB17+AC17</f>
        <v>142.31457549937329</v>
      </c>
      <c r="AF17">
        <f t="shared" ref="AF17:AF31" si="23">DW17*AT17*(DR17-DQ17*(1000-AT17*DT17)/(1000-AT17*DS17))/(100*DK17)</f>
        <v>44.869499819538667</v>
      </c>
      <c r="AG17">
        <f t="shared" ref="AG17:AG31" si="24">1000*DW17*AT17*(DS17-DT17)/(100*DK17*(1000-AT17*DS17))</f>
        <v>6.9205291328339893</v>
      </c>
      <c r="AH17">
        <f t="shared" ref="AH17:AH31" si="25">(AI17 - AJ17 - DX17*1000/(8.314*(DZ17+273.15)) * AL17/DW17 * AK17) * DW17/(100*DK17) * (1000 - DT17)/1000</f>
        <v>44.996529617235765</v>
      </c>
      <c r="AI17">
        <v>491.725830413219</v>
      </c>
      <c r="AJ17">
        <v>436.21171515151508</v>
      </c>
      <c r="AK17">
        <v>-2.8740911557445101E-2</v>
      </c>
      <c r="AL17">
        <v>67.029728911986709</v>
      </c>
      <c r="AM17">
        <f t="shared" ref="AM17:AM31" si="26">(AO17 - AN17 + DX17*1000/(8.314*(DZ17+273.15)) * AQ17/DW17 * AP17) * DW17/(100*DK17) * 1000/(1000 - AO17)</f>
        <v>7.1601802969985506</v>
      </c>
      <c r="AN17">
        <v>29.78543386854334</v>
      </c>
      <c r="AO17">
        <v>38.086086666666652</v>
      </c>
      <c r="AP17">
        <v>-5.8738936956186458E-3</v>
      </c>
      <c r="AQ17">
        <v>78.047982093688191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50099.544153493887</v>
      </c>
      <c r="AW17" t="s">
        <v>965</v>
      </c>
      <c r="AX17">
        <v>5108.9799999999996</v>
      </c>
      <c r="AY17">
        <v>586.62058823529424</v>
      </c>
      <c r="AZ17">
        <v>2589.38</v>
      </c>
      <c r="BA17">
        <f t="shared" ref="BA17:BA31" si="30">1-AY17/AZ17</f>
        <v>0.77345133266060051</v>
      </c>
      <c r="BB17">
        <v>-3.628501447085184</v>
      </c>
      <c r="BC17" t="s">
        <v>966</v>
      </c>
      <c r="BD17">
        <v>5086.59</v>
      </c>
      <c r="BE17">
        <v>855.6865294117647</v>
      </c>
      <c r="BF17">
        <v>1027.08</v>
      </c>
      <c r="BG17">
        <f t="shared" ref="BG17:BG31" si="31">1-BE17/BF17</f>
        <v>0.16687450888756017</v>
      </c>
      <c r="BH17">
        <v>0.5</v>
      </c>
      <c r="BI17">
        <f t="shared" ref="BI17:BI31" si="32">DH17</f>
        <v>1680.3229398396634</v>
      </c>
      <c r="BJ17">
        <f t="shared" ref="BJ17:BJ31" si="33">K17</f>
        <v>44.869499819538667</v>
      </c>
      <c r="BK17">
        <f t="shared" ref="BK17:BK31" si="34">BG17*BH17*BI17</f>
        <v>140.20153267912258</v>
      </c>
      <c r="BL17">
        <f t="shared" ref="BL17:BL31" si="35">(BJ17-BB17)/BI17</f>
        <v>2.8862309807691812E-2</v>
      </c>
      <c r="BM17">
        <f t="shared" ref="BM17:BM31" si="36">(AZ17-BF17)/BF17</f>
        <v>1.5211083849359353</v>
      </c>
      <c r="BN17">
        <f t="shared" ref="BN17:BN31" si="37">AY17/(BA17+AY17/BF17)</f>
        <v>436.27723712905015</v>
      </c>
      <c r="BO17" t="s">
        <v>407</v>
      </c>
      <c r="BP17">
        <v>0</v>
      </c>
      <c r="BQ17">
        <f t="shared" ref="BQ17:BQ31" si="38">IF(BP17&lt;&gt;0, BP17, BN17)</f>
        <v>436.27723712905015</v>
      </c>
      <c r="BR17">
        <f t="shared" ref="BR17:BR31" si="39">1-BQ17/BF17</f>
        <v>0.57522565220912669</v>
      </c>
      <c r="BS17">
        <f t="shared" ref="BS17:BS31" si="40">(BF17-BE17)/(BF17-BQ17)</f>
        <v>0.29010268969522923</v>
      </c>
      <c r="BT17">
        <f t="shared" ref="BT17:BT31" si="41">(AZ17-BF17)/(AZ17-BQ17)</f>
        <v>0.7256040106124928</v>
      </c>
      <c r="BU17">
        <f t="shared" ref="BU17:BU31" si="42">(BF17-BE17)/(BF17-AY17)</f>
        <v>0.38912432340029995</v>
      </c>
      <c r="BV17">
        <f t="shared" ref="BV17:BV31" si="43">(AZ17-BF17)/(AZ17-AY17)</f>
        <v>0.78007372768923822</v>
      </c>
      <c r="BW17">
        <f t="shared" ref="BW17:BW31" si="44">(BS17*BQ17/BE17)</f>
        <v>0.14791070747712609</v>
      </c>
      <c r="BX17">
        <f t="shared" ref="BX17:BX31" si="45">(1-BW17)</f>
        <v>0.85208929252287391</v>
      </c>
      <c r="DG17">
        <f t="shared" ref="DG17:DG31" si="46">$B$11*EF17+$C$11*EG17+$F$11*ER17*(1-EU17)</f>
        <v>2000.0276666666671</v>
      </c>
      <c r="DH17">
        <f t="shared" ref="DH17:DH31" si="47">DG17*DI17</f>
        <v>1680.3229398396634</v>
      </c>
      <c r="DI17">
        <f t="shared" ref="DI17:DI31" si="48">($B$11*$D$9+$C$11*$D$9+$F$11*((FE17+EW17)/MAX(FE17+EW17+FF17, 0.1)*$I$9+FF17/MAX(FE17+EW17+FF17, 0.1)*$J$9))/($B$11+$C$11+$F$11)</f>
        <v>0.84014984784693625</v>
      </c>
      <c r="DJ17">
        <f t="shared" ref="DJ17:DJ31" si="49">($B$11*$K$9+$C$11*$K$9+$F$11*((FE17+EW17)/MAX(FE17+EW17+FF17, 0.1)*$P$9+FF17/MAX(FE17+EW17+FF17, 0.1)*$Q$9))/($B$11+$C$11+$F$11)</f>
        <v>0.15988920634458684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1782836298.75</v>
      </c>
      <c r="DQ17">
        <v>419.6697333333334</v>
      </c>
      <c r="DR17">
        <v>477.00406666666669</v>
      </c>
      <c r="DS17">
        <v>37.803416666666656</v>
      </c>
      <c r="DT17">
        <v>29.811926666666661</v>
      </c>
      <c r="DU17">
        <v>424.19920000000002</v>
      </c>
      <c r="DV17">
        <v>37.493416666666661</v>
      </c>
      <c r="DW17">
        <v>499.95003333333318</v>
      </c>
      <c r="DX17">
        <v>97.41630333333336</v>
      </c>
      <c r="DY17">
        <v>5.0161930000000007E-2</v>
      </c>
      <c r="DZ17">
        <v>35.116476666666671</v>
      </c>
      <c r="EA17">
        <v>34.355856666666661</v>
      </c>
      <c r="EB17">
        <v>999.9000000000002</v>
      </c>
      <c r="EC17">
        <v>0</v>
      </c>
      <c r="ED17">
        <v>0</v>
      </c>
      <c r="EE17">
        <v>9988.6666666666661</v>
      </c>
      <c r="EF17">
        <v>0</v>
      </c>
      <c r="EG17">
        <v>1142.250666666667</v>
      </c>
      <c r="EH17">
        <v>-57.334263333333332</v>
      </c>
      <c r="EI17">
        <v>436.28620000000001</v>
      </c>
      <c r="EJ17">
        <v>491.66140000000001</v>
      </c>
      <c r="EK17">
        <v>8.2740059999999982</v>
      </c>
      <c r="EL17">
        <v>477.00406666666669</v>
      </c>
      <c r="EM17">
        <v>29.811926666666661</v>
      </c>
      <c r="EN17">
        <v>3.7101896666666669</v>
      </c>
      <c r="EO17">
        <v>2.9041659999999991</v>
      </c>
      <c r="EP17">
        <v>27.613579999999999</v>
      </c>
      <c r="EQ17">
        <v>23.488426666666669</v>
      </c>
      <c r="ER17">
        <v>2000.0276666666671</v>
      </c>
      <c r="ES17">
        <v>0.99499139999999997</v>
      </c>
      <c r="ET17">
        <v>5.0083633333333332E-3</v>
      </c>
      <c r="EU17">
        <v>0</v>
      </c>
      <c r="EV17">
        <v>855.8493000000002</v>
      </c>
      <c r="EW17">
        <v>5.0010700000000003</v>
      </c>
      <c r="EX17">
        <v>21132.06</v>
      </c>
      <c r="EY17">
        <v>18241.826666666671</v>
      </c>
      <c r="EZ17">
        <v>43.69959999999999</v>
      </c>
      <c r="FA17">
        <v>44.754133333333328</v>
      </c>
      <c r="FB17">
        <v>44.082999999999991</v>
      </c>
      <c r="FC17">
        <v>44.537199999999977</v>
      </c>
      <c r="FD17">
        <v>45.358199999999997</v>
      </c>
      <c r="FE17">
        <v>1985.0376666666671</v>
      </c>
      <c r="FF17">
        <v>9.990000000000002</v>
      </c>
      <c r="FG17">
        <v>0</v>
      </c>
      <c r="FH17">
        <v>1646.2000000476839</v>
      </c>
      <c r="FI17">
        <v>0</v>
      </c>
      <c r="FJ17">
        <v>855.6865294117647</v>
      </c>
      <c r="FK17">
        <v>-2.6536764664003418</v>
      </c>
      <c r="FL17">
        <v>-4004.289230828349</v>
      </c>
      <c r="FM17">
        <v>21087.4294117647</v>
      </c>
      <c r="FN17">
        <v>10</v>
      </c>
      <c r="FO17">
        <v>1782836333</v>
      </c>
      <c r="FP17" t="s">
        <v>967</v>
      </c>
      <c r="FQ17">
        <v>1782834585.0999999</v>
      </c>
      <c r="FR17">
        <v>1782836333</v>
      </c>
      <c r="FS17">
        <v>17</v>
      </c>
      <c r="FT17">
        <v>3.5000000000000003E-2</v>
      </c>
      <c r="FU17">
        <v>-3.6999999999999998E-2</v>
      </c>
      <c r="FV17">
        <v>-4.53</v>
      </c>
      <c r="FW17">
        <v>0.31</v>
      </c>
      <c r="FX17">
        <v>420</v>
      </c>
      <c r="FY17">
        <v>30</v>
      </c>
      <c r="FZ17">
        <v>2.19</v>
      </c>
      <c r="GA17">
        <v>0.05</v>
      </c>
      <c r="GB17">
        <v>-57.236682500000008</v>
      </c>
      <c r="GC17">
        <v>-1.674183489681013</v>
      </c>
      <c r="GD17">
        <v>0.2119260530084725</v>
      </c>
      <c r="GE17">
        <v>0</v>
      </c>
      <c r="GF17">
        <v>855.90900000000011</v>
      </c>
      <c r="GG17">
        <v>-2.4970511855848789</v>
      </c>
      <c r="GH17">
        <v>0.36482501849193599</v>
      </c>
      <c r="GI17">
        <v>1</v>
      </c>
      <c r="GJ17">
        <v>8.245136500000001</v>
      </c>
      <c r="GK17">
        <v>0.51884712945589828</v>
      </c>
      <c r="GL17">
        <v>5.540638350181315E-2</v>
      </c>
      <c r="GM17">
        <v>0</v>
      </c>
      <c r="GN17">
        <v>1</v>
      </c>
      <c r="GO17">
        <v>3</v>
      </c>
      <c r="GP17" t="s">
        <v>597</v>
      </c>
      <c r="GQ17">
        <v>3.1334399999999998</v>
      </c>
      <c r="GR17">
        <v>2.7261600000000001</v>
      </c>
      <c r="GS17">
        <v>9.0866299999999997E-2</v>
      </c>
      <c r="GT17">
        <v>0.100006</v>
      </c>
      <c r="GU17">
        <v>0.15171699999999999</v>
      </c>
      <c r="GV17">
        <v>0.129797</v>
      </c>
      <c r="GW17">
        <v>22800.7</v>
      </c>
      <c r="GX17">
        <v>30354.6</v>
      </c>
      <c r="GY17">
        <v>27207.5</v>
      </c>
      <c r="GZ17">
        <v>34686.400000000001</v>
      </c>
      <c r="HA17">
        <v>33796.800000000003</v>
      </c>
      <c r="HB17">
        <v>38555.1</v>
      </c>
      <c r="HC17">
        <v>40167.599999999999</v>
      </c>
      <c r="HD17">
        <v>44385.5</v>
      </c>
      <c r="HE17">
        <v>1.9643999999999999</v>
      </c>
      <c r="HF17">
        <v>1.7584</v>
      </c>
      <c r="HG17">
        <v>4.2021299999999998E-2</v>
      </c>
      <c r="HH17">
        <v>0</v>
      </c>
      <c r="HI17">
        <v>33.678199999999997</v>
      </c>
      <c r="HJ17">
        <v>999.9</v>
      </c>
      <c r="HK17">
        <v>64.400000000000006</v>
      </c>
      <c r="HL17">
        <v>35.799999999999997</v>
      </c>
      <c r="HM17">
        <v>39.026299999999999</v>
      </c>
      <c r="HN17">
        <v>60.0901</v>
      </c>
      <c r="HO17">
        <v>5.6209899999999999</v>
      </c>
      <c r="HP17">
        <v>1</v>
      </c>
      <c r="HQ17">
        <v>0.59591499999999997</v>
      </c>
      <c r="HR17">
        <v>0</v>
      </c>
      <c r="HS17">
        <v>20.2775</v>
      </c>
      <c r="HT17">
        <v>5.2053099999999999</v>
      </c>
      <c r="HU17">
        <v>11.9033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1.8629500000000001</v>
      </c>
      <c r="ID17">
        <v>1.8623700000000001</v>
      </c>
      <c r="IE17">
        <v>1.86188</v>
      </c>
      <c r="IF17">
        <v>1.86191</v>
      </c>
      <c r="IG17">
        <v>1.8626400000000001</v>
      </c>
      <c r="IH17">
        <v>1.8634299999999999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-4.5289999999999999</v>
      </c>
      <c r="IX17">
        <v>0.31</v>
      </c>
      <c r="IY17">
        <v>-2.8038569841012411</v>
      </c>
      <c r="IZ17">
        <v>-4.6713445918306539E-3</v>
      </c>
      <c r="JA17">
        <v>1.452628845961848E-6</v>
      </c>
      <c r="JB17">
        <v>-6.9306854222146279E-11</v>
      </c>
      <c r="JC17">
        <v>-0.2023212690010239</v>
      </c>
      <c r="JD17">
        <v>2.7492919904454862E-4</v>
      </c>
      <c r="JE17">
        <v>8.6739513355948885E-4</v>
      </c>
      <c r="JF17">
        <v>-8.2500691715147318E-6</v>
      </c>
      <c r="JG17">
        <v>18</v>
      </c>
      <c r="JH17">
        <v>1867</v>
      </c>
      <c r="JI17">
        <v>2</v>
      </c>
      <c r="JJ17">
        <v>37</v>
      </c>
      <c r="JK17">
        <v>28.7</v>
      </c>
      <c r="JL17">
        <v>28.7</v>
      </c>
      <c r="JM17">
        <v>1.18652</v>
      </c>
      <c r="JN17">
        <v>2.5</v>
      </c>
      <c r="JO17">
        <v>1.50024</v>
      </c>
      <c r="JP17">
        <v>2.2741699999999998</v>
      </c>
      <c r="JQ17">
        <v>1.4477500000000001</v>
      </c>
      <c r="JR17">
        <v>2.4536099999999998</v>
      </c>
      <c r="JS17">
        <v>40.019399999999997</v>
      </c>
      <c r="JT17">
        <v>15.121499999999999</v>
      </c>
      <c r="JU17">
        <v>18</v>
      </c>
      <c r="JV17">
        <v>546.96900000000005</v>
      </c>
      <c r="JW17">
        <v>426.32600000000002</v>
      </c>
      <c r="JX17">
        <v>34.197800000000001</v>
      </c>
      <c r="JY17">
        <v>34.527900000000002</v>
      </c>
      <c r="JZ17">
        <v>30.001000000000001</v>
      </c>
      <c r="KA17">
        <v>34.370899999999999</v>
      </c>
      <c r="KB17">
        <v>34.317799999999998</v>
      </c>
      <c r="KC17">
        <v>23.722799999999999</v>
      </c>
      <c r="KD17">
        <v>37.06</v>
      </c>
      <c r="KE17">
        <v>96.252200000000002</v>
      </c>
      <c r="KF17">
        <v>-999.9</v>
      </c>
      <c r="KG17">
        <v>477.64800000000002</v>
      </c>
      <c r="KH17">
        <v>29.760999999999999</v>
      </c>
      <c r="KI17">
        <v>100.399</v>
      </c>
      <c r="KJ17">
        <v>99.4893</v>
      </c>
    </row>
    <row r="18" spans="1:296" x14ac:dyDescent="0.3">
      <c r="A18">
        <v>2</v>
      </c>
      <c r="B18">
        <v>1782836459.0999999</v>
      </c>
      <c r="C18">
        <v>152.5999999046326</v>
      </c>
      <c r="D18" t="s">
        <v>968</v>
      </c>
      <c r="E18" t="s">
        <v>969</v>
      </c>
      <c r="F18">
        <v>15</v>
      </c>
      <c r="H18">
        <v>1782836451.099999</v>
      </c>
      <c r="I18">
        <f t="shared" si="0"/>
        <v>7.095462090321969E-3</v>
      </c>
      <c r="J18">
        <f t="shared" si="1"/>
        <v>7.095462090321969</v>
      </c>
      <c r="K18">
        <f t="shared" si="2"/>
        <v>44.460080642464348</v>
      </c>
      <c r="L18">
        <f t="shared" si="3"/>
        <v>419.69729032258061</v>
      </c>
      <c r="M18">
        <f t="shared" si="4"/>
        <v>231.2180500798973</v>
      </c>
      <c r="N18">
        <f t="shared" si="5"/>
        <v>22.537579580942939</v>
      </c>
      <c r="O18">
        <f t="shared" si="6"/>
        <v>40.909267582192363</v>
      </c>
      <c r="P18">
        <f t="shared" si="7"/>
        <v>0.42469138500170661</v>
      </c>
      <c r="Q18">
        <f t="shared" si="8"/>
        <v>2.8837362738414232</v>
      </c>
      <c r="R18">
        <f t="shared" si="9"/>
        <v>0.39275464982420205</v>
      </c>
      <c r="S18">
        <f t="shared" si="10"/>
        <v>0.24814060765080631</v>
      </c>
      <c r="T18">
        <f t="shared" si="11"/>
        <v>271.90704069388926</v>
      </c>
      <c r="U18">
        <f t="shared" si="12"/>
        <v>34.749419503837423</v>
      </c>
      <c r="V18">
        <f t="shared" si="13"/>
        <v>34.125464516129043</v>
      </c>
      <c r="W18">
        <f t="shared" si="14"/>
        <v>5.3805167491799724</v>
      </c>
      <c r="X18">
        <f t="shared" si="15"/>
        <v>65.558135893700268</v>
      </c>
      <c r="Y18">
        <f t="shared" si="16"/>
        <v>3.7016137986850426</v>
      </c>
      <c r="Z18">
        <f t="shared" si="17"/>
        <v>5.6463072786069644</v>
      </c>
      <c r="AA18">
        <f t="shared" si="18"/>
        <v>1.6789029504949298</v>
      </c>
      <c r="AB18">
        <f t="shared" si="19"/>
        <v>-312.90987818319883</v>
      </c>
      <c r="AC18">
        <f t="shared" si="20"/>
        <v>134.93618512304974</v>
      </c>
      <c r="AD18">
        <f t="shared" si="21"/>
        <v>10.881082709431636</v>
      </c>
      <c r="AE18">
        <f t="shared" si="22"/>
        <v>104.81443034317178</v>
      </c>
      <c r="AF18">
        <f t="shared" si="23"/>
        <v>44.460080642464348</v>
      </c>
      <c r="AG18">
        <f t="shared" si="24"/>
        <v>7.095462090321969</v>
      </c>
      <c r="AH18">
        <f t="shared" si="25"/>
        <v>44.478719528522944</v>
      </c>
      <c r="AI18">
        <v>491.38865272687673</v>
      </c>
      <c r="AJ18">
        <v>436.39941818181808</v>
      </c>
      <c r="AK18">
        <v>-5.875094659381597E-3</v>
      </c>
      <c r="AL18">
        <v>67.035125365567879</v>
      </c>
      <c r="AM18">
        <f t="shared" si="26"/>
        <v>7.0341159951632228</v>
      </c>
      <c r="AN18">
        <v>29.76180169086653</v>
      </c>
      <c r="AO18">
        <v>37.956655757575739</v>
      </c>
      <c r="AP18">
        <v>-1.2357958753818919E-2</v>
      </c>
      <c r="AQ18">
        <v>78.067702857689497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50171.728167449459</v>
      </c>
      <c r="AW18" t="s">
        <v>965</v>
      </c>
      <c r="AX18">
        <v>5108.9799999999996</v>
      </c>
      <c r="AY18">
        <v>586.62058823529424</v>
      </c>
      <c r="AZ18">
        <v>2589.38</v>
      </c>
      <c r="BA18">
        <f t="shared" si="30"/>
        <v>0.77345133266060051</v>
      </c>
      <c r="BB18">
        <v>-3.628501447085184</v>
      </c>
      <c r="BC18" t="s">
        <v>970</v>
      </c>
      <c r="BD18">
        <v>5088.2299999999996</v>
      </c>
      <c r="BE18">
        <v>852.39670588235299</v>
      </c>
      <c r="BF18">
        <v>1078.6400000000001</v>
      </c>
      <c r="BG18">
        <f t="shared" si="31"/>
        <v>0.20974865953204691</v>
      </c>
      <c r="BH18">
        <v>0.5</v>
      </c>
      <c r="BI18">
        <f t="shared" si="32"/>
        <v>1428.295615936998</v>
      </c>
      <c r="BJ18">
        <f t="shared" si="33"/>
        <v>44.460080642464348</v>
      </c>
      <c r="BK18">
        <f t="shared" si="34"/>
        <v>149.79154542914233</v>
      </c>
      <c r="BL18">
        <f t="shared" si="35"/>
        <v>3.3668507802568734E-2</v>
      </c>
      <c r="BM18">
        <f t="shared" si="36"/>
        <v>1.4005970481346881</v>
      </c>
      <c r="BN18">
        <f t="shared" si="37"/>
        <v>445.31927161211513</v>
      </c>
      <c r="BO18" t="s">
        <v>407</v>
      </c>
      <c r="BP18">
        <v>0</v>
      </c>
      <c r="BQ18">
        <f t="shared" si="38"/>
        <v>445.31927161211513</v>
      </c>
      <c r="BR18">
        <f t="shared" si="39"/>
        <v>0.58714745270700597</v>
      </c>
      <c r="BS18">
        <f t="shared" si="40"/>
        <v>0.35723336372322501</v>
      </c>
      <c r="BT18">
        <f t="shared" si="41"/>
        <v>0.70461623591040845</v>
      </c>
      <c r="BU18">
        <f t="shared" si="42"/>
        <v>0.45982595139120541</v>
      </c>
      <c r="BV18">
        <f t="shared" si="43"/>
        <v>0.75432924749999342</v>
      </c>
      <c r="BW18">
        <f t="shared" si="44"/>
        <v>0.18663012213790608</v>
      </c>
      <c r="BX18">
        <f t="shared" si="45"/>
        <v>0.81336987786209392</v>
      </c>
      <c r="DG18">
        <f t="shared" si="46"/>
        <v>1699.98870967742</v>
      </c>
      <c r="DH18">
        <f t="shared" si="47"/>
        <v>1428.295615936998</v>
      </c>
      <c r="DI18">
        <f t="shared" si="48"/>
        <v>0.84017947166721074</v>
      </c>
      <c r="DJ18">
        <f t="shared" si="49"/>
        <v>0.1599463803177168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1782836451.099999</v>
      </c>
      <c r="DQ18">
        <v>419.69729032258061</v>
      </c>
      <c r="DR18">
        <v>476.62938709677422</v>
      </c>
      <c r="DS18">
        <v>37.97568064516129</v>
      </c>
      <c r="DT18">
        <v>29.783541935483871</v>
      </c>
      <c r="DU18">
        <v>424.29183870967751</v>
      </c>
      <c r="DV18">
        <v>37.424474193548392</v>
      </c>
      <c r="DW18">
        <v>499.94322580645172</v>
      </c>
      <c r="DX18">
        <v>97.422222580645183</v>
      </c>
      <c r="DY18">
        <v>5.1048096774193551E-2</v>
      </c>
      <c r="DZ18">
        <v>34.993400000000001</v>
      </c>
      <c r="EA18">
        <v>34.125464516129043</v>
      </c>
      <c r="EB18">
        <v>999.90000000000032</v>
      </c>
      <c r="EC18">
        <v>0</v>
      </c>
      <c r="ED18">
        <v>0</v>
      </c>
      <c r="EE18">
        <v>9998.8709677419356</v>
      </c>
      <c r="EF18">
        <v>0</v>
      </c>
      <c r="EG18">
        <v>830.10964516129036</v>
      </c>
      <c r="EH18">
        <v>-56.932122580645157</v>
      </c>
      <c r="EI18">
        <v>436.2648064516128</v>
      </c>
      <c r="EJ18">
        <v>491.26099999999991</v>
      </c>
      <c r="EK18">
        <v>8.1921419354838712</v>
      </c>
      <c r="EL18">
        <v>476.62938709677422</v>
      </c>
      <c r="EM18">
        <v>29.783541935483871</v>
      </c>
      <c r="EN18">
        <v>3.6996758064516131</v>
      </c>
      <c r="EO18">
        <v>2.9015796774193539</v>
      </c>
      <c r="EP18">
        <v>27.56504838709677</v>
      </c>
      <c r="EQ18">
        <v>23.47363870967742</v>
      </c>
      <c r="ER18">
        <v>1699.98870967742</v>
      </c>
      <c r="ES18">
        <v>0.99399906451612874</v>
      </c>
      <c r="ET18">
        <v>6.0009816129032263E-3</v>
      </c>
      <c r="EU18">
        <v>0</v>
      </c>
      <c r="EV18">
        <v>852.37109677419346</v>
      </c>
      <c r="EW18">
        <v>5.0010700000000003</v>
      </c>
      <c r="EX18">
        <v>17692.941935483861</v>
      </c>
      <c r="EY18">
        <v>15492.416129032261</v>
      </c>
      <c r="EZ18">
        <v>43.643000000000001</v>
      </c>
      <c r="FA18">
        <v>44.741870967741917</v>
      </c>
      <c r="FB18">
        <v>44.25</v>
      </c>
      <c r="FC18">
        <v>44.428999999999967</v>
      </c>
      <c r="FD18">
        <v>45.399000000000008</v>
      </c>
      <c r="FE18">
        <v>1684.8187096774191</v>
      </c>
      <c r="FF18">
        <v>10.17</v>
      </c>
      <c r="FG18">
        <v>0</v>
      </c>
      <c r="FH18">
        <v>152</v>
      </c>
      <c r="FI18">
        <v>0</v>
      </c>
      <c r="FJ18">
        <v>852.39670588235299</v>
      </c>
      <c r="FK18">
        <v>-1.185784304250316</v>
      </c>
      <c r="FL18">
        <v>311.05392123609562</v>
      </c>
      <c r="FM18">
        <v>17714.305882352939</v>
      </c>
      <c r="FN18">
        <v>10</v>
      </c>
      <c r="FO18">
        <v>1782836405.5999999</v>
      </c>
      <c r="FP18" t="s">
        <v>665</v>
      </c>
      <c r="FQ18">
        <v>1782836394.0999999</v>
      </c>
      <c r="FR18">
        <v>1782836405.5999999</v>
      </c>
      <c r="FS18">
        <v>18</v>
      </c>
      <c r="FT18">
        <v>-6.5000000000000002E-2</v>
      </c>
      <c r="FU18">
        <v>-2E-3</v>
      </c>
      <c r="FV18">
        <v>-4.7850000000000001</v>
      </c>
      <c r="FW18">
        <v>0.315</v>
      </c>
      <c r="FX18">
        <v>476</v>
      </c>
      <c r="FY18">
        <v>30</v>
      </c>
      <c r="FZ18">
        <v>0.18</v>
      </c>
      <c r="GA18">
        <v>0.06</v>
      </c>
      <c r="GB18">
        <v>-56.882404999999991</v>
      </c>
      <c r="GC18">
        <v>-0.67782889305813199</v>
      </c>
      <c r="GD18">
        <v>0.18712395751212599</v>
      </c>
      <c r="GE18">
        <v>1</v>
      </c>
      <c r="GF18">
        <v>852.42435294117649</v>
      </c>
      <c r="GG18">
        <v>-0.68870893367987462</v>
      </c>
      <c r="GH18">
        <v>0.25756985144558348</v>
      </c>
      <c r="GI18">
        <v>1</v>
      </c>
      <c r="GJ18">
        <v>8.1958782500000016</v>
      </c>
      <c r="GK18">
        <v>-4.3846941838665492E-2</v>
      </c>
      <c r="GL18">
        <v>1.534237870858024E-2</v>
      </c>
      <c r="GM18">
        <v>1</v>
      </c>
      <c r="GN18">
        <v>3</v>
      </c>
      <c r="GO18">
        <v>3</v>
      </c>
      <c r="GP18" t="s">
        <v>599</v>
      </c>
      <c r="GQ18">
        <v>3.1333099999999998</v>
      </c>
      <c r="GR18">
        <v>2.7267800000000002</v>
      </c>
      <c r="GS18">
        <v>9.0887999999999997E-2</v>
      </c>
      <c r="GT18">
        <v>9.9880200000000002E-2</v>
      </c>
      <c r="GU18">
        <v>0.151394</v>
      </c>
      <c r="GV18">
        <v>0.129575</v>
      </c>
      <c r="GW18">
        <v>22793.9</v>
      </c>
      <c r="GX18">
        <v>30349.5</v>
      </c>
      <c r="GY18">
        <v>27200.9</v>
      </c>
      <c r="GZ18">
        <v>34677</v>
      </c>
      <c r="HA18">
        <v>33803.599999999999</v>
      </c>
      <c r="HB18">
        <v>38555.9</v>
      </c>
      <c r="HC18">
        <v>40158.5</v>
      </c>
      <c r="HD18">
        <v>44374.5</v>
      </c>
      <c r="HE18">
        <v>1.9628000000000001</v>
      </c>
      <c r="HF18">
        <v>1.756</v>
      </c>
      <c r="HG18">
        <v>4.4405500000000001E-2</v>
      </c>
      <c r="HH18">
        <v>0</v>
      </c>
      <c r="HI18">
        <v>33.377000000000002</v>
      </c>
      <c r="HJ18">
        <v>999.9</v>
      </c>
      <c r="HK18">
        <v>64.3</v>
      </c>
      <c r="HL18">
        <v>35.9</v>
      </c>
      <c r="HM18">
        <v>39.180100000000003</v>
      </c>
      <c r="HN18">
        <v>60.3765</v>
      </c>
      <c r="HO18">
        <v>5.8653899999999997</v>
      </c>
      <c r="HP18">
        <v>1</v>
      </c>
      <c r="HQ18">
        <v>0.61067099999999996</v>
      </c>
      <c r="HR18">
        <v>0</v>
      </c>
      <c r="HS18">
        <v>20.279800000000002</v>
      </c>
      <c r="HT18">
        <v>5.2112999999999996</v>
      </c>
      <c r="HU18">
        <v>11.9069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1.8629500000000001</v>
      </c>
      <c r="ID18">
        <v>1.8624000000000001</v>
      </c>
      <c r="IE18">
        <v>1.86188</v>
      </c>
      <c r="IF18">
        <v>1.8619399999999999</v>
      </c>
      <c r="IG18">
        <v>1.8626400000000001</v>
      </c>
      <c r="IH18">
        <v>1.8634999999999999</v>
      </c>
      <c r="II18">
        <v>1.86145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-4.5960000000000001</v>
      </c>
      <c r="IX18">
        <v>0.55049999999999999</v>
      </c>
      <c r="IY18">
        <v>-2.868788931740319</v>
      </c>
      <c r="IZ18">
        <v>-4.6713445918306539E-3</v>
      </c>
      <c r="JA18">
        <v>1.452628845961848E-6</v>
      </c>
      <c r="JB18">
        <v>-6.9306854222146279E-11</v>
      </c>
      <c r="JC18">
        <v>-0.24150849280805209</v>
      </c>
      <c r="JD18">
        <v>2.7492919904454862E-4</v>
      </c>
      <c r="JE18">
        <v>8.6739513355948885E-4</v>
      </c>
      <c r="JF18">
        <v>-8.2500691715147318E-6</v>
      </c>
      <c r="JG18">
        <v>18</v>
      </c>
      <c r="JH18">
        <v>1867</v>
      </c>
      <c r="JI18">
        <v>2</v>
      </c>
      <c r="JJ18">
        <v>37</v>
      </c>
      <c r="JK18">
        <v>1.1000000000000001</v>
      </c>
      <c r="JL18">
        <v>0.9</v>
      </c>
      <c r="JM18">
        <v>1.1950700000000001</v>
      </c>
      <c r="JN18">
        <v>2.50488</v>
      </c>
      <c r="JO18">
        <v>1.50024</v>
      </c>
      <c r="JP18">
        <v>2.2766099999999998</v>
      </c>
      <c r="JQ18">
        <v>1.4477500000000001</v>
      </c>
      <c r="JR18">
        <v>2.4645999999999999</v>
      </c>
      <c r="JS18">
        <v>40.3491</v>
      </c>
      <c r="JT18">
        <v>15.103899999999999</v>
      </c>
      <c r="JU18">
        <v>18</v>
      </c>
      <c r="JV18">
        <v>547.58500000000004</v>
      </c>
      <c r="JW18">
        <v>426.15199999999999</v>
      </c>
      <c r="JX18">
        <v>34.299999999999997</v>
      </c>
      <c r="JY18">
        <v>34.716799999999999</v>
      </c>
      <c r="JZ18">
        <v>30.000499999999999</v>
      </c>
      <c r="KA18">
        <v>34.5764</v>
      </c>
      <c r="KB18">
        <v>34.515999999999998</v>
      </c>
      <c r="KC18">
        <v>23.894400000000001</v>
      </c>
      <c r="KD18">
        <v>37.5869</v>
      </c>
      <c r="KE18">
        <v>98.017300000000006</v>
      </c>
      <c r="KF18">
        <v>-999.9</v>
      </c>
      <c r="KG18">
        <v>476.78899999999999</v>
      </c>
      <c r="KH18">
        <v>29.629899999999999</v>
      </c>
      <c r="KI18">
        <v>100.376</v>
      </c>
      <c r="KJ18">
        <v>99.4636</v>
      </c>
    </row>
    <row r="19" spans="1:296" x14ac:dyDescent="0.3">
      <c r="A19">
        <v>3</v>
      </c>
      <c r="B19">
        <v>1782836582.0999999</v>
      </c>
      <c r="C19">
        <v>275.59999990463263</v>
      </c>
      <c r="D19" t="s">
        <v>971</v>
      </c>
      <c r="E19" t="s">
        <v>972</v>
      </c>
      <c r="F19">
        <v>15</v>
      </c>
      <c r="H19">
        <v>1782836574.349999</v>
      </c>
      <c r="I19">
        <f t="shared" si="0"/>
        <v>7.0268783690876782E-3</v>
      </c>
      <c r="J19">
        <f t="shared" si="1"/>
        <v>7.0268783690876786</v>
      </c>
      <c r="K19">
        <f t="shared" si="2"/>
        <v>43.87870868069389</v>
      </c>
      <c r="L19">
        <f t="shared" si="3"/>
        <v>419.81229999999988</v>
      </c>
      <c r="M19">
        <f t="shared" si="4"/>
        <v>232.42049024197919</v>
      </c>
      <c r="N19">
        <f t="shared" si="5"/>
        <v>22.654155135604952</v>
      </c>
      <c r="O19">
        <f t="shared" si="6"/>
        <v>40.919339607852542</v>
      </c>
      <c r="P19">
        <f t="shared" si="7"/>
        <v>0.42147454473328777</v>
      </c>
      <c r="Q19">
        <f t="shared" si="8"/>
        <v>2.8840427391375467</v>
      </c>
      <c r="R19">
        <f t="shared" si="9"/>
        <v>0.39000365876355336</v>
      </c>
      <c r="S19">
        <f t="shared" si="10"/>
        <v>0.24638370792722578</v>
      </c>
      <c r="T19">
        <f t="shared" si="11"/>
        <v>255.90958062943733</v>
      </c>
      <c r="U19">
        <f t="shared" si="12"/>
        <v>34.537136264567401</v>
      </c>
      <c r="V19">
        <f t="shared" si="13"/>
        <v>33.970646666666667</v>
      </c>
      <c r="W19">
        <f t="shared" si="14"/>
        <v>5.3342679921392406</v>
      </c>
      <c r="X19">
        <f t="shared" si="15"/>
        <v>65.292320082551356</v>
      </c>
      <c r="Y19">
        <f t="shared" si="16"/>
        <v>3.659114318488776</v>
      </c>
      <c r="Z19">
        <f t="shared" si="17"/>
        <v>5.6042032414569283</v>
      </c>
      <c r="AA19">
        <f t="shared" si="18"/>
        <v>1.6751536736504646</v>
      </c>
      <c r="AB19">
        <f t="shared" si="19"/>
        <v>-309.88533607676663</v>
      </c>
      <c r="AC19">
        <f t="shared" si="20"/>
        <v>138.01790033889228</v>
      </c>
      <c r="AD19">
        <f t="shared" si="21"/>
        <v>11.11267953091993</v>
      </c>
      <c r="AE19">
        <f t="shared" si="22"/>
        <v>95.154824422482875</v>
      </c>
      <c r="AF19">
        <f t="shared" si="23"/>
        <v>43.87870868069389</v>
      </c>
      <c r="AG19">
        <f t="shared" si="24"/>
        <v>7.0268783690876786</v>
      </c>
      <c r="AH19">
        <f t="shared" si="25"/>
        <v>43.622093382839601</v>
      </c>
      <c r="AI19">
        <v>490.33927882975968</v>
      </c>
      <c r="AJ19">
        <v>436.29629696969698</v>
      </c>
      <c r="AK19">
        <v>2.2482066407261709E-2</v>
      </c>
      <c r="AL19">
        <v>67.092520669701855</v>
      </c>
      <c r="AM19">
        <f t="shared" si="26"/>
        <v>6.9860553376005177</v>
      </c>
      <c r="AN19">
        <v>29.402299952707288</v>
      </c>
      <c r="AO19">
        <v>37.478869696969703</v>
      </c>
      <c r="AP19">
        <v>-1.393273579717236E-3</v>
      </c>
      <c r="AQ19">
        <v>78.258492502826769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50202.187654704961</v>
      </c>
      <c r="AW19" t="s">
        <v>965</v>
      </c>
      <c r="AX19">
        <v>5108.9799999999996</v>
      </c>
      <c r="AY19">
        <v>586.62058823529424</v>
      </c>
      <c r="AZ19">
        <v>2589.38</v>
      </c>
      <c r="BA19">
        <f t="shared" si="30"/>
        <v>0.77345133266060051</v>
      </c>
      <c r="BB19">
        <v>-3.628501447085184</v>
      </c>
      <c r="BC19" t="s">
        <v>973</v>
      </c>
      <c r="BD19">
        <v>5089.21</v>
      </c>
      <c r="BE19">
        <v>849.970411764706</v>
      </c>
      <c r="BF19">
        <v>1099.45</v>
      </c>
      <c r="BG19">
        <f t="shared" si="31"/>
        <v>0.22691308220955386</v>
      </c>
      <c r="BH19">
        <v>0.5</v>
      </c>
      <c r="BI19">
        <f t="shared" si="32"/>
        <v>1344.2632998079989</v>
      </c>
      <c r="BJ19">
        <f t="shared" si="33"/>
        <v>43.87870868069389</v>
      </c>
      <c r="BK19">
        <f t="shared" si="34"/>
        <v>152.5154643303093</v>
      </c>
      <c r="BL19">
        <f t="shared" si="35"/>
        <v>3.5340703071016319E-2</v>
      </c>
      <c r="BM19">
        <f t="shared" si="36"/>
        <v>1.3551593978807586</v>
      </c>
      <c r="BN19">
        <f t="shared" si="37"/>
        <v>448.82654890458514</v>
      </c>
      <c r="BO19" t="s">
        <v>407</v>
      </c>
      <c r="BP19">
        <v>0</v>
      </c>
      <c r="BQ19">
        <f t="shared" si="38"/>
        <v>448.82654890458514</v>
      </c>
      <c r="BR19">
        <f t="shared" si="39"/>
        <v>0.59177175050744912</v>
      </c>
      <c r="BS19">
        <f t="shared" si="40"/>
        <v>0.38344696585292232</v>
      </c>
      <c r="BT19">
        <f t="shared" si="41"/>
        <v>0.69604895838388792</v>
      </c>
      <c r="BU19">
        <f t="shared" si="42"/>
        <v>0.48647675525630579</v>
      </c>
      <c r="BV19">
        <f t="shared" si="43"/>
        <v>0.74393858356015274</v>
      </c>
      <c r="BW19">
        <f t="shared" si="44"/>
        <v>0.20247902278667027</v>
      </c>
      <c r="BX19">
        <f t="shared" si="45"/>
        <v>0.79752097721332971</v>
      </c>
      <c r="DG19">
        <f t="shared" si="46"/>
        <v>1599.971666666667</v>
      </c>
      <c r="DH19">
        <f t="shared" si="47"/>
        <v>1344.2632998079989</v>
      </c>
      <c r="DI19">
        <f t="shared" si="48"/>
        <v>0.84017944055759231</v>
      </c>
      <c r="DJ19">
        <f t="shared" si="49"/>
        <v>0.15994632027615319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1782836574.349999</v>
      </c>
      <c r="DQ19">
        <v>419.81229999999988</v>
      </c>
      <c r="DR19">
        <v>476.00116666666662</v>
      </c>
      <c r="DS19">
        <v>37.540713333333343</v>
      </c>
      <c r="DT19">
        <v>29.425813333333341</v>
      </c>
      <c r="DU19">
        <v>424.34739999999988</v>
      </c>
      <c r="DV19">
        <v>37.005143333333329</v>
      </c>
      <c r="DW19">
        <v>500.04936666666669</v>
      </c>
      <c r="DX19">
        <v>97.420273333333341</v>
      </c>
      <c r="DY19">
        <v>5.0285789999999997E-2</v>
      </c>
      <c r="DZ19">
        <v>34.858310000000003</v>
      </c>
      <c r="EA19">
        <v>33.970646666666667</v>
      </c>
      <c r="EB19">
        <v>999.9000000000002</v>
      </c>
      <c r="EC19">
        <v>0</v>
      </c>
      <c r="ED19">
        <v>0</v>
      </c>
      <c r="EE19">
        <v>10000.83333333333</v>
      </c>
      <c r="EF19">
        <v>0</v>
      </c>
      <c r="EG19">
        <v>764.93433333333326</v>
      </c>
      <c r="EH19">
        <v>-56.188886666666669</v>
      </c>
      <c r="EI19">
        <v>436.18713333333341</v>
      </c>
      <c r="EJ19">
        <v>490.4325</v>
      </c>
      <c r="EK19">
        <v>8.1148923333333336</v>
      </c>
      <c r="EL19">
        <v>476.00116666666662</v>
      </c>
      <c r="EM19">
        <v>29.425813333333341</v>
      </c>
      <c r="EN19">
        <v>3.657226333333333</v>
      </c>
      <c r="EO19">
        <v>2.866671333333334</v>
      </c>
      <c r="EP19">
        <v>27.367876666666671</v>
      </c>
      <c r="EQ19">
        <v>23.273096666666671</v>
      </c>
      <c r="ER19">
        <v>1599.971666666667</v>
      </c>
      <c r="ES19">
        <v>0.99399763333333346</v>
      </c>
      <c r="ET19">
        <v>6.0022209999999994E-3</v>
      </c>
      <c r="EU19">
        <v>0</v>
      </c>
      <c r="EV19">
        <v>850.04466666666667</v>
      </c>
      <c r="EW19">
        <v>5.0010700000000003</v>
      </c>
      <c r="EX19">
        <v>16613.42333333334</v>
      </c>
      <c r="EY19">
        <v>14578.226666666669</v>
      </c>
      <c r="EZ19">
        <v>43.430799999999977</v>
      </c>
      <c r="FA19">
        <v>44.539266666666663</v>
      </c>
      <c r="FB19">
        <v>44.089299999999987</v>
      </c>
      <c r="FC19">
        <v>44.291233333333317</v>
      </c>
      <c r="FD19">
        <v>45.186999999999983</v>
      </c>
      <c r="FE19">
        <v>1585.4016666666671</v>
      </c>
      <c r="FF19">
        <v>9.5699999999999985</v>
      </c>
      <c r="FG19">
        <v>0</v>
      </c>
      <c r="FH19">
        <v>122.2000000476837</v>
      </c>
      <c r="FI19">
        <v>0</v>
      </c>
      <c r="FJ19">
        <v>849.970411764706</v>
      </c>
      <c r="FK19">
        <v>-0.34362747086666989</v>
      </c>
      <c r="FL19">
        <v>-200.7107895519631</v>
      </c>
      <c r="FM19">
        <v>16605.223529411771</v>
      </c>
      <c r="FN19">
        <v>10</v>
      </c>
      <c r="FO19">
        <v>1782836528.0999999</v>
      </c>
      <c r="FP19" t="s">
        <v>974</v>
      </c>
      <c r="FQ19">
        <v>1782836528.0999999</v>
      </c>
      <c r="FR19">
        <v>1782836522.5999999</v>
      </c>
      <c r="FS19">
        <v>19</v>
      </c>
      <c r="FT19">
        <v>5.8999999999999997E-2</v>
      </c>
      <c r="FU19">
        <v>-3.0000000000000001E-3</v>
      </c>
      <c r="FV19">
        <v>-4.7270000000000003</v>
      </c>
      <c r="FW19">
        <v>0.29899999999999999</v>
      </c>
      <c r="FX19">
        <v>476</v>
      </c>
      <c r="FY19">
        <v>30</v>
      </c>
      <c r="FZ19">
        <v>0.17</v>
      </c>
      <c r="GA19">
        <v>0.04</v>
      </c>
      <c r="GB19">
        <v>-56.110529999999997</v>
      </c>
      <c r="GC19">
        <v>-0.76566754221385946</v>
      </c>
      <c r="GD19">
        <v>0.22050054784512479</v>
      </c>
      <c r="GE19">
        <v>1</v>
      </c>
      <c r="GF19">
        <v>850.1641176470589</v>
      </c>
      <c r="GG19">
        <v>-2.0311993945006059</v>
      </c>
      <c r="GH19">
        <v>0.28360740933506912</v>
      </c>
      <c r="GI19">
        <v>1</v>
      </c>
      <c r="GJ19">
        <v>8.1077897500000002</v>
      </c>
      <c r="GK19">
        <v>8.6215722326435346E-2</v>
      </c>
      <c r="GL19">
        <v>2.846306479347389E-2</v>
      </c>
      <c r="GM19">
        <v>1</v>
      </c>
      <c r="GN19">
        <v>3</v>
      </c>
      <c r="GO19">
        <v>3</v>
      </c>
      <c r="GP19" t="s">
        <v>599</v>
      </c>
      <c r="GQ19">
        <v>3.1326200000000002</v>
      </c>
      <c r="GR19">
        <v>2.7281900000000001</v>
      </c>
      <c r="GS19">
        <v>9.0856800000000001E-2</v>
      </c>
      <c r="GT19">
        <v>9.9774500000000002E-2</v>
      </c>
      <c r="GU19">
        <v>0.15010999999999999</v>
      </c>
      <c r="GV19">
        <v>0.12856600000000001</v>
      </c>
      <c r="GW19">
        <v>22795.1</v>
      </c>
      <c r="GX19">
        <v>30351.7</v>
      </c>
      <c r="GY19">
        <v>27201.599999999999</v>
      </c>
      <c r="GZ19">
        <v>34675.699999999997</v>
      </c>
      <c r="HA19">
        <v>33855.9</v>
      </c>
      <c r="HB19">
        <v>38602</v>
      </c>
      <c r="HC19">
        <v>40159.5</v>
      </c>
      <c r="HD19">
        <v>44376</v>
      </c>
      <c r="HE19">
        <v>1.9601999999999999</v>
      </c>
      <c r="HF19">
        <v>1.7556</v>
      </c>
      <c r="HG19">
        <v>5.0365899999999998E-2</v>
      </c>
      <c r="HH19">
        <v>0</v>
      </c>
      <c r="HI19">
        <v>33.132800000000003</v>
      </c>
      <c r="HJ19">
        <v>999.9</v>
      </c>
      <c r="HK19">
        <v>64.099999999999994</v>
      </c>
      <c r="HL19">
        <v>36</v>
      </c>
      <c r="HM19">
        <v>39.2729</v>
      </c>
      <c r="HN19">
        <v>60.076500000000003</v>
      </c>
      <c r="HO19">
        <v>5.5729100000000003</v>
      </c>
      <c r="HP19">
        <v>1</v>
      </c>
      <c r="HQ19">
        <v>0.61187000000000002</v>
      </c>
      <c r="HR19">
        <v>0</v>
      </c>
      <c r="HS19">
        <v>20.281099999999999</v>
      </c>
      <c r="HT19">
        <v>5.2088999999999999</v>
      </c>
      <c r="HU19">
        <v>11.908099999999999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1.8629500000000001</v>
      </c>
      <c r="ID19">
        <v>1.86243</v>
      </c>
      <c r="IE19">
        <v>1.8620000000000001</v>
      </c>
      <c r="IF19">
        <v>1.8620000000000001</v>
      </c>
      <c r="IG19">
        <v>1.8626400000000001</v>
      </c>
      <c r="IH19">
        <v>1.8635299999999999</v>
      </c>
      <c r="II19">
        <v>1.86145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-4.5359999999999996</v>
      </c>
      <c r="IX19">
        <v>0.53369999999999995</v>
      </c>
      <c r="IY19">
        <v>-2.8091974838896738</v>
      </c>
      <c r="IZ19">
        <v>-4.6713445918306539E-3</v>
      </c>
      <c r="JA19">
        <v>1.452628845961848E-6</v>
      </c>
      <c r="JB19">
        <v>-6.9306854222146279E-11</v>
      </c>
      <c r="JC19">
        <v>-0.24433910809328541</v>
      </c>
      <c r="JD19">
        <v>2.7492919904454862E-4</v>
      </c>
      <c r="JE19">
        <v>8.6739513355948885E-4</v>
      </c>
      <c r="JF19">
        <v>-8.2500691715147318E-6</v>
      </c>
      <c r="JG19">
        <v>18</v>
      </c>
      <c r="JH19">
        <v>1867</v>
      </c>
      <c r="JI19">
        <v>2</v>
      </c>
      <c r="JJ19">
        <v>37</v>
      </c>
      <c r="JK19">
        <v>0.9</v>
      </c>
      <c r="JL19">
        <v>1</v>
      </c>
      <c r="JM19">
        <v>1.1962900000000001</v>
      </c>
      <c r="JN19">
        <v>2.50854</v>
      </c>
      <c r="JO19">
        <v>1.50024</v>
      </c>
      <c r="JP19">
        <v>2.2766099999999998</v>
      </c>
      <c r="JQ19">
        <v>1.4477500000000001</v>
      </c>
      <c r="JR19">
        <v>2.4133300000000002</v>
      </c>
      <c r="JS19">
        <v>40.476500000000001</v>
      </c>
      <c r="JT19">
        <v>15.086399999999999</v>
      </c>
      <c r="JU19">
        <v>18</v>
      </c>
      <c r="JV19">
        <v>546.34199999999998</v>
      </c>
      <c r="JW19">
        <v>426.34</v>
      </c>
      <c r="JX19">
        <v>34.241700000000002</v>
      </c>
      <c r="JY19">
        <v>34.748399999999997</v>
      </c>
      <c r="JZ19">
        <v>30.0001</v>
      </c>
      <c r="KA19">
        <v>34.639000000000003</v>
      </c>
      <c r="KB19">
        <v>34.581400000000002</v>
      </c>
      <c r="KC19">
        <v>23.917100000000001</v>
      </c>
      <c r="KD19">
        <v>38.207599999999999</v>
      </c>
      <c r="KE19">
        <v>97.921199999999999</v>
      </c>
      <c r="KF19">
        <v>-999.9</v>
      </c>
      <c r="KG19">
        <v>476.02199999999999</v>
      </c>
      <c r="KH19">
        <v>29.437200000000001</v>
      </c>
      <c r="KI19">
        <v>100.378</v>
      </c>
      <c r="KJ19">
        <v>99.463899999999995</v>
      </c>
    </row>
    <row r="20" spans="1:296" x14ac:dyDescent="0.3">
      <c r="A20">
        <v>4</v>
      </c>
      <c r="B20">
        <v>1782836705.5999999</v>
      </c>
      <c r="C20">
        <v>399.09999990463263</v>
      </c>
      <c r="D20" t="s">
        <v>975</v>
      </c>
      <c r="E20" t="s">
        <v>976</v>
      </c>
      <c r="F20">
        <v>15</v>
      </c>
      <c r="H20">
        <v>1782836697.849999</v>
      </c>
      <c r="I20">
        <f t="shared" si="0"/>
        <v>6.6838405055539554E-3</v>
      </c>
      <c r="J20">
        <f t="shared" si="1"/>
        <v>6.6838405055539551</v>
      </c>
      <c r="K20">
        <f t="shared" si="2"/>
        <v>42.111178238408648</v>
      </c>
      <c r="L20">
        <f t="shared" si="3"/>
        <v>419.8563666666667</v>
      </c>
      <c r="M20">
        <f t="shared" si="4"/>
        <v>230.27289563582386</v>
      </c>
      <c r="N20">
        <f t="shared" si="5"/>
        <v>22.445092312473946</v>
      </c>
      <c r="O20">
        <f t="shared" si="6"/>
        <v>40.924116934356142</v>
      </c>
      <c r="P20">
        <f t="shared" si="7"/>
        <v>0.3981480667648864</v>
      </c>
      <c r="Q20">
        <f t="shared" si="8"/>
        <v>2.8851021263413674</v>
      </c>
      <c r="R20">
        <f t="shared" si="9"/>
        <v>0.36994894016406699</v>
      </c>
      <c r="S20">
        <f t="shared" si="10"/>
        <v>0.23358501743971055</v>
      </c>
      <c r="T20">
        <f t="shared" si="11"/>
        <v>224.00383364059607</v>
      </c>
      <c r="U20">
        <f t="shared" si="12"/>
        <v>34.323160893034327</v>
      </c>
      <c r="V20">
        <f t="shared" si="13"/>
        <v>33.884553333333344</v>
      </c>
      <c r="W20">
        <f t="shared" si="14"/>
        <v>5.3086992015291834</v>
      </c>
      <c r="X20">
        <f t="shared" si="15"/>
        <v>65.156102692611356</v>
      </c>
      <c r="Y20">
        <f t="shared" si="16"/>
        <v>3.6284180992736581</v>
      </c>
      <c r="Z20">
        <f t="shared" si="17"/>
        <v>5.5688077544962153</v>
      </c>
      <c r="AA20">
        <f t="shared" si="18"/>
        <v>1.6802811022555253</v>
      </c>
      <c r="AB20">
        <f t="shared" si="19"/>
        <v>-294.75736629492945</v>
      </c>
      <c r="AC20">
        <f t="shared" si="20"/>
        <v>133.6890643496242</v>
      </c>
      <c r="AD20">
        <f t="shared" si="21"/>
        <v>10.749668868177913</v>
      </c>
      <c r="AE20">
        <f t="shared" si="22"/>
        <v>73.685200563468726</v>
      </c>
      <c r="AF20">
        <f t="shared" si="23"/>
        <v>42.111178238408648</v>
      </c>
      <c r="AG20">
        <f t="shared" si="24"/>
        <v>6.6838405055539551</v>
      </c>
      <c r="AH20">
        <f t="shared" si="25"/>
        <v>42.266102293650988</v>
      </c>
      <c r="AI20">
        <v>488.13023132687618</v>
      </c>
      <c r="AJ20">
        <v>436.108903030303</v>
      </c>
      <c r="AK20">
        <v>-4.742247939250735E-2</v>
      </c>
      <c r="AL20">
        <v>67.086454412587074</v>
      </c>
      <c r="AM20">
        <f t="shared" si="26"/>
        <v>6.6043533550196392</v>
      </c>
      <c r="AN20">
        <v>29.454542597667491</v>
      </c>
      <c r="AO20">
        <v>37.171639393939387</v>
      </c>
      <c r="AP20">
        <v>-1.446338963429189E-2</v>
      </c>
      <c r="AQ20">
        <v>78.232699219547172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50250.189955937713</v>
      </c>
      <c r="AW20" t="s">
        <v>965</v>
      </c>
      <c r="AX20">
        <v>5108.9799999999996</v>
      </c>
      <c r="AY20">
        <v>586.62058823529424</v>
      </c>
      <c r="AZ20">
        <v>2589.38</v>
      </c>
      <c r="BA20">
        <f t="shared" si="30"/>
        <v>0.77345133266060051</v>
      </c>
      <c r="BB20">
        <v>-3.628501447085184</v>
      </c>
      <c r="BC20" t="s">
        <v>977</v>
      </c>
      <c r="BD20">
        <v>5090.87</v>
      </c>
      <c r="BE20">
        <v>853.17076470588233</v>
      </c>
      <c r="BF20">
        <v>1152.23</v>
      </c>
      <c r="BG20">
        <f t="shared" si="31"/>
        <v>0.2595482111159384</v>
      </c>
      <c r="BH20">
        <v>0.5</v>
      </c>
      <c r="BI20">
        <f t="shared" si="32"/>
        <v>1176.2888601246614</v>
      </c>
      <c r="BJ20">
        <f t="shared" si="33"/>
        <v>42.111178238408648</v>
      </c>
      <c r="BK20">
        <f t="shared" si="34"/>
        <v>152.65183470048106</v>
      </c>
      <c r="BL20">
        <f t="shared" si="35"/>
        <v>3.8884734214558833E-2</v>
      </c>
      <c r="BM20">
        <f t="shared" si="36"/>
        <v>1.2472770193450962</v>
      </c>
      <c r="BN20">
        <f t="shared" si="37"/>
        <v>457.3793789564283</v>
      </c>
      <c r="BO20" t="s">
        <v>407</v>
      </c>
      <c r="BP20">
        <v>0</v>
      </c>
      <c r="BQ20">
        <f t="shared" si="38"/>
        <v>457.3793789564283</v>
      </c>
      <c r="BR20">
        <f t="shared" si="39"/>
        <v>0.60304854156164289</v>
      </c>
      <c r="BS20">
        <f t="shared" si="40"/>
        <v>0.43039356407996177</v>
      </c>
      <c r="BT20">
        <f t="shared" si="41"/>
        <v>0.67408516949518704</v>
      </c>
      <c r="BU20">
        <f t="shared" si="42"/>
        <v>0.52873808156948898</v>
      </c>
      <c r="BV20">
        <f t="shared" si="43"/>
        <v>0.7175849438319073</v>
      </c>
      <c r="BW20">
        <f t="shared" si="44"/>
        <v>0.23073123129529499</v>
      </c>
      <c r="BX20">
        <f t="shared" si="45"/>
        <v>0.76926876870470506</v>
      </c>
      <c r="DG20">
        <f t="shared" si="46"/>
        <v>1399.9956666666669</v>
      </c>
      <c r="DH20">
        <f t="shared" si="47"/>
        <v>1176.2888601246614</v>
      </c>
      <c r="DI20">
        <f t="shared" si="48"/>
        <v>0.84020892930715818</v>
      </c>
      <c r="DJ20">
        <f t="shared" si="49"/>
        <v>0.16000323356281534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1782836697.849999</v>
      </c>
      <c r="DQ20">
        <v>419.8563666666667</v>
      </c>
      <c r="DR20">
        <v>473.7596666666667</v>
      </c>
      <c r="DS20">
        <v>37.22534666666666</v>
      </c>
      <c r="DT20">
        <v>29.502966666666659</v>
      </c>
      <c r="DU20">
        <v>424.46479999999991</v>
      </c>
      <c r="DV20">
        <v>36.698413333333328</v>
      </c>
      <c r="DW20">
        <v>499.97789999999998</v>
      </c>
      <c r="DX20">
        <v>97.421183333333332</v>
      </c>
      <c r="DY20">
        <v>5.0524096666666671E-2</v>
      </c>
      <c r="DZ20">
        <v>34.744059999999998</v>
      </c>
      <c r="EA20">
        <v>33.884553333333344</v>
      </c>
      <c r="EB20">
        <v>999.9000000000002</v>
      </c>
      <c r="EC20">
        <v>0</v>
      </c>
      <c r="ED20">
        <v>0</v>
      </c>
      <c r="EE20">
        <v>10006.83333333333</v>
      </c>
      <c r="EF20">
        <v>0</v>
      </c>
      <c r="EG20">
        <v>805.55783333333341</v>
      </c>
      <c r="EH20">
        <v>-53.903183333333331</v>
      </c>
      <c r="EI20">
        <v>436.0899</v>
      </c>
      <c r="EJ20">
        <v>488.16163333333338</v>
      </c>
      <c r="EK20">
        <v>7.7223726666666668</v>
      </c>
      <c r="EL20">
        <v>473.7596666666667</v>
      </c>
      <c r="EM20">
        <v>29.502966666666659</v>
      </c>
      <c r="EN20">
        <v>3.626538</v>
      </c>
      <c r="EO20">
        <v>2.874215</v>
      </c>
      <c r="EP20">
        <v>27.22406333333333</v>
      </c>
      <c r="EQ20">
        <v>23.316563333333342</v>
      </c>
      <c r="ER20">
        <v>1399.9956666666669</v>
      </c>
      <c r="ES20">
        <v>0.99300826666666675</v>
      </c>
      <c r="ET20">
        <v>6.9917879999999996E-3</v>
      </c>
      <c r="EU20">
        <v>0</v>
      </c>
      <c r="EV20">
        <v>853.17093333333321</v>
      </c>
      <c r="EW20">
        <v>5.0010700000000003</v>
      </c>
      <c r="EX20">
        <v>14891.19</v>
      </c>
      <c r="EY20">
        <v>12745.49666666667</v>
      </c>
      <c r="EZ20">
        <v>43</v>
      </c>
      <c r="FA20">
        <v>44.314099999999968</v>
      </c>
      <c r="FB20">
        <v>43.847699999999989</v>
      </c>
      <c r="FC20">
        <v>44.120800000000003</v>
      </c>
      <c r="FD20">
        <v>44.875</v>
      </c>
      <c r="FE20">
        <v>1385.2439999999999</v>
      </c>
      <c r="FF20">
        <v>9.75</v>
      </c>
      <c r="FG20">
        <v>0</v>
      </c>
      <c r="FH20">
        <v>122.5999999046326</v>
      </c>
      <c r="FI20">
        <v>0</v>
      </c>
      <c r="FJ20">
        <v>853.17076470588233</v>
      </c>
      <c r="FK20">
        <v>-0.35857835732551741</v>
      </c>
      <c r="FL20">
        <v>250.90686410652231</v>
      </c>
      <c r="FM20">
        <v>14903.694117647059</v>
      </c>
      <c r="FN20">
        <v>10</v>
      </c>
      <c r="FO20">
        <v>1782836650.5999999</v>
      </c>
      <c r="FP20" t="s">
        <v>978</v>
      </c>
      <c r="FQ20">
        <v>1782836648.5999999</v>
      </c>
      <c r="FR20">
        <v>1782836650.5999999</v>
      </c>
      <c r="FS20">
        <v>20</v>
      </c>
      <c r="FT20">
        <v>-7.2999999999999995E-2</v>
      </c>
      <c r="FU20">
        <v>1E-3</v>
      </c>
      <c r="FV20">
        <v>-4.7930000000000001</v>
      </c>
      <c r="FW20">
        <v>0.3</v>
      </c>
      <c r="FX20">
        <v>474</v>
      </c>
      <c r="FY20">
        <v>30</v>
      </c>
      <c r="FZ20">
        <v>0.12</v>
      </c>
      <c r="GA20">
        <v>0.05</v>
      </c>
      <c r="GB20">
        <v>-53.852653658536603</v>
      </c>
      <c r="GC20">
        <v>-0.48957491289223032</v>
      </c>
      <c r="GD20">
        <v>0.21198521013477209</v>
      </c>
      <c r="GE20">
        <v>1</v>
      </c>
      <c r="GF20">
        <v>853.21173529411772</v>
      </c>
      <c r="GG20">
        <v>-0.46809778006890468</v>
      </c>
      <c r="GH20">
        <v>0.27472374453829929</v>
      </c>
      <c r="GI20">
        <v>1</v>
      </c>
      <c r="GJ20">
        <v>7.700226097560976</v>
      </c>
      <c r="GK20">
        <v>0.38756508710802451</v>
      </c>
      <c r="GL20">
        <v>6.0915478223600959E-2</v>
      </c>
      <c r="GM20">
        <v>1</v>
      </c>
      <c r="GN20">
        <v>3</v>
      </c>
      <c r="GO20">
        <v>3</v>
      </c>
      <c r="GP20" t="s">
        <v>599</v>
      </c>
      <c r="GQ20">
        <v>3.1333099999999998</v>
      </c>
      <c r="GR20">
        <v>2.72716</v>
      </c>
      <c r="GS20">
        <v>9.0883000000000005E-2</v>
      </c>
      <c r="GT20">
        <v>9.9363900000000005E-2</v>
      </c>
      <c r="GU20">
        <v>0.149253</v>
      </c>
      <c r="GV20">
        <v>0.128803</v>
      </c>
      <c r="GW20">
        <v>22794.7</v>
      </c>
      <c r="GX20">
        <v>30368.6</v>
      </c>
      <c r="GY20">
        <v>27201.8</v>
      </c>
      <c r="GZ20">
        <v>34679.1</v>
      </c>
      <c r="HA20">
        <v>33890.1</v>
      </c>
      <c r="HB20">
        <v>38594.699999999997</v>
      </c>
      <c r="HC20">
        <v>40159.800000000003</v>
      </c>
      <c r="HD20">
        <v>44379.8</v>
      </c>
      <c r="HE20">
        <v>1.9621999999999999</v>
      </c>
      <c r="HF20">
        <v>1.7527999999999999</v>
      </c>
      <c r="HG20">
        <v>5.4568100000000001E-2</v>
      </c>
      <c r="HH20">
        <v>0</v>
      </c>
      <c r="HI20">
        <v>33.023499999999999</v>
      </c>
      <c r="HJ20">
        <v>999.9</v>
      </c>
      <c r="HK20">
        <v>63.6</v>
      </c>
      <c r="HL20">
        <v>36.1</v>
      </c>
      <c r="HM20">
        <v>39.185699999999997</v>
      </c>
      <c r="HN20">
        <v>59.746499999999997</v>
      </c>
      <c r="HO20">
        <v>5.5528899999999997</v>
      </c>
      <c r="HP20">
        <v>1</v>
      </c>
      <c r="HQ20">
        <v>0.60989800000000005</v>
      </c>
      <c r="HR20">
        <v>0</v>
      </c>
      <c r="HS20">
        <v>20.282699999999998</v>
      </c>
      <c r="HT20">
        <v>5.2077099999999996</v>
      </c>
      <c r="HU20">
        <v>11.9069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1.86243</v>
      </c>
      <c r="IE20">
        <v>1.86191</v>
      </c>
      <c r="IF20">
        <v>1.86191</v>
      </c>
      <c r="IG20">
        <v>1.8626100000000001</v>
      </c>
      <c r="IH20">
        <v>1.8634299999999999</v>
      </c>
      <c r="II20">
        <v>1.86145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-4.609</v>
      </c>
      <c r="IX20">
        <v>0.52490000000000003</v>
      </c>
      <c r="IY20">
        <v>-2.882122995490223</v>
      </c>
      <c r="IZ20">
        <v>-4.6713445918306539E-3</v>
      </c>
      <c r="JA20">
        <v>1.452628845961848E-6</v>
      </c>
      <c r="JB20">
        <v>-6.9306854222146279E-11</v>
      </c>
      <c r="JC20">
        <v>-0.2435889371188186</v>
      </c>
      <c r="JD20">
        <v>2.7492919904454862E-4</v>
      </c>
      <c r="JE20">
        <v>8.6739513355948885E-4</v>
      </c>
      <c r="JF20">
        <v>-8.2500691715147318E-6</v>
      </c>
      <c r="JG20">
        <v>18</v>
      </c>
      <c r="JH20">
        <v>1867</v>
      </c>
      <c r="JI20">
        <v>2</v>
      </c>
      <c r="JJ20">
        <v>37</v>
      </c>
      <c r="JK20">
        <v>0.9</v>
      </c>
      <c r="JL20">
        <v>0.9</v>
      </c>
      <c r="JM20">
        <v>1.1926300000000001</v>
      </c>
      <c r="JN20">
        <v>2.52563</v>
      </c>
      <c r="JO20">
        <v>1.50024</v>
      </c>
      <c r="JP20">
        <v>2.2741699999999998</v>
      </c>
      <c r="JQ20">
        <v>1.4477500000000001</v>
      </c>
      <c r="JR20">
        <v>2.2888199999999999</v>
      </c>
      <c r="JS20">
        <v>40.578699999999998</v>
      </c>
      <c r="JT20">
        <v>15.0602</v>
      </c>
      <c r="JU20">
        <v>18</v>
      </c>
      <c r="JV20">
        <v>547.80100000000004</v>
      </c>
      <c r="JW20">
        <v>424.73500000000001</v>
      </c>
      <c r="JX20">
        <v>34.176200000000001</v>
      </c>
      <c r="JY20">
        <v>34.732599999999998</v>
      </c>
      <c r="JZ20">
        <v>30</v>
      </c>
      <c r="KA20">
        <v>34.652799999999999</v>
      </c>
      <c r="KB20">
        <v>34.600099999999998</v>
      </c>
      <c r="KC20">
        <v>23.85</v>
      </c>
      <c r="KD20">
        <v>37.535400000000003</v>
      </c>
      <c r="KE20">
        <v>95.128200000000007</v>
      </c>
      <c r="KF20">
        <v>-999.9</v>
      </c>
      <c r="KG20">
        <v>473.73899999999998</v>
      </c>
      <c r="KH20">
        <v>29.576699999999999</v>
      </c>
      <c r="KI20">
        <v>100.379</v>
      </c>
      <c r="KJ20">
        <v>99.472999999999999</v>
      </c>
    </row>
    <row r="21" spans="1:296" x14ac:dyDescent="0.3">
      <c r="A21">
        <v>5</v>
      </c>
      <c r="B21">
        <v>1782836868.0999999</v>
      </c>
      <c r="C21">
        <v>561.59999990463257</v>
      </c>
      <c r="D21" t="s">
        <v>979</v>
      </c>
      <c r="E21" t="s">
        <v>980</v>
      </c>
      <c r="F21">
        <v>15</v>
      </c>
      <c r="H21">
        <v>1782836860.099999</v>
      </c>
      <c r="I21">
        <f t="shared" si="0"/>
        <v>6.1708590797196977E-3</v>
      </c>
      <c r="J21">
        <f t="shared" si="1"/>
        <v>6.1708590797196976</v>
      </c>
      <c r="K21">
        <f t="shared" si="2"/>
        <v>38.123987708456134</v>
      </c>
      <c r="L21">
        <f t="shared" si="3"/>
        <v>419.79941935483868</v>
      </c>
      <c r="M21">
        <f t="shared" si="4"/>
        <v>230.59947875549881</v>
      </c>
      <c r="N21">
        <f t="shared" si="5"/>
        <v>22.476711205458674</v>
      </c>
      <c r="O21">
        <f t="shared" si="6"/>
        <v>40.918177109422217</v>
      </c>
      <c r="P21">
        <f t="shared" si="7"/>
        <v>0.35938850154222485</v>
      </c>
      <c r="Q21">
        <f t="shared" si="8"/>
        <v>2.8854557243849897</v>
      </c>
      <c r="R21">
        <f t="shared" si="9"/>
        <v>0.33624400094370704</v>
      </c>
      <c r="S21">
        <f t="shared" si="10"/>
        <v>0.21210761247732701</v>
      </c>
      <c r="T21">
        <f t="shared" si="11"/>
        <v>176.12833192797416</v>
      </c>
      <c r="U21">
        <f t="shared" si="12"/>
        <v>34.212802015580152</v>
      </c>
      <c r="V21">
        <f t="shared" si="13"/>
        <v>34.002316129032259</v>
      </c>
      <c r="W21">
        <f t="shared" si="14"/>
        <v>5.3437003864575416</v>
      </c>
      <c r="X21">
        <f t="shared" si="15"/>
        <v>65.171536841561178</v>
      </c>
      <c r="Y21">
        <f t="shared" si="16"/>
        <v>3.6372960542273529</v>
      </c>
      <c r="Z21">
        <f t="shared" si="17"/>
        <v>5.5811113723925221</v>
      </c>
      <c r="AA21">
        <f t="shared" si="18"/>
        <v>1.7064043322301887</v>
      </c>
      <c r="AB21">
        <f t="shared" si="19"/>
        <v>-272.13488541563868</v>
      </c>
      <c r="AC21">
        <f t="shared" si="20"/>
        <v>121.57519474176155</v>
      </c>
      <c r="AD21">
        <f t="shared" si="21"/>
        <v>9.7819340621863553</v>
      </c>
      <c r="AE21">
        <f t="shared" si="22"/>
        <v>35.350575316283397</v>
      </c>
      <c r="AF21">
        <f t="shared" si="23"/>
        <v>38.123987708456134</v>
      </c>
      <c r="AG21">
        <f t="shared" si="24"/>
        <v>6.1708590797196976</v>
      </c>
      <c r="AH21">
        <f t="shared" si="25"/>
        <v>38.298707043605916</v>
      </c>
      <c r="AI21">
        <v>483.51800648987</v>
      </c>
      <c r="AJ21">
        <v>435.95801212121188</v>
      </c>
      <c r="AK21">
        <v>3.3563038889085323E-2</v>
      </c>
      <c r="AL21">
        <v>67.086382338595328</v>
      </c>
      <c r="AM21">
        <f t="shared" si="26"/>
        <v>6.1712534133578831</v>
      </c>
      <c r="AN21">
        <v>30.185335748291319</v>
      </c>
      <c r="AO21">
        <v>37.318999999999988</v>
      </c>
      <c r="AP21">
        <v>-7.7032545092276103E-4</v>
      </c>
      <c r="AQ21">
        <v>78.232459956725251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50253.48878754663</v>
      </c>
      <c r="AW21" t="s">
        <v>965</v>
      </c>
      <c r="AX21">
        <v>5108.9799999999996</v>
      </c>
      <c r="AY21">
        <v>586.62058823529424</v>
      </c>
      <c r="AZ21">
        <v>2589.38</v>
      </c>
      <c r="BA21">
        <f t="shared" si="30"/>
        <v>0.77345133266060051</v>
      </c>
      <c r="BB21">
        <v>-3.628501447085184</v>
      </c>
      <c r="BC21" t="s">
        <v>981</v>
      </c>
      <c r="BD21">
        <v>5095.01</v>
      </c>
      <c r="BE21">
        <v>876.32741176470586</v>
      </c>
      <c r="BF21">
        <v>1281.7</v>
      </c>
      <c r="BG21">
        <f t="shared" si="31"/>
        <v>0.31627727879792011</v>
      </c>
      <c r="BH21">
        <v>0.5</v>
      </c>
      <c r="BI21">
        <f t="shared" si="32"/>
        <v>924.27957067971238</v>
      </c>
      <c r="BJ21">
        <f t="shared" si="33"/>
        <v>38.123987708456134</v>
      </c>
      <c r="BK21">
        <f t="shared" si="34"/>
        <v>146.16431373154464</v>
      </c>
      <c r="BL21">
        <f t="shared" si="35"/>
        <v>4.5173008773564761E-2</v>
      </c>
      <c r="BM21">
        <f t="shared" si="36"/>
        <v>1.0202699539673872</v>
      </c>
      <c r="BN21">
        <f t="shared" si="37"/>
        <v>476.48537762597641</v>
      </c>
      <c r="BO21" t="s">
        <v>407</v>
      </c>
      <c r="BP21">
        <v>0</v>
      </c>
      <c r="BQ21">
        <f t="shared" si="38"/>
        <v>476.48537762597641</v>
      </c>
      <c r="BR21">
        <f t="shared" si="39"/>
        <v>0.62823954308654417</v>
      </c>
      <c r="BS21">
        <f t="shared" si="40"/>
        <v>0.50343421116736486</v>
      </c>
      <c r="BT21">
        <f t="shared" si="41"/>
        <v>0.61890450482130821</v>
      </c>
      <c r="BU21">
        <f t="shared" si="42"/>
        <v>0.58320327343045886</v>
      </c>
      <c r="BV21">
        <f t="shared" si="43"/>
        <v>0.65293913603319653</v>
      </c>
      <c r="BW21">
        <f t="shared" si="44"/>
        <v>0.27373221126891439</v>
      </c>
      <c r="BX21">
        <f t="shared" si="45"/>
        <v>0.72626778873108555</v>
      </c>
      <c r="DG21">
        <f t="shared" si="46"/>
        <v>1099.980322580645</v>
      </c>
      <c r="DH21">
        <f t="shared" si="47"/>
        <v>924.27957067971238</v>
      </c>
      <c r="DI21">
        <f t="shared" si="48"/>
        <v>0.84026918637169434</v>
      </c>
      <c r="DJ21">
        <f t="shared" si="49"/>
        <v>0.16011952969736995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1782836860.099999</v>
      </c>
      <c r="DQ21">
        <v>419.79941935483868</v>
      </c>
      <c r="DR21">
        <v>468.65641935483859</v>
      </c>
      <c r="DS21">
        <v>37.316783870967747</v>
      </c>
      <c r="DT21">
        <v>30.188145161290329</v>
      </c>
      <c r="DU21">
        <v>424.39077419354828</v>
      </c>
      <c r="DV21">
        <v>36.789783870967739</v>
      </c>
      <c r="DW21">
        <v>500.00422580645159</v>
      </c>
      <c r="DX21">
        <v>97.42115161290323</v>
      </c>
      <c r="DY21">
        <v>4.9629009677419338E-2</v>
      </c>
      <c r="DZ21">
        <v>34.783845161290323</v>
      </c>
      <c r="EA21">
        <v>34.002316129032259</v>
      </c>
      <c r="EB21">
        <v>999.90000000000032</v>
      </c>
      <c r="EC21">
        <v>0</v>
      </c>
      <c r="ED21">
        <v>0</v>
      </c>
      <c r="EE21">
        <v>10008.870967741939</v>
      </c>
      <c r="EF21">
        <v>0</v>
      </c>
      <c r="EG21">
        <v>1051.9387419354839</v>
      </c>
      <c r="EH21">
        <v>-48.856980645161293</v>
      </c>
      <c r="EI21">
        <v>436.07225806451612</v>
      </c>
      <c r="EJ21">
        <v>483.24470967741928</v>
      </c>
      <c r="EK21">
        <v>7.1286445161290333</v>
      </c>
      <c r="EL21">
        <v>468.65641935483859</v>
      </c>
      <c r="EM21">
        <v>30.188145161290329</v>
      </c>
      <c r="EN21">
        <v>3.6354438709677419</v>
      </c>
      <c r="EO21">
        <v>2.9409632258064522</v>
      </c>
      <c r="EP21">
        <v>27.265929032258072</v>
      </c>
      <c r="EQ21">
        <v>23.69738709677419</v>
      </c>
      <c r="ER21">
        <v>1099.980322580645</v>
      </c>
      <c r="ES21">
        <v>0.99098983870967772</v>
      </c>
      <c r="ET21">
        <v>9.0100690322580633E-3</v>
      </c>
      <c r="EU21">
        <v>0</v>
      </c>
      <c r="EV21">
        <v>876.25758064516117</v>
      </c>
      <c r="EW21">
        <v>5.0010700000000003</v>
      </c>
      <c r="EX21">
        <v>13059.206451612899</v>
      </c>
      <c r="EY21">
        <v>9996.5316129032253</v>
      </c>
      <c r="EZ21">
        <v>42.436999999999983</v>
      </c>
      <c r="FA21">
        <v>44.258000000000003</v>
      </c>
      <c r="FB21">
        <v>43.5</v>
      </c>
      <c r="FC21">
        <v>44.061999999999969</v>
      </c>
      <c r="FD21">
        <v>44.5</v>
      </c>
      <c r="FE21">
        <v>1085.1103225806451</v>
      </c>
      <c r="FF21">
        <v>9.870000000000001</v>
      </c>
      <c r="FG21">
        <v>0</v>
      </c>
      <c r="FH21">
        <v>161.5</v>
      </c>
      <c r="FI21">
        <v>0</v>
      </c>
      <c r="FJ21">
        <v>876.32741176470586</v>
      </c>
      <c r="FK21">
        <v>1.50122550274957</v>
      </c>
      <c r="FL21">
        <v>2745.980385302008</v>
      </c>
      <c r="FM21">
        <v>13142.45882352941</v>
      </c>
      <c r="FN21">
        <v>10</v>
      </c>
      <c r="FO21">
        <v>1782836825.5999999</v>
      </c>
      <c r="FP21" t="s">
        <v>982</v>
      </c>
      <c r="FQ21">
        <v>1782836822.0999999</v>
      </c>
      <c r="FR21">
        <v>1782836825.5999999</v>
      </c>
      <c r="FS21">
        <v>21</v>
      </c>
      <c r="FT21">
        <v>1.7000000000000001E-2</v>
      </c>
      <c r="FU21">
        <v>-3.0000000000000001E-3</v>
      </c>
      <c r="FV21">
        <v>-4.76</v>
      </c>
      <c r="FW21">
        <v>0.313</v>
      </c>
      <c r="FX21">
        <v>469</v>
      </c>
      <c r="FY21">
        <v>30</v>
      </c>
      <c r="FZ21">
        <v>0.16</v>
      </c>
      <c r="GA21">
        <v>0.03</v>
      </c>
      <c r="GB21">
        <v>-48.895130000000002</v>
      </c>
      <c r="GC21">
        <v>-0.89506491557213053</v>
      </c>
      <c r="GD21">
        <v>0.38979818958019741</v>
      </c>
      <c r="GE21">
        <v>1</v>
      </c>
      <c r="GF21">
        <v>876.09973529411775</v>
      </c>
      <c r="GG21">
        <v>2.7036363717448579</v>
      </c>
      <c r="GH21">
        <v>0.34045102514023728</v>
      </c>
      <c r="GI21">
        <v>1</v>
      </c>
      <c r="GJ21">
        <v>7.13438075</v>
      </c>
      <c r="GK21">
        <v>-0.104834183864932</v>
      </c>
      <c r="GL21">
        <v>1.217264625862024E-2</v>
      </c>
      <c r="GM21">
        <v>1</v>
      </c>
      <c r="GN21">
        <v>3</v>
      </c>
      <c r="GO21">
        <v>3</v>
      </c>
      <c r="GP21" t="s">
        <v>599</v>
      </c>
      <c r="GQ21">
        <v>3.1339299999999999</v>
      </c>
      <c r="GR21">
        <v>2.7256</v>
      </c>
      <c r="GS21">
        <v>9.0809000000000001E-2</v>
      </c>
      <c r="GT21">
        <v>9.8628099999999996E-2</v>
      </c>
      <c r="GU21">
        <v>0.14968500000000001</v>
      </c>
      <c r="GV21">
        <v>0.13090499999999999</v>
      </c>
      <c r="GW21">
        <v>22795.7</v>
      </c>
      <c r="GX21">
        <v>30392.5</v>
      </c>
      <c r="GY21">
        <v>27200.9</v>
      </c>
      <c r="GZ21">
        <v>34678.199999999997</v>
      </c>
      <c r="HA21">
        <v>33872.9</v>
      </c>
      <c r="HB21">
        <v>38500.400000000001</v>
      </c>
      <c r="HC21">
        <v>40159.5</v>
      </c>
      <c r="HD21">
        <v>44378.5</v>
      </c>
      <c r="HE21">
        <v>1.9614</v>
      </c>
      <c r="HF21">
        <v>1.7524</v>
      </c>
      <c r="HG21">
        <v>4.6193600000000001E-2</v>
      </c>
      <c r="HH21">
        <v>0</v>
      </c>
      <c r="HI21">
        <v>33.263500000000001</v>
      </c>
      <c r="HJ21">
        <v>999.9</v>
      </c>
      <c r="HK21">
        <v>63.3</v>
      </c>
      <c r="HL21">
        <v>36.200000000000003</v>
      </c>
      <c r="HM21">
        <v>39.209899999999998</v>
      </c>
      <c r="HN21">
        <v>60.036499999999997</v>
      </c>
      <c r="HO21">
        <v>5.6931099999999999</v>
      </c>
      <c r="HP21">
        <v>1</v>
      </c>
      <c r="HQ21">
        <v>0.61256100000000002</v>
      </c>
      <c r="HR21">
        <v>0</v>
      </c>
      <c r="HS21">
        <v>20.2852</v>
      </c>
      <c r="HT21">
        <v>5.2112999999999996</v>
      </c>
      <c r="HU21">
        <v>11.908099999999999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1.8629500000000001</v>
      </c>
      <c r="ID21">
        <v>1.86249</v>
      </c>
      <c r="IE21">
        <v>1.8619399999999999</v>
      </c>
      <c r="IF21">
        <v>1.8620000000000001</v>
      </c>
      <c r="IG21">
        <v>1.8626400000000001</v>
      </c>
      <c r="IH21">
        <v>1.8634299999999999</v>
      </c>
      <c r="II21">
        <v>1.86154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-4.5910000000000002</v>
      </c>
      <c r="IX21">
        <v>0.52710000000000001</v>
      </c>
      <c r="IY21">
        <v>-2.8652456154612218</v>
      </c>
      <c r="IZ21">
        <v>-4.6713445918306539E-3</v>
      </c>
      <c r="JA21">
        <v>1.452628845961848E-6</v>
      </c>
      <c r="JB21">
        <v>-6.9306854222146279E-11</v>
      </c>
      <c r="JC21">
        <v>-0.2463193884044805</v>
      </c>
      <c r="JD21">
        <v>2.7492919904454862E-4</v>
      </c>
      <c r="JE21">
        <v>8.6739513355948885E-4</v>
      </c>
      <c r="JF21">
        <v>-8.2500691715147318E-6</v>
      </c>
      <c r="JG21">
        <v>18</v>
      </c>
      <c r="JH21">
        <v>1867</v>
      </c>
      <c r="JI21">
        <v>2</v>
      </c>
      <c r="JJ21">
        <v>37</v>
      </c>
      <c r="JK21">
        <v>0.8</v>
      </c>
      <c r="JL21">
        <v>0.7</v>
      </c>
      <c r="JM21">
        <v>1.18408</v>
      </c>
      <c r="JN21">
        <v>2.5134300000000001</v>
      </c>
      <c r="JO21">
        <v>1.50024</v>
      </c>
      <c r="JP21">
        <v>2.2741699999999998</v>
      </c>
      <c r="JQ21">
        <v>1.4477500000000001</v>
      </c>
      <c r="JR21">
        <v>2.4438499999999999</v>
      </c>
      <c r="JS21">
        <v>40.783700000000003</v>
      </c>
      <c r="JT21">
        <v>15.051399999999999</v>
      </c>
      <c r="JU21">
        <v>18</v>
      </c>
      <c r="JV21">
        <v>547.59</v>
      </c>
      <c r="JW21">
        <v>424.79700000000003</v>
      </c>
      <c r="JX21">
        <v>34.276899999999998</v>
      </c>
      <c r="JY21">
        <v>34.767400000000002</v>
      </c>
      <c r="JZ21">
        <v>30.000299999999999</v>
      </c>
      <c r="KA21">
        <v>34.692399999999999</v>
      </c>
      <c r="KB21">
        <v>34.646999999999998</v>
      </c>
      <c r="KC21">
        <v>23.692399999999999</v>
      </c>
      <c r="KD21">
        <v>36.345999999999997</v>
      </c>
      <c r="KE21">
        <v>92.385000000000005</v>
      </c>
      <c r="KF21">
        <v>-999.9</v>
      </c>
      <c r="KG21">
        <v>469.14</v>
      </c>
      <c r="KH21">
        <v>30.222999999999999</v>
      </c>
      <c r="KI21">
        <v>100.377</v>
      </c>
      <c r="KJ21">
        <v>99.470200000000006</v>
      </c>
    </row>
    <row r="22" spans="1:296" x14ac:dyDescent="0.3">
      <c r="A22">
        <v>6</v>
      </c>
      <c r="B22">
        <v>1782837002.0999999</v>
      </c>
      <c r="C22">
        <v>695.59999990463257</v>
      </c>
      <c r="D22" t="s">
        <v>983</v>
      </c>
      <c r="E22" t="s">
        <v>984</v>
      </c>
      <c r="F22">
        <v>15</v>
      </c>
      <c r="H22">
        <v>1782836994.349999</v>
      </c>
      <c r="I22">
        <f t="shared" si="0"/>
        <v>6.3129785216792331E-3</v>
      </c>
      <c r="J22">
        <f t="shared" si="1"/>
        <v>6.3129785216792333</v>
      </c>
      <c r="K22">
        <f t="shared" si="2"/>
        <v>37.112635413841438</v>
      </c>
      <c r="L22">
        <f t="shared" si="3"/>
        <v>419.8028333333333</v>
      </c>
      <c r="M22">
        <f t="shared" si="4"/>
        <v>235.00313881409932</v>
      </c>
      <c r="N22">
        <f t="shared" si="5"/>
        <v>22.904427981340078</v>
      </c>
      <c r="O22">
        <f t="shared" si="6"/>
        <v>40.915809937552034</v>
      </c>
      <c r="P22">
        <f t="shared" si="7"/>
        <v>0.35922539772382445</v>
      </c>
      <c r="Q22">
        <f t="shared" si="8"/>
        <v>2.884001090864178</v>
      </c>
      <c r="R22">
        <f t="shared" si="9"/>
        <v>0.3360903173883138</v>
      </c>
      <c r="S22">
        <f t="shared" si="10"/>
        <v>0.2120107586475509</v>
      </c>
      <c r="T22">
        <f t="shared" si="11"/>
        <v>160.17627095155456</v>
      </c>
      <c r="U22">
        <f t="shared" si="12"/>
        <v>34.299246741459356</v>
      </c>
      <c r="V22">
        <f t="shared" si="13"/>
        <v>34.263159999999999</v>
      </c>
      <c r="W22">
        <f t="shared" si="14"/>
        <v>5.4219431023462432</v>
      </c>
      <c r="X22">
        <f t="shared" si="15"/>
        <v>65.082889233233914</v>
      </c>
      <c r="Y22">
        <f t="shared" si="16"/>
        <v>3.6766661625949735</v>
      </c>
      <c r="Z22">
        <f t="shared" si="17"/>
        <v>5.649205506871569</v>
      </c>
      <c r="AA22">
        <f t="shared" si="18"/>
        <v>1.7452769397512697</v>
      </c>
      <c r="AB22">
        <f t="shared" si="19"/>
        <v>-278.40235280605418</v>
      </c>
      <c r="AC22">
        <f t="shared" si="20"/>
        <v>114.9801728549362</v>
      </c>
      <c r="AD22">
        <f t="shared" si="21"/>
        <v>9.2776453518545807</v>
      </c>
      <c r="AE22">
        <f t="shared" si="22"/>
        <v>6.0317363522911478</v>
      </c>
      <c r="AF22">
        <f t="shared" si="23"/>
        <v>37.112635413841438</v>
      </c>
      <c r="AG22">
        <f t="shared" si="24"/>
        <v>6.3129785216792333</v>
      </c>
      <c r="AH22">
        <f t="shared" si="25"/>
        <v>37.133964511359082</v>
      </c>
      <c r="AI22">
        <v>482.33674964080802</v>
      </c>
      <c r="AJ22">
        <v>436.34856363636362</v>
      </c>
      <c r="AK22">
        <v>5.8309417437472149E-3</v>
      </c>
      <c r="AL22">
        <v>67.03536201231482</v>
      </c>
      <c r="AM22">
        <f t="shared" si="26"/>
        <v>6.3434213454420361</v>
      </c>
      <c r="AN22">
        <v>30.43279108469541</v>
      </c>
      <c r="AO22">
        <v>37.749621212121191</v>
      </c>
      <c r="AP22">
        <v>1.3073585295120601E-3</v>
      </c>
      <c r="AQ22">
        <v>78.06807339629529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50177.354260524764</v>
      </c>
      <c r="AW22" t="s">
        <v>965</v>
      </c>
      <c r="AX22">
        <v>5108.9799999999996</v>
      </c>
      <c r="AY22">
        <v>586.62058823529424</v>
      </c>
      <c r="AZ22">
        <v>2589.38</v>
      </c>
      <c r="BA22">
        <f t="shared" si="30"/>
        <v>0.77345133266060051</v>
      </c>
      <c r="BB22">
        <v>-3.628501447085184</v>
      </c>
      <c r="BC22" t="s">
        <v>985</v>
      </c>
      <c r="BD22">
        <v>5096.95</v>
      </c>
      <c r="BE22">
        <v>895.8064117647059</v>
      </c>
      <c r="BF22">
        <v>1356.85</v>
      </c>
      <c r="BG22">
        <f t="shared" si="31"/>
        <v>0.33978965120337112</v>
      </c>
      <c r="BH22">
        <v>0.5</v>
      </c>
      <c r="BI22">
        <f t="shared" si="32"/>
        <v>840.30212007852583</v>
      </c>
      <c r="BJ22">
        <f t="shared" si="33"/>
        <v>37.112635413841438</v>
      </c>
      <c r="BK22">
        <f t="shared" si="34"/>
        <v>142.76298214346778</v>
      </c>
      <c r="BL22">
        <f t="shared" si="35"/>
        <v>4.8483915353110599E-2</v>
      </c>
      <c r="BM22">
        <f t="shared" si="36"/>
        <v>0.90837601798282808</v>
      </c>
      <c r="BN22">
        <f t="shared" si="37"/>
        <v>486.50255737194294</v>
      </c>
      <c r="BO22" t="s">
        <v>407</v>
      </c>
      <c r="BP22">
        <v>0</v>
      </c>
      <c r="BQ22">
        <f t="shared" si="38"/>
        <v>486.50255737194294</v>
      </c>
      <c r="BR22">
        <f t="shared" si="39"/>
        <v>0.64144705945982017</v>
      </c>
      <c r="BS22">
        <f t="shared" si="40"/>
        <v>0.52972360881896796</v>
      </c>
      <c r="BT22">
        <f t="shared" si="41"/>
        <v>0.5861159452353315</v>
      </c>
      <c r="BU22">
        <f t="shared" si="42"/>
        <v>0.59857956758490594</v>
      </c>
      <c r="BV22">
        <f t="shared" si="43"/>
        <v>0.61541590705294558</v>
      </c>
      <c r="BW22">
        <f t="shared" si="44"/>
        <v>0.2876870348394131</v>
      </c>
      <c r="BX22">
        <f t="shared" si="45"/>
        <v>0.71231296516058684</v>
      </c>
      <c r="DG22">
        <f t="shared" si="46"/>
        <v>1000.004666666667</v>
      </c>
      <c r="DH22">
        <f t="shared" si="47"/>
        <v>840.30212007852583</v>
      </c>
      <c r="DI22">
        <f t="shared" si="48"/>
        <v>0.84029819868693167</v>
      </c>
      <c r="DJ22">
        <f t="shared" si="49"/>
        <v>0.16017552346577832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1782836994.349999</v>
      </c>
      <c r="DQ22">
        <v>419.8028333333333</v>
      </c>
      <c r="DR22">
        <v>467.5172</v>
      </c>
      <c r="DS22">
        <v>37.72319000000001</v>
      </c>
      <c r="DT22">
        <v>30.43355</v>
      </c>
      <c r="DU22">
        <v>424.41359999999997</v>
      </c>
      <c r="DV22">
        <v>37.184446666666673</v>
      </c>
      <c r="DW22">
        <v>500.01093333333341</v>
      </c>
      <c r="DX22">
        <v>97.413070000000019</v>
      </c>
      <c r="DY22">
        <v>5.1279186666666671E-2</v>
      </c>
      <c r="DZ22">
        <v>35.00266666666667</v>
      </c>
      <c r="EA22">
        <v>34.263159999999999</v>
      </c>
      <c r="EB22">
        <v>999.9000000000002</v>
      </c>
      <c r="EC22">
        <v>0</v>
      </c>
      <c r="ED22">
        <v>0</v>
      </c>
      <c r="EE22">
        <v>10001.33333333333</v>
      </c>
      <c r="EF22">
        <v>0</v>
      </c>
      <c r="EG22">
        <v>1749.1633333333341</v>
      </c>
      <c r="EH22">
        <v>-47.71432999999999</v>
      </c>
      <c r="EI22">
        <v>436.25993333333332</v>
      </c>
      <c r="EJ22">
        <v>482.19209999999998</v>
      </c>
      <c r="EK22">
        <v>7.2896376666666667</v>
      </c>
      <c r="EL22">
        <v>467.5172</v>
      </c>
      <c r="EM22">
        <v>30.43355</v>
      </c>
      <c r="EN22">
        <v>3.6747316666666672</v>
      </c>
      <c r="EO22">
        <v>2.9646263333333329</v>
      </c>
      <c r="EP22">
        <v>27.449416666666661</v>
      </c>
      <c r="EQ22">
        <v>23.830559999999991</v>
      </c>
      <c r="ER22">
        <v>1000.004666666667</v>
      </c>
      <c r="ES22">
        <v>0.99000919999999981</v>
      </c>
      <c r="ET22">
        <v>9.9903833333333351E-3</v>
      </c>
      <c r="EU22">
        <v>0</v>
      </c>
      <c r="EV22">
        <v>895.62789999999995</v>
      </c>
      <c r="EW22">
        <v>5.0010700000000003</v>
      </c>
      <c r="EX22">
        <v>13909.43666666667</v>
      </c>
      <c r="EY22">
        <v>9080.3566666666666</v>
      </c>
      <c r="EZ22">
        <v>42.25</v>
      </c>
      <c r="FA22">
        <v>44.424599999999977</v>
      </c>
      <c r="FB22">
        <v>43.403933333333327</v>
      </c>
      <c r="FC22">
        <v>44.266533333333321</v>
      </c>
      <c r="FD22">
        <v>44.370800000000003</v>
      </c>
      <c r="FE22">
        <v>985.06333333333316</v>
      </c>
      <c r="FF22">
        <v>9.94</v>
      </c>
      <c r="FG22">
        <v>0</v>
      </c>
      <c r="FH22">
        <v>133.29999995231631</v>
      </c>
      <c r="FI22">
        <v>0</v>
      </c>
      <c r="FJ22">
        <v>895.8064117647059</v>
      </c>
      <c r="FK22">
        <v>3.189705887548679</v>
      </c>
      <c r="FL22">
        <v>1627.450976515704</v>
      </c>
      <c r="FM22">
        <v>14050.3294117647</v>
      </c>
      <c r="FN22">
        <v>10</v>
      </c>
      <c r="FO22">
        <v>1782836947.0999999</v>
      </c>
      <c r="FP22" t="s">
        <v>986</v>
      </c>
      <c r="FQ22">
        <v>1782836943.0999999</v>
      </c>
      <c r="FR22">
        <v>1782836947.0999999</v>
      </c>
      <c r="FS22">
        <v>22</v>
      </c>
      <c r="FT22">
        <v>-1.9E-2</v>
      </c>
      <c r="FU22">
        <v>0</v>
      </c>
      <c r="FV22">
        <v>-4.7729999999999997</v>
      </c>
      <c r="FW22">
        <v>0.32200000000000001</v>
      </c>
      <c r="FX22">
        <v>467</v>
      </c>
      <c r="FY22">
        <v>30</v>
      </c>
      <c r="FZ22">
        <v>0.16</v>
      </c>
      <c r="GA22">
        <v>0.05</v>
      </c>
      <c r="GB22">
        <v>-47.689520000000002</v>
      </c>
      <c r="GC22">
        <v>-0.39097711069401841</v>
      </c>
      <c r="GD22">
        <v>0.13919920294311969</v>
      </c>
      <c r="GE22">
        <v>1</v>
      </c>
      <c r="GF22">
        <v>895.32391176470594</v>
      </c>
      <c r="GG22">
        <v>4.9787165871726682</v>
      </c>
      <c r="GH22">
        <v>0.56316768830935438</v>
      </c>
      <c r="GI22">
        <v>1</v>
      </c>
      <c r="GJ22">
        <v>7.286100499999999</v>
      </c>
      <c r="GK22">
        <v>7.8849230769206982E-2</v>
      </c>
      <c r="GL22">
        <v>9.6993388821094793E-3</v>
      </c>
      <c r="GM22">
        <v>1</v>
      </c>
      <c r="GN22">
        <v>3</v>
      </c>
      <c r="GO22">
        <v>3</v>
      </c>
      <c r="GP22" t="s">
        <v>599</v>
      </c>
      <c r="GQ22">
        <v>3.1334399999999998</v>
      </c>
      <c r="GR22">
        <v>2.7273200000000002</v>
      </c>
      <c r="GS22">
        <v>9.0828900000000004E-2</v>
      </c>
      <c r="GT22">
        <v>9.8425100000000001E-2</v>
      </c>
      <c r="GU22">
        <v>0.15076400000000001</v>
      </c>
      <c r="GV22">
        <v>0.13159999999999999</v>
      </c>
      <c r="GW22">
        <v>22790.2</v>
      </c>
      <c r="GX22">
        <v>30391.4</v>
      </c>
      <c r="GY22">
        <v>27195.7</v>
      </c>
      <c r="GZ22">
        <v>34670.1</v>
      </c>
      <c r="HA22">
        <v>33824.400000000001</v>
      </c>
      <c r="HB22">
        <v>38463</v>
      </c>
      <c r="HC22">
        <v>40151.4</v>
      </c>
      <c r="HD22">
        <v>44370.3</v>
      </c>
      <c r="HE22">
        <v>1.9601999999999999</v>
      </c>
      <c r="HF22">
        <v>1.75</v>
      </c>
      <c r="HG22">
        <v>3.7848899999999998E-2</v>
      </c>
      <c r="HH22">
        <v>0</v>
      </c>
      <c r="HI22">
        <v>33.662999999999997</v>
      </c>
      <c r="HJ22">
        <v>999.9</v>
      </c>
      <c r="HK22">
        <v>63</v>
      </c>
      <c r="HL22">
        <v>36.4</v>
      </c>
      <c r="HM22">
        <v>39.461500000000001</v>
      </c>
      <c r="HN22">
        <v>60.286499999999997</v>
      </c>
      <c r="HO22">
        <v>5.6169900000000004</v>
      </c>
      <c r="HP22">
        <v>1</v>
      </c>
      <c r="HQ22">
        <v>0.62609800000000004</v>
      </c>
      <c r="HR22">
        <v>0</v>
      </c>
      <c r="HS22">
        <v>20.285499999999999</v>
      </c>
      <c r="HT22">
        <v>5.2112999999999996</v>
      </c>
      <c r="HU22">
        <v>11.908099999999999</v>
      </c>
      <c r="HV22">
        <v>4.9836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1.86304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1.8634999999999999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-4.6109999999999998</v>
      </c>
      <c r="IX22">
        <v>0.53939999999999999</v>
      </c>
      <c r="IY22">
        <v>-2.8845040900463288</v>
      </c>
      <c r="IZ22">
        <v>-4.6713445918306539E-3</v>
      </c>
      <c r="JA22">
        <v>1.452628845961848E-6</v>
      </c>
      <c r="JB22">
        <v>-6.9306854222146279E-11</v>
      </c>
      <c r="JC22">
        <v>-0.24664091414017569</v>
      </c>
      <c r="JD22">
        <v>2.7492919904454862E-4</v>
      </c>
      <c r="JE22">
        <v>8.6739513355948885E-4</v>
      </c>
      <c r="JF22">
        <v>-8.2500691715147318E-6</v>
      </c>
      <c r="JG22">
        <v>18</v>
      </c>
      <c r="JH22">
        <v>1867</v>
      </c>
      <c r="JI22">
        <v>2</v>
      </c>
      <c r="JJ22">
        <v>37</v>
      </c>
      <c r="JK22">
        <v>1</v>
      </c>
      <c r="JL22">
        <v>0.9</v>
      </c>
      <c r="JM22">
        <v>1.18164</v>
      </c>
      <c r="JN22">
        <v>2.5134300000000001</v>
      </c>
      <c r="JO22">
        <v>1.50024</v>
      </c>
      <c r="JP22">
        <v>2.2741699999999998</v>
      </c>
      <c r="JQ22">
        <v>1.4477500000000001</v>
      </c>
      <c r="JR22">
        <v>2.4084500000000002</v>
      </c>
      <c r="JS22">
        <v>41.196399999999997</v>
      </c>
      <c r="JT22">
        <v>15.033899999999999</v>
      </c>
      <c r="JU22">
        <v>18</v>
      </c>
      <c r="JV22">
        <v>547.78800000000001</v>
      </c>
      <c r="JW22">
        <v>424.13900000000001</v>
      </c>
      <c r="JX22">
        <v>34.4876</v>
      </c>
      <c r="JY22">
        <v>34.910400000000003</v>
      </c>
      <c r="JZ22">
        <v>30.000800000000002</v>
      </c>
      <c r="KA22">
        <v>34.815300000000001</v>
      </c>
      <c r="KB22">
        <v>34.772300000000001</v>
      </c>
      <c r="KC22">
        <v>23.642399999999999</v>
      </c>
      <c r="KD22">
        <v>36.290100000000002</v>
      </c>
      <c r="KE22">
        <v>90.083699999999993</v>
      </c>
      <c r="KF22">
        <v>-999.9</v>
      </c>
      <c r="KG22">
        <v>467.65600000000001</v>
      </c>
      <c r="KH22">
        <v>30.371200000000002</v>
      </c>
      <c r="KI22">
        <v>100.357</v>
      </c>
      <c r="KJ22">
        <v>99.449600000000004</v>
      </c>
    </row>
    <row r="23" spans="1:296" x14ac:dyDescent="0.3">
      <c r="A23">
        <v>7</v>
      </c>
      <c r="B23">
        <v>1782837131.0999999</v>
      </c>
      <c r="C23">
        <v>824.59999990463257</v>
      </c>
      <c r="D23" t="s">
        <v>987</v>
      </c>
      <c r="E23" t="s">
        <v>988</v>
      </c>
      <c r="F23">
        <v>15</v>
      </c>
      <c r="H23">
        <v>1782837123.099999</v>
      </c>
      <c r="I23">
        <f t="shared" si="0"/>
        <v>6.4421354758011007E-3</v>
      </c>
      <c r="J23">
        <f t="shared" si="1"/>
        <v>6.4421354758011002</v>
      </c>
      <c r="K23">
        <f t="shared" si="2"/>
        <v>32.664465884686507</v>
      </c>
      <c r="L23">
        <f t="shared" si="3"/>
        <v>420.00229032258068</v>
      </c>
      <c r="M23">
        <f t="shared" si="4"/>
        <v>251.84910099073142</v>
      </c>
      <c r="N23">
        <f t="shared" si="5"/>
        <v>24.547781270924286</v>
      </c>
      <c r="O23">
        <f t="shared" si="6"/>
        <v>40.937705616449215</v>
      </c>
      <c r="P23">
        <f t="shared" si="7"/>
        <v>0.35046997694108184</v>
      </c>
      <c r="Q23">
        <f t="shared" si="8"/>
        <v>2.8841317804243336</v>
      </c>
      <c r="R23">
        <f t="shared" si="9"/>
        <v>0.32841268980792726</v>
      </c>
      <c r="S23">
        <f t="shared" si="10"/>
        <v>0.20712390210557047</v>
      </c>
      <c r="T23">
        <f t="shared" si="11"/>
        <v>128.27781790444516</v>
      </c>
      <c r="U23">
        <f t="shared" si="12"/>
        <v>34.50899882812535</v>
      </c>
      <c r="V23">
        <f t="shared" si="13"/>
        <v>34.760438709677423</v>
      </c>
      <c r="W23">
        <f t="shared" si="14"/>
        <v>5.5738700356704554</v>
      </c>
      <c r="X23">
        <f t="shared" si="15"/>
        <v>64.868761103924683</v>
      </c>
      <c r="Y23">
        <f t="shared" si="16"/>
        <v>3.7533785398695803</v>
      </c>
      <c r="Z23">
        <f t="shared" si="17"/>
        <v>5.7861110278588228</v>
      </c>
      <c r="AA23">
        <f t="shared" si="18"/>
        <v>1.8204914958008751</v>
      </c>
      <c r="AB23">
        <f t="shared" si="19"/>
        <v>-284.09817448282854</v>
      </c>
      <c r="AC23">
        <f t="shared" si="20"/>
        <v>105.0059453898938</v>
      </c>
      <c r="AD23">
        <f t="shared" si="21"/>
        <v>8.5109411155193335</v>
      </c>
      <c r="AE23">
        <f t="shared" si="22"/>
        <v>-42.303470072970256</v>
      </c>
      <c r="AF23">
        <f t="shared" si="23"/>
        <v>32.664465884686507</v>
      </c>
      <c r="AG23">
        <f t="shared" si="24"/>
        <v>6.4421354758011002</v>
      </c>
      <c r="AH23">
        <f t="shared" si="25"/>
        <v>32.89333864292832</v>
      </c>
      <c r="AI23">
        <v>477.50434394760867</v>
      </c>
      <c r="AJ23">
        <v>436.75313333333332</v>
      </c>
      <c r="AK23">
        <v>2.5859577546648799E-3</v>
      </c>
      <c r="AL23">
        <v>67.035439752071994</v>
      </c>
      <c r="AM23">
        <f t="shared" si="26"/>
        <v>6.5384199847605222</v>
      </c>
      <c r="AN23">
        <v>31.16472160256254</v>
      </c>
      <c r="AO23">
        <v>38.623064242424249</v>
      </c>
      <c r="AP23">
        <v>1.4293134397627741E-2</v>
      </c>
      <c r="AQ23">
        <v>78.067850105812184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50110.637876195906</v>
      </c>
      <c r="AW23" t="s">
        <v>965</v>
      </c>
      <c r="AX23">
        <v>5108.9799999999996</v>
      </c>
      <c r="AY23">
        <v>586.62058823529424</v>
      </c>
      <c r="AZ23">
        <v>2589.38</v>
      </c>
      <c r="BA23">
        <f t="shared" si="30"/>
        <v>0.77345133266060051</v>
      </c>
      <c r="BB23">
        <v>-3.628501447085184</v>
      </c>
      <c r="BC23" t="s">
        <v>989</v>
      </c>
      <c r="BD23">
        <v>5099.8999999999996</v>
      </c>
      <c r="BE23">
        <v>935.19752941176466</v>
      </c>
      <c r="BF23">
        <v>1527.11</v>
      </c>
      <c r="BG23">
        <f t="shared" si="31"/>
        <v>0.38760303487517944</v>
      </c>
      <c r="BH23">
        <v>0.5</v>
      </c>
      <c r="BI23">
        <f t="shared" si="32"/>
        <v>672.30564610124998</v>
      </c>
      <c r="BJ23">
        <f t="shared" si="33"/>
        <v>32.664465884686507</v>
      </c>
      <c r="BK23">
        <f t="shared" si="34"/>
        <v>130.29385439628143</v>
      </c>
      <c r="BL23">
        <f t="shared" si="35"/>
        <v>5.3982838820761492E-2</v>
      </c>
      <c r="BM23">
        <f t="shared" si="36"/>
        <v>0.69560804395230225</v>
      </c>
      <c r="BN23">
        <f t="shared" si="37"/>
        <v>506.76064652645545</v>
      </c>
      <c r="BO23" t="s">
        <v>407</v>
      </c>
      <c r="BP23">
        <v>0</v>
      </c>
      <c r="BQ23">
        <f t="shared" si="38"/>
        <v>506.76064652645545</v>
      </c>
      <c r="BR23">
        <f t="shared" si="39"/>
        <v>0.66815707674859337</v>
      </c>
      <c r="BS23">
        <f t="shared" si="40"/>
        <v>0.58010765486664495</v>
      </c>
      <c r="BT23">
        <f t="shared" si="41"/>
        <v>0.51006440434170974</v>
      </c>
      <c r="BU23">
        <f t="shared" si="42"/>
        <v>0.6293664374993746</v>
      </c>
      <c r="BV23">
        <f t="shared" si="43"/>
        <v>0.53040319958551319</v>
      </c>
      <c r="BW23">
        <f t="shared" si="44"/>
        <v>0.31434613650024967</v>
      </c>
      <c r="BX23">
        <f t="shared" si="45"/>
        <v>0.68565386349975033</v>
      </c>
      <c r="DG23">
        <f t="shared" si="46"/>
        <v>799.99458064516114</v>
      </c>
      <c r="DH23">
        <f t="shared" si="47"/>
        <v>672.30564610124998</v>
      </c>
      <c r="DI23">
        <f t="shared" si="48"/>
        <v>0.8403877505758407</v>
      </c>
      <c r="DJ23">
        <f t="shared" si="49"/>
        <v>0.16034835861137287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1782837123.099999</v>
      </c>
      <c r="DQ23">
        <v>420.00229032258068</v>
      </c>
      <c r="DR23">
        <v>462.44661290322591</v>
      </c>
      <c r="DS23">
        <v>38.507961290322577</v>
      </c>
      <c r="DT23">
        <v>31.075067741935481</v>
      </c>
      <c r="DU23">
        <v>424.60116129032258</v>
      </c>
      <c r="DV23">
        <v>37.954925806451612</v>
      </c>
      <c r="DW23">
        <v>499.99870967741941</v>
      </c>
      <c r="DX23">
        <v>97.419238709677401</v>
      </c>
      <c r="DY23">
        <v>5.0957429032258077E-2</v>
      </c>
      <c r="DZ23">
        <v>35.435764516129034</v>
      </c>
      <c r="EA23">
        <v>34.760438709677423</v>
      </c>
      <c r="EB23">
        <v>999.90000000000032</v>
      </c>
      <c r="EC23">
        <v>0</v>
      </c>
      <c r="ED23">
        <v>0</v>
      </c>
      <c r="EE23">
        <v>10001.451612903231</v>
      </c>
      <c r="EF23">
        <v>0</v>
      </c>
      <c r="EG23">
        <v>2195.2116129032261</v>
      </c>
      <c r="EH23">
        <v>-42.444345161290322</v>
      </c>
      <c r="EI23">
        <v>436.82348387096778</v>
      </c>
      <c r="EJ23">
        <v>477.27819354838721</v>
      </c>
      <c r="EK23">
        <v>7.4329064516129026</v>
      </c>
      <c r="EL23">
        <v>462.44661290322591</v>
      </c>
      <c r="EM23">
        <v>31.075067741935481</v>
      </c>
      <c r="EN23">
        <v>3.7514174193548389</v>
      </c>
      <c r="EO23">
        <v>3.027308064516129</v>
      </c>
      <c r="EP23">
        <v>27.802696774193549</v>
      </c>
      <c r="EQ23">
        <v>24.178793548387091</v>
      </c>
      <c r="ER23">
        <v>799.99458064516114</v>
      </c>
      <c r="ES23">
        <v>0.98699848387096778</v>
      </c>
      <c r="ET23">
        <v>1.3001716129032261E-2</v>
      </c>
      <c r="EU23">
        <v>0</v>
      </c>
      <c r="EV23">
        <v>934.88416129032271</v>
      </c>
      <c r="EW23">
        <v>5.0010700000000003</v>
      </c>
      <c r="EX23">
        <v>13323.93548387097</v>
      </c>
      <c r="EY23">
        <v>7246.5661290322578</v>
      </c>
      <c r="EZ23">
        <v>42.195129032258052</v>
      </c>
      <c r="FA23">
        <v>44.939129032258037</v>
      </c>
      <c r="FB23">
        <v>43.519999999999982</v>
      </c>
      <c r="FC23">
        <v>44.78599999999998</v>
      </c>
      <c r="FD23">
        <v>44.495935483870973</v>
      </c>
      <c r="FE23">
        <v>784.65774193548361</v>
      </c>
      <c r="FF23">
        <v>10.339999999999989</v>
      </c>
      <c r="FG23">
        <v>0</v>
      </c>
      <c r="FH23">
        <v>128.20000004768369</v>
      </c>
      <c r="FI23">
        <v>0</v>
      </c>
      <c r="FJ23">
        <v>935.19752941176466</v>
      </c>
      <c r="FK23">
        <v>6.7561274715734951</v>
      </c>
      <c r="FL23">
        <v>-134.2157038101316</v>
      </c>
      <c r="FM23">
        <v>13353.582352941179</v>
      </c>
      <c r="FN23">
        <v>10</v>
      </c>
      <c r="FO23">
        <v>1782837088.5999999</v>
      </c>
      <c r="FP23" t="s">
        <v>990</v>
      </c>
      <c r="FQ23">
        <v>1782837088.5999999</v>
      </c>
      <c r="FR23">
        <v>1782837076.5999999</v>
      </c>
      <c r="FS23">
        <v>23</v>
      </c>
      <c r="FT23">
        <v>1.2999999999999999E-2</v>
      </c>
      <c r="FU23">
        <v>-8.9999999999999993E-3</v>
      </c>
      <c r="FV23">
        <v>-4.7469999999999999</v>
      </c>
      <c r="FW23">
        <v>0.318</v>
      </c>
      <c r="FX23">
        <v>463</v>
      </c>
      <c r="FY23">
        <v>31</v>
      </c>
      <c r="FZ23">
        <v>0.2</v>
      </c>
      <c r="GA23">
        <v>0.04</v>
      </c>
      <c r="GB23">
        <v>-42.480407499999998</v>
      </c>
      <c r="GC23">
        <v>-0.64669530956839916</v>
      </c>
      <c r="GD23">
        <v>0.30332947630217227</v>
      </c>
      <c r="GE23">
        <v>1</v>
      </c>
      <c r="GF23">
        <v>934.52002941176477</v>
      </c>
      <c r="GG23">
        <v>7.8876852562248514</v>
      </c>
      <c r="GH23">
        <v>0.80753435495282289</v>
      </c>
      <c r="GI23">
        <v>1</v>
      </c>
      <c r="GJ23">
        <v>7.4463817499999996</v>
      </c>
      <c r="GK23">
        <v>-0.36196041275798818</v>
      </c>
      <c r="GL23">
        <v>7.1473665076288731E-2</v>
      </c>
      <c r="GM23">
        <v>1</v>
      </c>
      <c r="GN23">
        <v>3</v>
      </c>
      <c r="GO23">
        <v>3</v>
      </c>
      <c r="GP23" t="s">
        <v>599</v>
      </c>
      <c r="GQ23">
        <v>3.1329400000000001</v>
      </c>
      <c r="GR23">
        <v>2.72702</v>
      </c>
      <c r="GS23">
        <v>9.0781600000000004E-2</v>
      </c>
      <c r="GT23">
        <v>9.7577300000000006E-2</v>
      </c>
      <c r="GU23">
        <v>0.15303900000000001</v>
      </c>
      <c r="GV23">
        <v>0.13348699999999999</v>
      </c>
      <c r="GW23">
        <v>22779</v>
      </c>
      <c r="GX23">
        <v>30402.5</v>
      </c>
      <c r="GY23">
        <v>27182.2</v>
      </c>
      <c r="GZ23">
        <v>34652.199999999997</v>
      </c>
      <c r="HA23">
        <v>33721.1</v>
      </c>
      <c r="HB23">
        <v>38362.9</v>
      </c>
      <c r="HC23">
        <v>40133</v>
      </c>
      <c r="HD23">
        <v>44350.2</v>
      </c>
      <c r="HE23">
        <v>1.9558</v>
      </c>
      <c r="HF23">
        <v>1.7438</v>
      </c>
      <c r="HG23">
        <v>2.6375099999999999E-2</v>
      </c>
      <c r="HH23">
        <v>0</v>
      </c>
      <c r="HI23">
        <v>34.360700000000001</v>
      </c>
      <c r="HJ23">
        <v>999.9</v>
      </c>
      <c r="HK23">
        <v>62.8</v>
      </c>
      <c r="HL23">
        <v>36.700000000000003</v>
      </c>
      <c r="HM23">
        <v>39.981299999999997</v>
      </c>
      <c r="HN23">
        <v>60.136499999999998</v>
      </c>
      <c r="HO23">
        <v>5.8213100000000004</v>
      </c>
      <c r="HP23">
        <v>1</v>
      </c>
      <c r="HQ23">
        <v>0.65176800000000001</v>
      </c>
      <c r="HR23">
        <v>0</v>
      </c>
      <c r="HS23">
        <v>20.285799999999998</v>
      </c>
      <c r="HT23">
        <v>5.2112999999999996</v>
      </c>
      <c r="HU23">
        <v>11.908099999999999</v>
      </c>
      <c r="HV23">
        <v>4.9836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1.8674599999999999</v>
      </c>
      <c r="IC23">
        <v>1.86307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-4.5979999999999999</v>
      </c>
      <c r="IX23">
        <v>0.55640000000000001</v>
      </c>
      <c r="IY23">
        <v>-2.8719668592410361</v>
      </c>
      <c r="IZ23">
        <v>-4.6713445918306539E-3</v>
      </c>
      <c r="JA23">
        <v>1.452628845961848E-6</v>
      </c>
      <c r="JB23">
        <v>-6.9306854222146279E-11</v>
      </c>
      <c r="JC23">
        <v>-0.25585220780376139</v>
      </c>
      <c r="JD23">
        <v>2.7492919904454862E-4</v>
      </c>
      <c r="JE23">
        <v>8.6739513355948885E-4</v>
      </c>
      <c r="JF23">
        <v>-8.2500691715147318E-6</v>
      </c>
      <c r="JG23">
        <v>18</v>
      </c>
      <c r="JH23">
        <v>1867</v>
      </c>
      <c r="JI23">
        <v>2</v>
      </c>
      <c r="JJ23">
        <v>37</v>
      </c>
      <c r="JK23">
        <v>0.7</v>
      </c>
      <c r="JL23">
        <v>0.9</v>
      </c>
      <c r="JM23">
        <v>1.1731</v>
      </c>
      <c r="JN23">
        <v>2.51831</v>
      </c>
      <c r="JO23">
        <v>1.50024</v>
      </c>
      <c r="JP23">
        <v>2.2729499999999998</v>
      </c>
      <c r="JQ23">
        <v>1.4477500000000001</v>
      </c>
      <c r="JR23">
        <v>2.4511699999999998</v>
      </c>
      <c r="JS23">
        <v>41.848599999999998</v>
      </c>
      <c r="JT23">
        <v>15.016400000000001</v>
      </c>
      <c r="JU23">
        <v>18</v>
      </c>
      <c r="JV23">
        <v>546.94000000000005</v>
      </c>
      <c r="JW23">
        <v>422.01</v>
      </c>
      <c r="JX23">
        <v>34.8996</v>
      </c>
      <c r="JY23">
        <v>35.224699999999999</v>
      </c>
      <c r="JZ23">
        <v>30.001300000000001</v>
      </c>
      <c r="KA23">
        <v>35.075699999999998</v>
      </c>
      <c r="KB23">
        <v>35.031500000000001</v>
      </c>
      <c r="KC23">
        <v>23.453600000000002</v>
      </c>
      <c r="KD23">
        <v>35.651299999999999</v>
      </c>
      <c r="KE23">
        <v>88.333200000000005</v>
      </c>
      <c r="KF23">
        <v>-999.9</v>
      </c>
      <c r="KG23">
        <v>462.779</v>
      </c>
      <c r="KH23">
        <v>30.990400000000001</v>
      </c>
      <c r="KI23">
        <v>100.31</v>
      </c>
      <c r="KJ23">
        <v>99.401799999999994</v>
      </c>
    </row>
    <row r="24" spans="1:296" x14ac:dyDescent="0.3">
      <c r="A24">
        <v>8</v>
      </c>
      <c r="B24">
        <v>1782837278.5999999</v>
      </c>
      <c r="C24">
        <v>972.09999990463257</v>
      </c>
      <c r="D24" t="s">
        <v>991</v>
      </c>
      <c r="E24" t="s">
        <v>992</v>
      </c>
      <c r="F24">
        <v>15</v>
      </c>
      <c r="H24">
        <v>1782837270.599999</v>
      </c>
      <c r="I24">
        <f t="shared" si="0"/>
        <v>6.0994164879185214E-3</v>
      </c>
      <c r="J24">
        <f t="shared" si="1"/>
        <v>6.0994164879185213</v>
      </c>
      <c r="K24">
        <f t="shared" si="2"/>
        <v>26.326757011434481</v>
      </c>
      <c r="L24">
        <f t="shared" si="3"/>
        <v>420.00632258064508</v>
      </c>
      <c r="M24">
        <f t="shared" si="4"/>
        <v>276.73986481754355</v>
      </c>
      <c r="N24">
        <f t="shared" si="5"/>
        <v>26.974976965756028</v>
      </c>
      <c r="O24">
        <f t="shared" si="6"/>
        <v>40.939749987066442</v>
      </c>
      <c r="P24">
        <f t="shared" si="7"/>
        <v>0.33524849041537058</v>
      </c>
      <c r="Q24">
        <f t="shared" si="8"/>
        <v>2.8832287810731221</v>
      </c>
      <c r="R24">
        <f t="shared" si="9"/>
        <v>0.31500027146883702</v>
      </c>
      <c r="S24">
        <f t="shared" si="10"/>
        <v>0.19859239941659032</v>
      </c>
      <c r="T24">
        <f t="shared" si="11"/>
        <v>96.340314917777192</v>
      </c>
      <c r="U24">
        <f t="shared" si="12"/>
        <v>34.506317083661237</v>
      </c>
      <c r="V24">
        <f t="shared" si="13"/>
        <v>34.838225806451618</v>
      </c>
      <c r="W24">
        <f t="shared" si="14"/>
        <v>5.5979668822031146</v>
      </c>
      <c r="X24">
        <f t="shared" si="15"/>
        <v>65.348506475763529</v>
      </c>
      <c r="Y24">
        <f t="shared" si="16"/>
        <v>3.8015573316321873</v>
      </c>
      <c r="Z24">
        <f t="shared" si="17"/>
        <v>5.8173591664900703</v>
      </c>
      <c r="AA24">
        <f t="shared" si="18"/>
        <v>1.7964095505709272</v>
      </c>
      <c r="AB24">
        <f t="shared" si="19"/>
        <v>-268.9842671172068</v>
      </c>
      <c r="AC24">
        <f t="shared" si="20"/>
        <v>108.05330042246091</v>
      </c>
      <c r="AD24">
        <f t="shared" si="21"/>
        <v>8.7681617218773251</v>
      </c>
      <c r="AE24">
        <f t="shared" si="22"/>
        <v>-55.822490055091393</v>
      </c>
      <c r="AF24">
        <f t="shared" si="23"/>
        <v>26.326757011434481</v>
      </c>
      <c r="AG24">
        <f t="shared" si="24"/>
        <v>6.0994164879185213</v>
      </c>
      <c r="AH24">
        <f t="shared" si="25"/>
        <v>26.129084724872989</v>
      </c>
      <c r="AI24">
        <v>469.78811572815528</v>
      </c>
      <c r="AJ24">
        <v>437.1874242424239</v>
      </c>
      <c r="AK24">
        <v>4.0702952868498822E-2</v>
      </c>
      <c r="AL24">
        <v>67.035232190840844</v>
      </c>
      <c r="AM24">
        <f t="shared" si="26"/>
        <v>6.0819672916053111</v>
      </c>
      <c r="AN24">
        <v>31.936786855674381</v>
      </c>
      <c r="AO24">
        <v>38.963521818181789</v>
      </c>
      <c r="AP24">
        <v>-2.0322366555191079E-3</v>
      </c>
      <c r="AQ24">
        <v>78.067186068989955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50069.900364979876</v>
      </c>
      <c r="AW24" t="s">
        <v>965</v>
      </c>
      <c r="AX24">
        <v>5108.9799999999996</v>
      </c>
      <c r="AY24">
        <v>586.62058823529424</v>
      </c>
      <c r="AZ24">
        <v>2589.38</v>
      </c>
      <c r="BA24">
        <f t="shared" si="30"/>
        <v>0.77345133266060051</v>
      </c>
      <c r="BB24">
        <v>-3.628501447085184</v>
      </c>
      <c r="BC24" t="s">
        <v>993</v>
      </c>
      <c r="BD24">
        <v>5102.1000000000004</v>
      </c>
      <c r="BE24">
        <v>978.43005882352929</v>
      </c>
      <c r="BF24">
        <v>1739.91</v>
      </c>
      <c r="BG24">
        <f t="shared" si="31"/>
        <v>0.43765478741801056</v>
      </c>
      <c r="BH24">
        <v>0.5</v>
      </c>
      <c r="BI24">
        <f t="shared" si="32"/>
        <v>504.27121966991632</v>
      </c>
      <c r="BJ24">
        <f t="shared" si="33"/>
        <v>26.326757011434481</v>
      </c>
      <c r="BK24">
        <f t="shared" si="34"/>
        <v>110.34835672282907</v>
      </c>
      <c r="BL24">
        <f t="shared" si="35"/>
        <v>5.9403069796701166E-2</v>
      </c>
      <c r="BM24">
        <f t="shared" si="36"/>
        <v>0.4882264025150726</v>
      </c>
      <c r="BN24">
        <f t="shared" si="37"/>
        <v>528.19815349494354</v>
      </c>
      <c r="BO24" t="s">
        <v>407</v>
      </c>
      <c r="BP24">
        <v>0</v>
      </c>
      <c r="BQ24">
        <f t="shared" si="38"/>
        <v>528.19815349494354</v>
      </c>
      <c r="BR24">
        <f t="shared" si="39"/>
        <v>0.69642214051592122</v>
      </c>
      <c r="BS24">
        <f t="shared" si="40"/>
        <v>0.62843319009615128</v>
      </c>
      <c r="BT24">
        <f t="shared" si="41"/>
        <v>0.41212763514309175</v>
      </c>
      <c r="BU24">
        <f t="shared" si="42"/>
        <v>0.66026786807250071</v>
      </c>
      <c r="BV24">
        <f t="shared" si="43"/>
        <v>0.42414979802866104</v>
      </c>
      <c r="BW24">
        <f t="shared" si="44"/>
        <v>0.3392549601377205</v>
      </c>
      <c r="BX24">
        <f t="shared" si="45"/>
        <v>0.6607450398622795</v>
      </c>
      <c r="DG24">
        <f t="shared" si="46"/>
        <v>599.96109677419349</v>
      </c>
      <c r="DH24">
        <f t="shared" si="47"/>
        <v>504.27121966991632</v>
      </c>
      <c r="DI24">
        <f t="shared" si="48"/>
        <v>0.84050653014208376</v>
      </c>
      <c r="DJ24">
        <f t="shared" si="49"/>
        <v>0.16057760317422157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1782837270.599999</v>
      </c>
      <c r="DQ24">
        <v>420.00632258064508</v>
      </c>
      <c r="DR24">
        <v>454.67603225806459</v>
      </c>
      <c r="DS24">
        <v>39.000680645161303</v>
      </c>
      <c r="DT24">
        <v>31.96613870967742</v>
      </c>
      <c r="DU24">
        <v>424.64096774193553</v>
      </c>
      <c r="DV24">
        <v>38.455625806451607</v>
      </c>
      <c r="DW24">
        <v>499.95025806451599</v>
      </c>
      <c r="DX24">
        <v>97.422080645161316</v>
      </c>
      <c r="DY24">
        <v>5.2047209677419361E-2</v>
      </c>
      <c r="DZ24">
        <v>35.533367741935479</v>
      </c>
      <c r="EA24">
        <v>34.838225806451618</v>
      </c>
      <c r="EB24">
        <v>999.90000000000032</v>
      </c>
      <c r="EC24">
        <v>0</v>
      </c>
      <c r="ED24">
        <v>0</v>
      </c>
      <c r="EE24">
        <v>9995.967741935483</v>
      </c>
      <c r="EF24">
        <v>0</v>
      </c>
      <c r="EG24">
        <v>1274.022580645162</v>
      </c>
      <c r="EH24">
        <v>-34.669719354838698</v>
      </c>
      <c r="EI24">
        <v>437.05164516129042</v>
      </c>
      <c r="EJ24">
        <v>469.69016129032258</v>
      </c>
      <c r="EK24">
        <v>7.0345370967741934</v>
      </c>
      <c r="EL24">
        <v>454.67603225806459</v>
      </c>
      <c r="EM24">
        <v>31.96613870967742</v>
      </c>
      <c r="EN24">
        <v>3.799527096774193</v>
      </c>
      <c r="EO24">
        <v>3.1142074193548388</v>
      </c>
      <c r="EP24">
        <v>28.02117419354839</v>
      </c>
      <c r="EQ24">
        <v>24.651493548387091</v>
      </c>
      <c r="ER24">
        <v>599.96109677419349</v>
      </c>
      <c r="ES24">
        <v>0.98297932258064535</v>
      </c>
      <c r="ET24">
        <v>1.7020609677419349E-2</v>
      </c>
      <c r="EU24">
        <v>0</v>
      </c>
      <c r="EV24">
        <v>978.11725806451591</v>
      </c>
      <c r="EW24">
        <v>5.0010700000000003</v>
      </c>
      <c r="EX24">
        <v>9492.9816129032261</v>
      </c>
      <c r="EY24">
        <v>5414.7141935483878</v>
      </c>
      <c r="EZ24">
        <v>42.092483870967719</v>
      </c>
      <c r="FA24">
        <v>45.068096774193521</v>
      </c>
      <c r="FB24">
        <v>43.620935483870959</v>
      </c>
      <c r="FC24">
        <v>44.943096774193521</v>
      </c>
      <c r="FD24">
        <v>44.512</v>
      </c>
      <c r="FE24">
        <v>584.83322580645165</v>
      </c>
      <c r="FF24">
        <v>10.130000000000001</v>
      </c>
      <c r="FG24">
        <v>0</v>
      </c>
      <c r="FH24">
        <v>146.60000014305109</v>
      </c>
      <c r="FI24">
        <v>0</v>
      </c>
      <c r="FJ24">
        <v>978.43005882352929</v>
      </c>
      <c r="FK24">
        <v>4.4580882431224076</v>
      </c>
      <c r="FL24">
        <v>4606.3676322721794</v>
      </c>
      <c r="FM24">
        <v>9633.9123529411772</v>
      </c>
      <c r="FN24">
        <v>10</v>
      </c>
      <c r="FO24">
        <v>1782837225.0999999</v>
      </c>
      <c r="FP24" t="s">
        <v>994</v>
      </c>
      <c r="FQ24">
        <v>1782837219.5999999</v>
      </c>
      <c r="FR24">
        <v>1782837225.0999999</v>
      </c>
      <c r="FS24">
        <v>24</v>
      </c>
      <c r="FT24">
        <v>-3.5999999999999997E-2</v>
      </c>
      <c r="FU24">
        <v>-2.3E-2</v>
      </c>
      <c r="FV24">
        <v>-4.7560000000000002</v>
      </c>
      <c r="FW24">
        <v>0.32600000000000001</v>
      </c>
      <c r="FX24">
        <v>455</v>
      </c>
      <c r="FY24">
        <v>32</v>
      </c>
      <c r="FZ24">
        <v>0.24</v>
      </c>
      <c r="GA24">
        <v>0.05</v>
      </c>
      <c r="GB24">
        <v>-34.632885365853653</v>
      </c>
      <c r="GC24">
        <v>-0.58097351916376672</v>
      </c>
      <c r="GD24">
        <v>0.16839081366661721</v>
      </c>
      <c r="GE24">
        <v>1</v>
      </c>
      <c r="GF24">
        <v>977.77811764705882</v>
      </c>
      <c r="GG24">
        <v>6.3774484390346764</v>
      </c>
      <c r="GH24">
        <v>0.67489871853250216</v>
      </c>
      <c r="GI24">
        <v>1</v>
      </c>
      <c r="GJ24">
        <v>7.0233699999999999</v>
      </c>
      <c r="GK24">
        <v>0.24225909407665189</v>
      </c>
      <c r="GL24">
        <v>3.0407850799487681E-2</v>
      </c>
      <c r="GM24">
        <v>1</v>
      </c>
      <c r="GN24">
        <v>3</v>
      </c>
      <c r="GO24">
        <v>3</v>
      </c>
      <c r="GP24" t="s">
        <v>599</v>
      </c>
      <c r="GQ24">
        <v>3.1358000000000001</v>
      </c>
      <c r="GR24">
        <v>2.7266400000000002</v>
      </c>
      <c r="GS24">
        <v>9.0730699999999997E-2</v>
      </c>
      <c r="GT24">
        <v>9.6226800000000001E-2</v>
      </c>
      <c r="GU24">
        <v>0.15387100000000001</v>
      </c>
      <c r="GV24">
        <v>0.13583400000000001</v>
      </c>
      <c r="GW24">
        <v>22763.7</v>
      </c>
      <c r="GX24">
        <v>30421</v>
      </c>
      <c r="GY24">
        <v>27164.400000000001</v>
      </c>
      <c r="GZ24">
        <v>34624.400000000001</v>
      </c>
      <c r="HA24">
        <v>33671.199999999997</v>
      </c>
      <c r="HB24">
        <v>38235.4</v>
      </c>
      <c r="HC24">
        <v>40108.199999999997</v>
      </c>
      <c r="HD24">
        <v>44321.2</v>
      </c>
      <c r="HE24">
        <v>1.9543999999999999</v>
      </c>
      <c r="HF24">
        <v>1.7365999999999999</v>
      </c>
      <c r="HG24">
        <v>2.1755699999999999E-2</v>
      </c>
      <c r="HH24">
        <v>0</v>
      </c>
      <c r="HI24">
        <v>34.484000000000002</v>
      </c>
      <c r="HJ24">
        <v>999.9</v>
      </c>
      <c r="HK24">
        <v>62</v>
      </c>
      <c r="HL24">
        <v>37.1</v>
      </c>
      <c r="HM24">
        <v>40.344999999999999</v>
      </c>
      <c r="HN24">
        <v>59.656500000000001</v>
      </c>
      <c r="HO24">
        <v>5.1362199999999998</v>
      </c>
      <c r="HP24">
        <v>1</v>
      </c>
      <c r="HQ24">
        <v>0.68869899999999995</v>
      </c>
      <c r="HR24">
        <v>0</v>
      </c>
      <c r="HS24">
        <v>20.287099999999999</v>
      </c>
      <c r="HT24">
        <v>5.2100999999999997</v>
      </c>
      <c r="HU24">
        <v>11.908099999999999</v>
      </c>
      <c r="HV24">
        <v>4.9828000000000001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</v>
      </c>
      <c r="ID24">
        <v>1.86249</v>
      </c>
      <c r="IE24">
        <v>1.8620300000000001</v>
      </c>
      <c r="IF24">
        <v>1.86206</v>
      </c>
      <c r="IG24">
        <v>1.8626400000000001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-4.6340000000000003</v>
      </c>
      <c r="IX24">
        <v>0.54410000000000003</v>
      </c>
      <c r="IY24">
        <v>-2.9076358654314141</v>
      </c>
      <c r="IZ24">
        <v>-4.6713445918306539E-3</v>
      </c>
      <c r="JA24">
        <v>1.452628845961848E-6</v>
      </c>
      <c r="JB24">
        <v>-6.9306854222146279E-11</v>
      </c>
      <c r="JC24">
        <v>-0.27907377133825778</v>
      </c>
      <c r="JD24">
        <v>2.7492919904454862E-4</v>
      </c>
      <c r="JE24">
        <v>8.6739513355948885E-4</v>
      </c>
      <c r="JF24">
        <v>-8.2500691715147318E-6</v>
      </c>
      <c r="JG24">
        <v>18</v>
      </c>
      <c r="JH24">
        <v>1867</v>
      </c>
      <c r="JI24">
        <v>2</v>
      </c>
      <c r="JJ24">
        <v>37</v>
      </c>
      <c r="JK24">
        <v>1</v>
      </c>
      <c r="JL24">
        <v>0.9</v>
      </c>
      <c r="JM24">
        <v>1.15601</v>
      </c>
      <c r="JN24">
        <v>2.52441</v>
      </c>
      <c r="JO24">
        <v>1.50024</v>
      </c>
      <c r="JP24">
        <v>2.2729499999999998</v>
      </c>
      <c r="JQ24">
        <v>1.4477500000000001</v>
      </c>
      <c r="JR24">
        <v>2.3046899999999999</v>
      </c>
      <c r="JS24">
        <v>42.643900000000002</v>
      </c>
      <c r="JT24">
        <v>14.981400000000001</v>
      </c>
      <c r="JU24">
        <v>18</v>
      </c>
      <c r="JV24">
        <v>549.16</v>
      </c>
      <c r="JW24">
        <v>419.97800000000001</v>
      </c>
      <c r="JX24">
        <v>35.294400000000003</v>
      </c>
      <c r="JY24">
        <v>35.671300000000002</v>
      </c>
      <c r="JZ24">
        <v>30.001000000000001</v>
      </c>
      <c r="KA24">
        <v>35.465400000000002</v>
      </c>
      <c r="KB24">
        <v>35.402999999999999</v>
      </c>
      <c r="KC24">
        <v>23.1343</v>
      </c>
      <c r="KD24">
        <v>34.472000000000001</v>
      </c>
      <c r="KE24">
        <v>86.727099999999993</v>
      </c>
      <c r="KF24">
        <v>-999.9</v>
      </c>
      <c r="KG24">
        <v>454.649</v>
      </c>
      <c r="KH24">
        <v>31.909099999999999</v>
      </c>
      <c r="KI24">
        <v>100.246</v>
      </c>
      <c r="KJ24">
        <v>99.330399999999997</v>
      </c>
    </row>
    <row r="25" spans="1:296" x14ac:dyDescent="0.3">
      <c r="A25">
        <v>9</v>
      </c>
      <c r="B25">
        <v>1782837442.0999999</v>
      </c>
      <c r="C25">
        <v>1135.599999904633</v>
      </c>
      <c r="D25" t="s">
        <v>995</v>
      </c>
      <c r="E25" t="s">
        <v>996</v>
      </c>
      <c r="F25">
        <v>15</v>
      </c>
      <c r="H25">
        <v>1782837434.099999</v>
      </c>
      <c r="I25">
        <f t="shared" si="0"/>
        <v>5.5825404717163843E-3</v>
      </c>
      <c r="J25">
        <f t="shared" si="1"/>
        <v>5.582540471716384</v>
      </c>
      <c r="K25">
        <f t="shared" si="2"/>
        <v>17.683331864784076</v>
      </c>
      <c r="L25">
        <f t="shared" si="3"/>
        <v>419.97880645161291</v>
      </c>
      <c r="M25">
        <f t="shared" si="4"/>
        <v>305.77269422718291</v>
      </c>
      <c r="N25">
        <f t="shared" si="5"/>
        <v>29.804472000718068</v>
      </c>
      <c r="O25">
        <f t="shared" si="6"/>
        <v>40.936443358418487</v>
      </c>
      <c r="P25">
        <f t="shared" si="7"/>
        <v>0.28925120723118003</v>
      </c>
      <c r="Q25">
        <f t="shared" si="8"/>
        <v>2.8826154205829697</v>
      </c>
      <c r="R25">
        <f t="shared" si="9"/>
        <v>0.2740397298670082</v>
      </c>
      <c r="S25">
        <f t="shared" si="10"/>
        <v>0.17257483022035838</v>
      </c>
      <c r="T25">
        <f t="shared" si="11"/>
        <v>64.413972804629807</v>
      </c>
      <c r="U25">
        <f t="shared" si="12"/>
        <v>34.734902038239611</v>
      </c>
      <c r="V25">
        <f t="shared" si="13"/>
        <v>35.230235483870963</v>
      </c>
      <c r="W25">
        <f t="shared" si="14"/>
        <v>5.7207865001888578</v>
      </c>
      <c r="X25">
        <f t="shared" si="15"/>
        <v>64.86046446908307</v>
      </c>
      <c r="Y25">
        <f t="shared" si="16"/>
        <v>3.8324497300545106</v>
      </c>
      <c r="Z25">
        <f t="shared" si="17"/>
        <v>5.9087608474979669</v>
      </c>
      <c r="AA25">
        <f t="shared" si="18"/>
        <v>1.8883367701343472</v>
      </c>
      <c r="AB25">
        <f t="shared" si="19"/>
        <v>-246.19003480269254</v>
      </c>
      <c r="AC25">
        <f t="shared" si="20"/>
        <v>91.073844804097604</v>
      </c>
      <c r="AD25">
        <f t="shared" si="21"/>
        <v>7.4162141993638864</v>
      </c>
      <c r="AE25">
        <f t="shared" si="22"/>
        <v>-83.286002994601233</v>
      </c>
      <c r="AF25">
        <f t="shared" si="23"/>
        <v>17.683331864784076</v>
      </c>
      <c r="AG25">
        <f t="shared" si="24"/>
        <v>5.582540471716384</v>
      </c>
      <c r="AH25">
        <f t="shared" si="25"/>
        <v>17.778385093653974</v>
      </c>
      <c r="AI25">
        <v>459.17745924385758</v>
      </c>
      <c r="AJ25">
        <v>437.10021212121211</v>
      </c>
      <c r="AK25">
        <v>3.837278212962422E-3</v>
      </c>
      <c r="AL25">
        <v>67.08730781602263</v>
      </c>
      <c r="AM25">
        <f t="shared" si="26"/>
        <v>5.562405602048587</v>
      </c>
      <c r="AN25">
        <v>32.894761830118021</v>
      </c>
      <c r="AO25">
        <v>39.296868484848481</v>
      </c>
      <c r="AP25">
        <v>1.681443624671299E-3</v>
      </c>
      <c r="AQ25">
        <v>78.236101621295958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50007.078502142511</v>
      </c>
      <c r="AW25" t="s">
        <v>965</v>
      </c>
      <c r="AX25">
        <v>5108.9799999999996</v>
      </c>
      <c r="AY25">
        <v>586.62058823529424</v>
      </c>
      <c r="AZ25">
        <v>2589.38</v>
      </c>
      <c r="BA25">
        <f t="shared" si="30"/>
        <v>0.77345133266060051</v>
      </c>
      <c r="BB25">
        <v>-3.628501447085184</v>
      </c>
      <c r="BC25" t="s">
        <v>997</v>
      </c>
      <c r="BD25">
        <v>5104.1000000000004</v>
      </c>
      <c r="BE25">
        <v>1006.795294117647</v>
      </c>
      <c r="BF25">
        <v>1972.19</v>
      </c>
      <c r="BG25">
        <f t="shared" si="31"/>
        <v>0.48950390473653804</v>
      </c>
      <c r="BH25">
        <v>0.5</v>
      </c>
      <c r="BI25">
        <f t="shared" si="32"/>
        <v>336.30474842960928</v>
      </c>
      <c r="BJ25">
        <f t="shared" si="33"/>
        <v>17.683331864784076</v>
      </c>
      <c r="BK25">
        <f t="shared" si="34"/>
        <v>82.311243768866419</v>
      </c>
      <c r="BL25">
        <f t="shared" si="35"/>
        <v>6.3370598873152578E-2</v>
      </c>
      <c r="BM25">
        <f t="shared" si="36"/>
        <v>0.31294652137978596</v>
      </c>
      <c r="BN25">
        <f t="shared" si="37"/>
        <v>547.78400728685847</v>
      </c>
      <c r="BO25" t="s">
        <v>407</v>
      </c>
      <c r="BP25">
        <v>0</v>
      </c>
      <c r="BQ25">
        <f t="shared" si="38"/>
        <v>547.78400728685847</v>
      </c>
      <c r="BR25">
        <f t="shared" si="39"/>
        <v>0.72224582454689534</v>
      </c>
      <c r="BS25">
        <f t="shared" si="40"/>
        <v>0.67775248828005463</v>
      </c>
      <c r="BT25">
        <f t="shared" si="41"/>
        <v>0.30230760748104563</v>
      </c>
      <c r="BU25">
        <f t="shared" si="42"/>
        <v>0.69674943578091497</v>
      </c>
      <c r="BV25">
        <f t="shared" si="43"/>
        <v>0.30816981629169876</v>
      </c>
      <c r="BW25">
        <f t="shared" si="44"/>
        <v>0.36875616736375494</v>
      </c>
      <c r="BX25">
        <f t="shared" si="45"/>
        <v>0.63124383263624506</v>
      </c>
      <c r="DG25">
        <f t="shared" si="46"/>
        <v>400.00970967741932</v>
      </c>
      <c r="DH25">
        <f t="shared" si="47"/>
        <v>336.30474842960928</v>
      </c>
      <c r="DI25">
        <f t="shared" si="48"/>
        <v>0.84074146275303219</v>
      </c>
      <c r="DJ25">
        <f t="shared" si="49"/>
        <v>0.16103102311335218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1782837434.099999</v>
      </c>
      <c r="DQ25">
        <v>419.97880645161291</v>
      </c>
      <c r="DR25">
        <v>444.01038709677408</v>
      </c>
      <c r="DS25">
        <v>39.318209677419361</v>
      </c>
      <c r="DT25">
        <v>32.883058064516128</v>
      </c>
      <c r="DU25">
        <v>424.68700000000013</v>
      </c>
      <c r="DV25">
        <v>38.787219354838697</v>
      </c>
      <c r="DW25">
        <v>500.03903225806442</v>
      </c>
      <c r="DX25">
        <v>97.420729032258066</v>
      </c>
      <c r="DY25">
        <v>5.1911800000000008E-2</v>
      </c>
      <c r="DZ25">
        <v>35.816267741935476</v>
      </c>
      <c r="EA25">
        <v>35.230235483870963</v>
      </c>
      <c r="EB25">
        <v>999.90000000000032</v>
      </c>
      <c r="EC25">
        <v>0</v>
      </c>
      <c r="ED25">
        <v>0</v>
      </c>
      <c r="EE25">
        <v>9992.5806451612898</v>
      </c>
      <c r="EF25">
        <v>0</v>
      </c>
      <c r="EG25">
        <v>1100.3393225806451</v>
      </c>
      <c r="EH25">
        <v>-24.031632258064519</v>
      </c>
      <c r="EI25">
        <v>437.16735483870968</v>
      </c>
      <c r="EJ25">
        <v>459.1072903225807</v>
      </c>
      <c r="EK25">
        <v>6.435145161290321</v>
      </c>
      <c r="EL25">
        <v>444.01038709677408</v>
      </c>
      <c r="EM25">
        <v>32.883058064516128</v>
      </c>
      <c r="EN25">
        <v>3.8304090322580642</v>
      </c>
      <c r="EO25">
        <v>3.2034922580645162</v>
      </c>
      <c r="EP25">
        <v>28.16012580645161</v>
      </c>
      <c r="EQ25">
        <v>25.125219354838709</v>
      </c>
      <c r="ER25">
        <v>400.00970967741932</v>
      </c>
      <c r="ES25">
        <v>0.97497554838709666</v>
      </c>
      <c r="ET25">
        <v>2.5024819354838711E-2</v>
      </c>
      <c r="EU25">
        <v>0</v>
      </c>
      <c r="EV25">
        <v>1006.560967741935</v>
      </c>
      <c r="EW25">
        <v>5.0010700000000003</v>
      </c>
      <c r="EX25">
        <v>7561.1693548387093</v>
      </c>
      <c r="EY25">
        <v>3583.7274193548378</v>
      </c>
      <c r="EZ25">
        <v>41.811999999999983</v>
      </c>
      <c r="FA25">
        <v>45.102645161290312</v>
      </c>
      <c r="FB25">
        <v>43.5</v>
      </c>
      <c r="FC25">
        <v>45.055999999999983</v>
      </c>
      <c r="FD25">
        <v>44.356709677419339</v>
      </c>
      <c r="FE25">
        <v>385.12387096774188</v>
      </c>
      <c r="FF25">
        <v>9.8864516129032243</v>
      </c>
      <c r="FG25">
        <v>0</v>
      </c>
      <c r="FH25">
        <v>162.5999999046326</v>
      </c>
      <c r="FI25">
        <v>0</v>
      </c>
      <c r="FJ25">
        <v>1006.795294117647</v>
      </c>
      <c r="FK25">
        <v>3.9730391767591802</v>
      </c>
      <c r="FL25">
        <v>1464.843143735078</v>
      </c>
      <c r="FM25">
        <v>7668.0782352941178</v>
      </c>
      <c r="FN25">
        <v>10</v>
      </c>
      <c r="FO25">
        <v>1782837400.5999999</v>
      </c>
      <c r="FP25" t="s">
        <v>998</v>
      </c>
      <c r="FQ25">
        <v>1782837398.5999999</v>
      </c>
      <c r="FR25">
        <v>1782837400.5999999</v>
      </c>
      <c r="FS25">
        <v>25</v>
      </c>
      <c r="FT25">
        <v>-7.2999999999999995E-2</v>
      </c>
      <c r="FU25">
        <v>-2.4E-2</v>
      </c>
      <c r="FV25">
        <v>-4.7939999999999996</v>
      </c>
      <c r="FW25">
        <v>0.32900000000000001</v>
      </c>
      <c r="FX25">
        <v>445</v>
      </c>
      <c r="FY25">
        <v>33</v>
      </c>
      <c r="FZ25">
        <v>0.48</v>
      </c>
      <c r="GA25">
        <v>0.05</v>
      </c>
      <c r="GB25">
        <v>-24.079907500000001</v>
      </c>
      <c r="GC25">
        <v>-4.0744840525306962E-2</v>
      </c>
      <c r="GD25">
        <v>0.25909652678828032</v>
      </c>
      <c r="GE25">
        <v>1</v>
      </c>
      <c r="GF25">
        <v>1006.265882352941</v>
      </c>
      <c r="GG25">
        <v>5.5242169570005384</v>
      </c>
      <c r="GH25">
        <v>0.57834000607753899</v>
      </c>
      <c r="GI25">
        <v>1</v>
      </c>
      <c r="GJ25">
        <v>6.4508880000000008</v>
      </c>
      <c r="GK25">
        <v>-0.31039947467167028</v>
      </c>
      <c r="GL25">
        <v>3.1409500728282823E-2</v>
      </c>
      <c r="GM25">
        <v>1</v>
      </c>
      <c r="GN25">
        <v>3</v>
      </c>
      <c r="GO25">
        <v>3</v>
      </c>
      <c r="GP25" t="s">
        <v>599</v>
      </c>
      <c r="GQ25">
        <v>3.1332900000000001</v>
      </c>
      <c r="GR25">
        <v>2.72804</v>
      </c>
      <c r="GS25">
        <v>9.0633500000000006E-2</v>
      </c>
      <c r="GT25">
        <v>9.4443799999999994E-2</v>
      </c>
      <c r="GU25">
        <v>0.154694</v>
      </c>
      <c r="GV25">
        <v>0.138379</v>
      </c>
      <c r="GW25">
        <v>22753.7</v>
      </c>
      <c r="GX25">
        <v>30461.599999999999</v>
      </c>
      <c r="GY25">
        <v>27151.3</v>
      </c>
      <c r="GZ25">
        <v>34604.800000000003</v>
      </c>
      <c r="HA25">
        <v>33626.199999999997</v>
      </c>
      <c r="HB25">
        <v>38106.6</v>
      </c>
      <c r="HC25">
        <v>40089.5</v>
      </c>
      <c r="HD25">
        <v>44300.9</v>
      </c>
      <c r="HE25">
        <v>1.9466000000000001</v>
      </c>
      <c r="HF25">
        <v>1.734</v>
      </c>
      <c r="HG25">
        <v>2.6375099999999999E-2</v>
      </c>
      <c r="HH25">
        <v>0</v>
      </c>
      <c r="HI25">
        <v>34.798400000000001</v>
      </c>
      <c r="HJ25">
        <v>999.9</v>
      </c>
      <c r="HK25">
        <v>61.2</v>
      </c>
      <c r="HL25">
        <v>37.5</v>
      </c>
      <c r="HM25">
        <v>40.703699999999998</v>
      </c>
      <c r="HN25">
        <v>60.236499999999999</v>
      </c>
      <c r="HO25">
        <v>5.4607400000000004</v>
      </c>
      <c r="HP25">
        <v>1</v>
      </c>
      <c r="HQ25">
        <v>0.71792699999999998</v>
      </c>
      <c r="HR25">
        <v>0</v>
      </c>
      <c r="HS25">
        <v>20.288</v>
      </c>
      <c r="HT25">
        <v>5.2112999999999996</v>
      </c>
      <c r="HU25">
        <v>11.908099999999999</v>
      </c>
      <c r="HV25">
        <v>4.984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1.8631</v>
      </c>
      <c r="ID25">
        <v>1.8626400000000001</v>
      </c>
      <c r="IE25">
        <v>1.86212</v>
      </c>
      <c r="IF25">
        <v>1.86206</v>
      </c>
      <c r="IG25">
        <v>1.86267</v>
      </c>
      <c r="IH25">
        <v>1.8635600000000001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-4.7080000000000002</v>
      </c>
      <c r="IX25">
        <v>0.53069999999999995</v>
      </c>
      <c r="IY25">
        <v>-2.9810715075716092</v>
      </c>
      <c r="IZ25">
        <v>-4.6713445918306539E-3</v>
      </c>
      <c r="JA25">
        <v>1.452628845961848E-6</v>
      </c>
      <c r="JB25">
        <v>-6.9306854222146279E-11</v>
      </c>
      <c r="JC25">
        <v>-0.30321087137906999</v>
      </c>
      <c r="JD25">
        <v>2.7492919904454862E-4</v>
      </c>
      <c r="JE25">
        <v>8.6739513355948885E-4</v>
      </c>
      <c r="JF25">
        <v>-8.2500691715147318E-6</v>
      </c>
      <c r="JG25">
        <v>18</v>
      </c>
      <c r="JH25">
        <v>1867</v>
      </c>
      <c r="JI25">
        <v>2</v>
      </c>
      <c r="JJ25">
        <v>37</v>
      </c>
      <c r="JK25">
        <v>0.7</v>
      </c>
      <c r="JL25">
        <v>0.7</v>
      </c>
      <c r="JM25">
        <v>1.1352500000000001</v>
      </c>
      <c r="JN25">
        <v>2.5280800000000001</v>
      </c>
      <c r="JO25">
        <v>1.50024</v>
      </c>
      <c r="JP25">
        <v>2.2729499999999998</v>
      </c>
      <c r="JQ25">
        <v>1.4477500000000001</v>
      </c>
      <c r="JR25">
        <v>2.4157700000000002</v>
      </c>
      <c r="JS25">
        <v>43.317599999999999</v>
      </c>
      <c r="JT25">
        <v>14.963800000000001</v>
      </c>
      <c r="JU25">
        <v>18</v>
      </c>
      <c r="JV25">
        <v>546.77300000000002</v>
      </c>
      <c r="JW25">
        <v>420.68400000000003</v>
      </c>
      <c r="JX25">
        <v>35.580399999999997</v>
      </c>
      <c r="JY25">
        <v>36.045999999999999</v>
      </c>
      <c r="JZ25">
        <v>30.001100000000001</v>
      </c>
      <c r="KA25">
        <v>35.825200000000002</v>
      </c>
      <c r="KB25">
        <v>35.764000000000003</v>
      </c>
      <c r="KC25">
        <v>22.718499999999999</v>
      </c>
      <c r="KD25">
        <v>33.238599999999998</v>
      </c>
      <c r="KE25">
        <v>85.518000000000001</v>
      </c>
      <c r="KF25">
        <v>-999.9</v>
      </c>
      <c r="KG25">
        <v>444.19299999999998</v>
      </c>
      <c r="KH25">
        <v>32.927900000000001</v>
      </c>
      <c r="KI25">
        <v>100.199</v>
      </c>
      <c r="KJ25">
        <v>99.280100000000004</v>
      </c>
    </row>
    <row r="26" spans="1:296" x14ac:dyDescent="0.3">
      <c r="A26">
        <v>10</v>
      </c>
      <c r="B26">
        <v>1782837595.0999999</v>
      </c>
      <c r="C26">
        <v>1288.599999904633</v>
      </c>
      <c r="D26" t="s">
        <v>999</v>
      </c>
      <c r="E26" t="s">
        <v>1000</v>
      </c>
      <c r="F26">
        <v>15</v>
      </c>
      <c r="H26">
        <v>1782837587.349999</v>
      </c>
      <c r="I26">
        <f t="shared" si="0"/>
        <v>4.8158280557680797E-3</v>
      </c>
      <c r="J26">
        <f t="shared" si="1"/>
        <v>4.8158280557680797</v>
      </c>
      <c r="K26">
        <f t="shared" si="2"/>
        <v>12.600225120846707</v>
      </c>
      <c r="L26">
        <f t="shared" si="3"/>
        <v>419.98786666666672</v>
      </c>
      <c r="M26">
        <f t="shared" si="4"/>
        <v>323.83384461429091</v>
      </c>
      <c r="N26">
        <f t="shared" si="5"/>
        <v>31.566777974975849</v>
      </c>
      <c r="O26">
        <f t="shared" si="6"/>
        <v>40.939710162294027</v>
      </c>
      <c r="P26">
        <f t="shared" si="7"/>
        <v>0.24928525852657626</v>
      </c>
      <c r="Q26">
        <f t="shared" si="8"/>
        <v>2.884117885501138</v>
      </c>
      <c r="R26">
        <f t="shared" si="9"/>
        <v>0.237903676461623</v>
      </c>
      <c r="S26">
        <f t="shared" si="10"/>
        <v>0.14966907828198595</v>
      </c>
      <c r="T26">
        <f t="shared" si="11"/>
        <v>48.446046215240251</v>
      </c>
      <c r="U26">
        <f t="shared" si="12"/>
        <v>34.83099900112957</v>
      </c>
      <c r="V26">
        <f t="shared" si="13"/>
        <v>35.241669999999992</v>
      </c>
      <c r="W26">
        <f t="shared" si="14"/>
        <v>5.724403890673373</v>
      </c>
      <c r="X26">
        <f t="shared" si="15"/>
        <v>65.16237079502973</v>
      </c>
      <c r="Y26">
        <f t="shared" si="16"/>
        <v>3.848059867958078</v>
      </c>
      <c r="Z26">
        <f t="shared" si="17"/>
        <v>5.9053404917728827</v>
      </c>
      <c r="AA26">
        <f t="shared" si="18"/>
        <v>1.876344022715295</v>
      </c>
      <c r="AB26">
        <f t="shared" si="19"/>
        <v>-212.37801725937231</v>
      </c>
      <c r="AC26">
        <f t="shared" si="20"/>
        <v>87.707988867006677</v>
      </c>
      <c r="AD26">
        <f t="shared" si="21"/>
        <v>7.1384406178248456</v>
      </c>
      <c r="AE26">
        <f t="shared" si="22"/>
        <v>-69.085541559300523</v>
      </c>
      <c r="AF26">
        <f t="shared" si="23"/>
        <v>12.600225120846707</v>
      </c>
      <c r="AG26">
        <f t="shared" si="24"/>
        <v>4.8158280557680797</v>
      </c>
      <c r="AH26">
        <f t="shared" si="25"/>
        <v>12.930518439105159</v>
      </c>
      <c r="AI26">
        <v>453.00142338033788</v>
      </c>
      <c r="AJ26">
        <v>437.10543030303029</v>
      </c>
      <c r="AK26">
        <v>-3.2276147461667848E-2</v>
      </c>
      <c r="AL26">
        <v>67.035175764572983</v>
      </c>
      <c r="AM26">
        <f t="shared" si="26"/>
        <v>4.7609092390273764</v>
      </c>
      <c r="AN26">
        <v>33.932005348804253</v>
      </c>
      <c r="AO26">
        <v>39.438349696969688</v>
      </c>
      <c r="AP26">
        <v>-3.2173066873795461E-3</v>
      </c>
      <c r="AQ26">
        <v>78.066572576761786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50050.360223962598</v>
      </c>
      <c r="AW26" t="s">
        <v>965</v>
      </c>
      <c r="AX26">
        <v>5108.9799999999996</v>
      </c>
      <c r="AY26">
        <v>586.62058823529424</v>
      </c>
      <c r="AZ26">
        <v>2589.38</v>
      </c>
      <c r="BA26">
        <f t="shared" si="30"/>
        <v>0.77345133266060051</v>
      </c>
      <c r="BB26">
        <v>-3.628501447085184</v>
      </c>
      <c r="BC26" t="s">
        <v>1001</v>
      </c>
      <c r="BD26">
        <v>5105.32</v>
      </c>
      <c r="BE26">
        <v>1014.257647058824</v>
      </c>
      <c r="BF26">
        <v>2087.83</v>
      </c>
      <c r="BG26">
        <f t="shared" si="31"/>
        <v>0.51420486962117407</v>
      </c>
      <c r="BH26">
        <v>0.5</v>
      </c>
      <c r="BI26">
        <f t="shared" si="32"/>
        <v>252.30320889908819</v>
      </c>
      <c r="BJ26">
        <f t="shared" si="33"/>
        <v>12.600225120846707</v>
      </c>
      <c r="BK26">
        <f t="shared" si="34"/>
        <v>64.867769318479745</v>
      </c>
      <c r="BL26">
        <f t="shared" si="35"/>
        <v>6.4322315355183499E-2</v>
      </c>
      <c r="BM26">
        <f t="shared" si="36"/>
        <v>0.24022549728665657</v>
      </c>
      <c r="BN26">
        <f t="shared" si="37"/>
        <v>556.34287024147375</v>
      </c>
      <c r="BO26" t="s">
        <v>407</v>
      </c>
      <c r="BP26">
        <v>0</v>
      </c>
      <c r="BQ26">
        <f t="shared" si="38"/>
        <v>556.34287024147375</v>
      </c>
      <c r="BR26">
        <f t="shared" si="39"/>
        <v>0.73353056990201604</v>
      </c>
      <c r="BS26">
        <f t="shared" si="40"/>
        <v>0.70099991836722064</v>
      </c>
      <c r="BT26">
        <f t="shared" si="41"/>
        <v>0.24669987215608388</v>
      </c>
      <c r="BU26">
        <f t="shared" si="42"/>
        <v>0.71513830417514324</v>
      </c>
      <c r="BV26">
        <f t="shared" si="43"/>
        <v>0.25042948097198847</v>
      </c>
      <c r="BW26">
        <f t="shared" si="44"/>
        <v>0.38451404113578225</v>
      </c>
      <c r="BX26">
        <f t="shared" si="45"/>
        <v>0.61548595886421775</v>
      </c>
      <c r="DG26">
        <f t="shared" si="46"/>
        <v>300.01310000000001</v>
      </c>
      <c r="DH26">
        <f t="shared" si="47"/>
        <v>252.30320889908819</v>
      </c>
      <c r="DI26">
        <f t="shared" si="48"/>
        <v>0.84097397380010463</v>
      </c>
      <c r="DJ26">
        <f t="shared" si="49"/>
        <v>0.1614797694342022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1782837587.349999</v>
      </c>
      <c r="DQ26">
        <v>419.98786666666672</v>
      </c>
      <c r="DR26">
        <v>437.53370000000001</v>
      </c>
      <c r="DS26">
        <v>39.476059999999997</v>
      </c>
      <c r="DT26">
        <v>33.925686666666657</v>
      </c>
      <c r="DU26">
        <v>424.71210000000002</v>
      </c>
      <c r="DV26">
        <v>38.959536666666658</v>
      </c>
      <c r="DW26">
        <v>500.0440000000001</v>
      </c>
      <c r="DX26">
        <v>97.426106666666655</v>
      </c>
      <c r="DY26">
        <v>5.2209760000000001E-2</v>
      </c>
      <c r="DZ26">
        <v>35.805750000000003</v>
      </c>
      <c r="EA26">
        <v>35.241669999999992</v>
      </c>
      <c r="EB26">
        <v>999.9000000000002</v>
      </c>
      <c r="EC26">
        <v>0</v>
      </c>
      <c r="ED26">
        <v>0</v>
      </c>
      <c r="EE26">
        <v>10000.66666666667</v>
      </c>
      <c r="EF26">
        <v>0</v>
      </c>
      <c r="EG26">
        <v>1041.559766666667</v>
      </c>
      <c r="EH26">
        <v>-17.545913333333331</v>
      </c>
      <c r="EI26">
        <v>437.24880000000002</v>
      </c>
      <c r="EJ26">
        <v>452.89870000000002</v>
      </c>
      <c r="EK26">
        <v>5.5503659999999986</v>
      </c>
      <c r="EL26">
        <v>437.53370000000001</v>
      </c>
      <c r="EM26">
        <v>33.925686666666657</v>
      </c>
      <c r="EN26">
        <v>3.845998666666667</v>
      </c>
      <c r="EO26">
        <v>3.305247</v>
      </c>
      <c r="EP26">
        <v>28.229896666666669</v>
      </c>
      <c r="EQ26">
        <v>25.651246666666669</v>
      </c>
      <c r="ER26">
        <v>300.01310000000001</v>
      </c>
      <c r="ES26">
        <v>0.9669704333333331</v>
      </c>
      <c r="ET26">
        <v>3.3029676666666667E-2</v>
      </c>
      <c r="EU26">
        <v>0</v>
      </c>
      <c r="EV26">
        <v>1014.151</v>
      </c>
      <c r="EW26">
        <v>5.0010700000000003</v>
      </c>
      <c r="EX26">
        <v>5943.3049999999994</v>
      </c>
      <c r="EY26">
        <v>2668.114</v>
      </c>
      <c r="EZ26">
        <v>41.5</v>
      </c>
      <c r="FA26">
        <v>44.783066666666663</v>
      </c>
      <c r="FB26">
        <v>43.270599999999988</v>
      </c>
      <c r="FC26">
        <v>44.7624</v>
      </c>
      <c r="FD26">
        <v>44.125</v>
      </c>
      <c r="FE26">
        <v>285.267</v>
      </c>
      <c r="FF26">
        <v>9.740000000000002</v>
      </c>
      <c r="FG26">
        <v>0</v>
      </c>
      <c r="FH26">
        <v>152.60000014305109</v>
      </c>
      <c r="FI26">
        <v>0</v>
      </c>
      <c r="FJ26">
        <v>1014.257647058824</v>
      </c>
      <c r="FK26">
        <v>1.056372544302022</v>
      </c>
      <c r="FL26">
        <v>638.42401466038655</v>
      </c>
      <c r="FM26">
        <v>5954.7317647058826</v>
      </c>
      <c r="FN26">
        <v>10</v>
      </c>
      <c r="FO26">
        <v>1782837551.0999999</v>
      </c>
      <c r="FP26" t="s">
        <v>1002</v>
      </c>
      <c r="FQ26">
        <v>1782837547.0999999</v>
      </c>
      <c r="FR26">
        <v>1782837551.0999999</v>
      </c>
      <c r="FS26">
        <v>26</v>
      </c>
      <c r="FT26">
        <v>-1.6E-2</v>
      </c>
      <c r="FU26">
        <v>-0.02</v>
      </c>
      <c r="FV26">
        <v>-4.7869999999999999</v>
      </c>
      <c r="FW26">
        <v>0.35099999999999998</v>
      </c>
      <c r="FX26">
        <v>438</v>
      </c>
      <c r="FY26">
        <v>34</v>
      </c>
      <c r="FZ26">
        <v>0.4</v>
      </c>
      <c r="GA26">
        <v>0.06</v>
      </c>
      <c r="GB26">
        <v>-17.513365</v>
      </c>
      <c r="GC26">
        <v>-0.7151594746716271</v>
      </c>
      <c r="GD26">
        <v>0.18527177948894391</v>
      </c>
      <c r="GE26">
        <v>1</v>
      </c>
      <c r="GF26">
        <v>1013.966176470588</v>
      </c>
      <c r="GG26">
        <v>3.376776166609242</v>
      </c>
      <c r="GH26">
        <v>0.40510720952739748</v>
      </c>
      <c r="GI26">
        <v>1</v>
      </c>
      <c r="GJ26">
        <v>5.5769492500000002</v>
      </c>
      <c r="GK26">
        <v>-0.4815742964352781</v>
      </c>
      <c r="GL26">
        <v>5.0154683150604167E-2</v>
      </c>
      <c r="GM26">
        <v>1</v>
      </c>
      <c r="GN26">
        <v>3</v>
      </c>
      <c r="GO26">
        <v>3</v>
      </c>
      <c r="GP26" t="s">
        <v>599</v>
      </c>
      <c r="GQ26">
        <v>3.13381</v>
      </c>
      <c r="GR26">
        <v>2.7281300000000002</v>
      </c>
      <c r="GS26">
        <v>9.0605699999999997E-2</v>
      </c>
      <c r="GT26">
        <v>9.3395400000000003E-2</v>
      </c>
      <c r="GU26">
        <v>0.155006</v>
      </c>
      <c r="GV26">
        <v>0.14130200000000001</v>
      </c>
      <c r="GW26">
        <v>22745.4</v>
      </c>
      <c r="GX26">
        <v>30481.599999999999</v>
      </c>
      <c r="GY26">
        <v>27141.8</v>
      </c>
      <c r="GZ26">
        <v>34589.1</v>
      </c>
      <c r="HA26">
        <v>33604.5</v>
      </c>
      <c r="HB26">
        <v>37964.800000000003</v>
      </c>
      <c r="HC26">
        <v>40075.599999999999</v>
      </c>
      <c r="HD26">
        <v>44285.1</v>
      </c>
      <c r="HE26">
        <v>1.9438</v>
      </c>
      <c r="HF26">
        <v>1.7307999999999999</v>
      </c>
      <c r="HG26">
        <v>3.0398399999999999E-2</v>
      </c>
      <c r="HH26">
        <v>0</v>
      </c>
      <c r="HI26">
        <v>34.712699999999998</v>
      </c>
      <c r="HJ26">
        <v>999.9</v>
      </c>
      <c r="HK26">
        <v>60.4</v>
      </c>
      <c r="HL26">
        <v>37.9</v>
      </c>
      <c r="HM26">
        <v>41.047800000000002</v>
      </c>
      <c r="HN26">
        <v>60.146500000000003</v>
      </c>
      <c r="HO26">
        <v>5.5007999999999999</v>
      </c>
      <c r="HP26">
        <v>1</v>
      </c>
      <c r="HQ26">
        <v>0.736707</v>
      </c>
      <c r="HR26">
        <v>0</v>
      </c>
      <c r="HS26">
        <v>20.288799999999998</v>
      </c>
      <c r="HT26">
        <v>5.2077099999999996</v>
      </c>
      <c r="HU26">
        <v>11.908099999999999</v>
      </c>
      <c r="HV26">
        <v>4.9832000000000001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1.8631</v>
      </c>
      <c r="ID26">
        <v>1.8626400000000001</v>
      </c>
      <c r="IE26">
        <v>1.86215</v>
      </c>
      <c r="IF26">
        <v>1.8621799999999999</v>
      </c>
      <c r="IG26">
        <v>1.8626400000000001</v>
      </c>
      <c r="IH26">
        <v>1.8635600000000001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-4.7249999999999996</v>
      </c>
      <c r="IX26">
        <v>0.51539999999999997</v>
      </c>
      <c r="IY26">
        <v>-2.997020372742754</v>
      </c>
      <c r="IZ26">
        <v>-4.6713445918306539E-3</v>
      </c>
      <c r="JA26">
        <v>1.452628845961848E-6</v>
      </c>
      <c r="JB26">
        <v>-6.9306854222146279E-11</v>
      </c>
      <c r="JC26">
        <v>-0.3228969197443155</v>
      </c>
      <c r="JD26">
        <v>2.7492919904454862E-4</v>
      </c>
      <c r="JE26">
        <v>8.6739513355948885E-4</v>
      </c>
      <c r="JF26">
        <v>-8.2500691715147318E-6</v>
      </c>
      <c r="JG26">
        <v>18</v>
      </c>
      <c r="JH26">
        <v>1867</v>
      </c>
      <c r="JI26">
        <v>2</v>
      </c>
      <c r="JJ26">
        <v>37</v>
      </c>
      <c r="JK26">
        <v>0.8</v>
      </c>
      <c r="JL26">
        <v>0.7</v>
      </c>
      <c r="JM26">
        <v>1.1242700000000001</v>
      </c>
      <c r="JN26">
        <v>2.52563</v>
      </c>
      <c r="JO26">
        <v>1.50024</v>
      </c>
      <c r="JP26">
        <v>2.2729499999999998</v>
      </c>
      <c r="JQ26">
        <v>1.4477500000000001</v>
      </c>
      <c r="JR26">
        <v>2.4694799999999999</v>
      </c>
      <c r="JS26">
        <v>43.6721</v>
      </c>
      <c r="JT26">
        <v>14.9551</v>
      </c>
      <c r="JU26">
        <v>18</v>
      </c>
      <c r="JV26">
        <v>546.99599999999998</v>
      </c>
      <c r="JW26">
        <v>420.36599999999999</v>
      </c>
      <c r="JX26">
        <v>35.737699999999997</v>
      </c>
      <c r="JY26">
        <v>36.301400000000001</v>
      </c>
      <c r="JZ26">
        <v>30.0001</v>
      </c>
      <c r="KA26">
        <v>36.090400000000002</v>
      </c>
      <c r="KB26">
        <v>36.024299999999997</v>
      </c>
      <c r="KC26">
        <v>22.481300000000001</v>
      </c>
      <c r="KD26">
        <v>31.9038</v>
      </c>
      <c r="KE26">
        <v>85.581599999999995</v>
      </c>
      <c r="KF26">
        <v>-999.9</v>
      </c>
      <c r="KG26">
        <v>437.74900000000002</v>
      </c>
      <c r="KH26">
        <v>34.031799999999997</v>
      </c>
      <c r="KI26">
        <v>100.164</v>
      </c>
      <c r="KJ26">
        <v>99.240600000000001</v>
      </c>
    </row>
    <row r="27" spans="1:296" x14ac:dyDescent="0.3">
      <c r="A27">
        <v>11</v>
      </c>
      <c r="B27">
        <v>1782837741.5999999</v>
      </c>
      <c r="C27">
        <v>1435.099999904633</v>
      </c>
      <c r="D27" t="s">
        <v>1003</v>
      </c>
      <c r="E27" t="s">
        <v>1004</v>
      </c>
      <c r="F27">
        <v>15</v>
      </c>
      <c r="H27">
        <v>1782837733.599999</v>
      </c>
      <c r="I27">
        <f t="shared" si="0"/>
        <v>4.2743823089270595E-3</v>
      </c>
      <c r="J27">
        <f t="shared" si="1"/>
        <v>4.2743823089270592</v>
      </c>
      <c r="K27">
        <f t="shared" si="2"/>
        <v>7.3523128023066855</v>
      </c>
      <c r="L27">
        <f t="shared" si="3"/>
        <v>420.06316129032268</v>
      </c>
      <c r="M27">
        <f t="shared" si="4"/>
        <v>352.13936398829543</v>
      </c>
      <c r="N27">
        <f t="shared" si="5"/>
        <v>34.324395487316238</v>
      </c>
      <c r="O27">
        <f t="shared" si="6"/>
        <v>40.945192592159593</v>
      </c>
      <c r="P27">
        <f t="shared" si="7"/>
        <v>0.2197265923428198</v>
      </c>
      <c r="Q27">
        <f t="shared" si="8"/>
        <v>2.884882992699187</v>
      </c>
      <c r="R27">
        <f t="shared" si="9"/>
        <v>0.21083459238587107</v>
      </c>
      <c r="S27">
        <f t="shared" si="10"/>
        <v>0.13254054641196958</v>
      </c>
      <c r="T27">
        <f t="shared" si="11"/>
        <v>32.487703724410302</v>
      </c>
      <c r="U27">
        <f t="shared" si="12"/>
        <v>34.847577248056403</v>
      </c>
      <c r="V27">
        <f t="shared" si="13"/>
        <v>35.225941935483867</v>
      </c>
      <c r="W27">
        <f t="shared" si="14"/>
        <v>5.7194287187172996</v>
      </c>
      <c r="X27">
        <f t="shared" si="15"/>
        <v>65.139067146276219</v>
      </c>
      <c r="Y27">
        <f t="shared" si="16"/>
        <v>3.8401831397323667</v>
      </c>
      <c r="Z27">
        <f t="shared" si="17"/>
        <v>5.8953609684167807</v>
      </c>
      <c r="AA27">
        <f t="shared" si="18"/>
        <v>1.8792455789849329</v>
      </c>
      <c r="AB27">
        <f t="shared" si="19"/>
        <v>-188.50025982368334</v>
      </c>
      <c r="AC27">
        <f t="shared" si="20"/>
        <v>85.399914588396385</v>
      </c>
      <c r="AD27">
        <f t="shared" si="21"/>
        <v>6.9471767279785208</v>
      </c>
      <c r="AE27">
        <f t="shared" si="22"/>
        <v>-63.665464782898127</v>
      </c>
      <c r="AF27">
        <f t="shared" si="23"/>
        <v>7.3523128023066855</v>
      </c>
      <c r="AG27">
        <f t="shared" si="24"/>
        <v>4.2743823089270592</v>
      </c>
      <c r="AH27">
        <f t="shared" si="25"/>
        <v>7.2933484094317285</v>
      </c>
      <c r="AI27">
        <v>446.51346552101541</v>
      </c>
      <c r="AJ27">
        <v>437.27038181818187</v>
      </c>
      <c r="AK27">
        <v>3.5311280736112248E-2</v>
      </c>
      <c r="AL27">
        <v>67.09149509701642</v>
      </c>
      <c r="AM27">
        <f t="shared" si="26"/>
        <v>4.245564675853049</v>
      </c>
      <c r="AN27">
        <v>34.489870284566187</v>
      </c>
      <c r="AO27">
        <v>39.383461818181821</v>
      </c>
      <c r="AP27">
        <v>-2.5272648056293251E-5</v>
      </c>
      <c r="AQ27">
        <v>78.256628681857038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50076.376922215844</v>
      </c>
      <c r="AW27" t="s">
        <v>965</v>
      </c>
      <c r="AX27">
        <v>5108.9799999999996</v>
      </c>
      <c r="AY27">
        <v>586.62058823529424</v>
      </c>
      <c r="AZ27">
        <v>2589.38</v>
      </c>
      <c r="BA27">
        <f t="shared" si="30"/>
        <v>0.77345133266060051</v>
      </c>
      <c r="BB27">
        <v>-3.628501447085184</v>
      </c>
      <c r="BC27" t="s">
        <v>1005</v>
      </c>
      <c r="BD27">
        <v>5107.3100000000004</v>
      </c>
      <c r="BE27">
        <v>1010.804705882353</v>
      </c>
      <c r="BF27">
        <v>2191.13</v>
      </c>
      <c r="BG27">
        <f t="shared" si="31"/>
        <v>0.53868337073457395</v>
      </c>
      <c r="BH27">
        <v>0.5</v>
      </c>
      <c r="BI27">
        <f t="shared" si="32"/>
        <v>168.30921983380782</v>
      </c>
      <c r="BJ27">
        <f t="shared" si="33"/>
        <v>7.3523128023066855</v>
      </c>
      <c r="BK27">
        <f t="shared" si="34"/>
        <v>45.332688932891003</v>
      </c>
      <c r="BL27">
        <f t="shared" si="35"/>
        <v>6.5241905703291622E-2</v>
      </c>
      <c r="BM27">
        <f t="shared" si="36"/>
        <v>0.18175553253344165</v>
      </c>
      <c r="BN27">
        <f t="shared" si="37"/>
        <v>563.4209022833445</v>
      </c>
      <c r="BO27" t="s">
        <v>407</v>
      </c>
      <c r="BP27">
        <v>0</v>
      </c>
      <c r="BQ27">
        <f t="shared" si="38"/>
        <v>563.4209022833445</v>
      </c>
      <c r="BR27">
        <f t="shared" si="39"/>
        <v>0.74286285967361843</v>
      </c>
      <c r="BS27">
        <f t="shared" si="40"/>
        <v>0.72514511086373046</v>
      </c>
      <c r="BT27">
        <f t="shared" si="41"/>
        <v>0.19657356382408961</v>
      </c>
      <c r="BU27">
        <f t="shared" si="42"/>
        <v>0.73563002215080586</v>
      </c>
      <c r="BV27">
        <f t="shared" si="43"/>
        <v>0.19885064459594132</v>
      </c>
      <c r="BW27">
        <f t="shared" si="44"/>
        <v>0.40419470771315463</v>
      </c>
      <c r="BX27">
        <f t="shared" si="45"/>
        <v>0.59580529228684531</v>
      </c>
      <c r="DG27">
        <f t="shared" si="46"/>
        <v>200.0199032258065</v>
      </c>
      <c r="DH27">
        <f t="shared" si="47"/>
        <v>168.30921983380782</v>
      </c>
      <c r="DI27">
        <f t="shared" si="48"/>
        <v>0.84146236009223607</v>
      </c>
      <c r="DJ27">
        <f t="shared" si="49"/>
        <v>0.16242235497801574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1782837733.599999</v>
      </c>
      <c r="DQ27">
        <v>420.06316129032268</v>
      </c>
      <c r="DR27">
        <v>431.03922580645161</v>
      </c>
      <c r="DS27">
        <v>39.39704193548387</v>
      </c>
      <c r="DT27">
        <v>34.470454838709678</v>
      </c>
      <c r="DU27">
        <v>424.74819354838712</v>
      </c>
      <c r="DV27">
        <v>38.886403225806447</v>
      </c>
      <c r="DW27">
        <v>500.06029032258061</v>
      </c>
      <c r="DX27">
        <v>97.422048387096794</v>
      </c>
      <c r="DY27">
        <v>5.1846887096774187E-2</v>
      </c>
      <c r="DZ27">
        <v>35.77503225806452</v>
      </c>
      <c r="EA27">
        <v>35.225941935483867</v>
      </c>
      <c r="EB27">
        <v>999.90000000000032</v>
      </c>
      <c r="EC27">
        <v>0</v>
      </c>
      <c r="ED27">
        <v>0</v>
      </c>
      <c r="EE27">
        <v>10005.483870967741</v>
      </c>
      <c r="EF27">
        <v>0</v>
      </c>
      <c r="EG27">
        <v>1211.6238709677421</v>
      </c>
      <c r="EH27">
        <v>-10.97604193548387</v>
      </c>
      <c r="EI27">
        <v>437.29119354838713</v>
      </c>
      <c r="EJ27">
        <v>446.42780645161292</v>
      </c>
      <c r="EK27">
        <v>4.9265809677419341</v>
      </c>
      <c r="EL27">
        <v>431.03922580645161</v>
      </c>
      <c r="EM27">
        <v>34.470454838709678</v>
      </c>
      <c r="EN27">
        <v>3.83814129032258</v>
      </c>
      <c r="EO27">
        <v>3.3581822580645162</v>
      </c>
      <c r="EP27">
        <v>28.194754838709681</v>
      </c>
      <c r="EQ27">
        <v>25.919312903225801</v>
      </c>
      <c r="ER27">
        <v>200.0199032258065</v>
      </c>
      <c r="ES27">
        <v>0.9500032903225808</v>
      </c>
      <c r="ET27">
        <v>4.9996238709677412E-2</v>
      </c>
      <c r="EU27">
        <v>0</v>
      </c>
      <c r="EV27">
        <v>1010.8703225806451</v>
      </c>
      <c r="EW27">
        <v>5.0010700000000003</v>
      </c>
      <c r="EX27">
        <v>5292.7922580645163</v>
      </c>
      <c r="EY27">
        <v>1752.008064516129</v>
      </c>
      <c r="EZ27">
        <v>41.031999999999996</v>
      </c>
      <c r="FA27">
        <v>44.378999999999998</v>
      </c>
      <c r="FB27">
        <v>42.899000000000008</v>
      </c>
      <c r="FC27">
        <v>44.340451612903223</v>
      </c>
      <c r="FD27">
        <v>43.711387096774168</v>
      </c>
      <c r="FE27">
        <v>185.26806451612899</v>
      </c>
      <c r="FF27">
        <v>9.75</v>
      </c>
      <c r="FG27">
        <v>0</v>
      </c>
      <c r="FH27">
        <v>145.5999999046326</v>
      </c>
      <c r="FI27">
        <v>0</v>
      </c>
      <c r="FJ27">
        <v>1010.804705882353</v>
      </c>
      <c r="FK27">
        <v>-0.90441173274581255</v>
      </c>
      <c r="FL27">
        <v>547.59804249358183</v>
      </c>
      <c r="FM27">
        <v>5282.5164705882353</v>
      </c>
      <c r="FN27">
        <v>10</v>
      </c>
      <c r="FO27">
        <v>1782837703.0999999</v>
      </c>
      <c r="FP27" t="s">
        <v>1006</v>
      </c>
      <c r="FQ27">
        <v>1782837703.0999999</v>
      </c>
      <c r="FR27">
        <v>1782837703.0999999</v>
      </c>
      <c r="FS27">
        <v>27</v>
      </c>
      <c r="FT27">
        <v>3.9E-2</v>
      </c>
      <c r="FU27">
        <v>-4.0000000000000001E-3</v>
      </c>
      <c r="FV27">
        <v>-4.7240000000000002</v>
      </c>
      <c r="FW27">
        <v>0.35299999999999998</v>
      </c>
      <c r="FX27">
        <v>431</v>
      </c>
      <c r="FY27">
        <v>34</v>
      </c>
      <c r="FZ27">
        <v>0.8</v>
      </c>
      <c r="GA27">
        <v>0.05</v>
      </c>
      <c r="GB27">
        <v>-11.05365853658537</v>
      </c>
      <c r="GC27">
        <v>0.87518257839721358</v>
      </c>
      <c r="GD27">
        <v>0.20052614448557249</v>
      </c>
      <c r="GE27">
        <v>1</v>
      </c>
      <c r="GF27">
        <v>1010.957352941177</v>
      </c>
      <c r="GG27">
        <v>-1.448281126321922</v>
      </c>
      <c r="GH27">
        <v>0.25841495157446248</v>
      </c>
      <c r="GI27">
        <v>1</v>
      </c>
      <c r="GJ27">
        <v>4.9329212195121954</v>
      </c>
      <c r="GK27">
        <v>-0.12340933797909941</v>
      </c>
      <c r="GL27">
        <v>3.0346780453264648E-2</v>
      </c>
      <c r="GM27">
        <v>1</v>
      </c>
      <c r="GN27">
        <v>3</v>
      </c>
      <c r="GO27">
        <v>3</v>
      </c>
      <c r="GP27" t="s">
        <v>599</v>
      </c>
      <c r="GQ27">
        <v>3.1345000000000001</v>
      </c>
      <c r="GR27">
        <v>2.72811</v>
      </c>
      <c r="GS27">
        <v>9.0564599999999995E-2</v>
      </c>
      <c r="GT27">
        <v>9.23036E-2</v>
      </c>
      <c r="GU27">
        <v>0.154808</v>
      </c>
      <c r="GV27">
        <v>0.14236299999999999</v>
      </c>
      <c r="GW27">
        <v>22744.7</v>
      </c>
      <c r="GX27">
        <v>30516.400000000001</v>
      </c>
      <c r="GY27">
        <v>27140</v>
      </c>
      <c r="GZ27">
        <v>34587.300000000003</v>
      </c>
      <c r="HA27">
        <v>33611.1</v>
      </c>
      <c r="HB27">
        <v>37916</v>
      </c>
      <c r="HC27">
        <v>40073.5</v>
      </c>
      <c r="HD27">
        <v>44282.6</v>
      </c>
      <c r="HE27">
        <v>1.9436</v>
      </c>
      <c r="HF27">
        <v>1.7276</v>
      </c>
      <c r="HG27">
        <v>3.9398700000000002E-2</v>
      </c>
      <c r="HH27">
        <v>0</v>
      </c>
      <c r="HI27">
        <v>34.6053</v>
      </c>
      <c r="HJ27">
        <v>999.9</v>
      </c>
      <c r="HK27">
        <v>59.9</v>
      </c>
      <c r="HL27">
        <v>38.200000000000003</v>
      </c>
      <c r="HM27">
        <v>41.378999999999998</v>
      </c>
      <c r="HN27">
        <v>59.9465</v>
      </c>
      <c r="HO27">
        <v>5.4807699999999997</v>
      </c>
      <c r="HP27">
        <v>1</v>
      </c>
      <c r="HQ27">
        <v>0.74040700000000004</v>
      </c>
      <c r="HR27">
        <v>0</v>
      </c>
      <c r="HS27">
        <v>20.2895</v>
      </c>
      <c r="HT27">
        <v>5.2100999999999997</v>
      </c>
      <c r="HU27">
        <v>11.908099999999999</v>
      </c>
      <c r="HV27">
        <v>4.9820000000000002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1.8675200000000001</v>
      </c>
      <c r="IC27">
        <v>1.8631</v>
      </c>
      <c r="ID27">
        <v>1.8626400000000001</v>
      </c>
      <c r="IE27">
        <v>1.86212</v>
      </c>
      <c r="IF27">
        <v>1.8621799999999999</v>
      </c>
      <c r="IG27">
        <v>1.8627899999999999</v>
      </c>
      <c r="IH27">
        <v>1.8635600000000001</v>
      </c>
      <c r="II27">
        <v>1.8615699999999999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-4.6849999999999996</v>
      </c>
      <c r="IX27">
        <v>0.50990000000000002</v>
      </c>
      <c r="IY27">
        <v>-2.9577326662734071</v>
      </c>
      <c r="IZ27">
        <v>-4.6713445918306539E-3</v>
      </c>
      <c r="JA27">
        <v>1.452628845961848E-6</v>
      </c>
      <c r="JB27">
        <v>-6.9306854222146279E-11</v>
      </c>
      <c r="JC27">
        <v>-0.32655699022073642</v>
      </c>
      <c r="JD27">
        <v>2.7492919904454862E-4</v>
      </c>
      <c r="JE27">
        <v>8.6739513355948885E-4</v>
      </c>
      <c r="JF27">
        <v>-8.2500691715147318E-6</v>
      </c>
      <c r="JG27">
        <v>18</v>
      </c>
      <c r="JH27">
        <v>1867</v>
      </c>
      <c r="JI27">
        <v>2</v>
      </c>
      <c r="JJ27">
        <v>37</v>
      </c>
      <c r="JK27">
        <v>0.6</v>
      </c>
      <c r="JL27">
        <v>0.6</v>
      </c>
      <c r="JM27">
        <v>1.11084</v>
      </c>
      <c r="JN27">
        <v>2.5293000000000001</v>
      </c>
      <c r="JO27">
        <v>1.50024</v>
      </c>
      <c r="JP27">
        <v>2.2729499999999998</v>
      </c>
      <c r="JQ27">
        <v>1.4477500000000001</v>
      </c>
      <c r="JR27">
        <v>2.4731399999999999</v>
      </c>
      <c r="JS27">
        <v>43.8367</v>
      </c>
      <c r="JT27">
        <v>14.928800000000001</v>
      </c>
      <c r="JU27">
        <v>18</v>
      </c>
      <c r="JV27">
        <v>547.69200000000001</v>
      </c>
      <c r="JW27">
        <v>419.04500000000002</v>
      </c>
      <c r="JX27">
        <v>35.747</v>
      </c>
      <c r="JY27">
        <v>36.362299999999998</v>
      </c>
      <c r="JZ27">
        <v>30.0001</v>
      </c>
      <c r="KA27">
        <v>36.194000000000003</v>
      </c>
      <c r="KB27">
        <v>36.127299999999998</v>
      </c>
      <c r="KC27">
        <v>22.219799999999999</v>
      </c>
      <c r="KD27">
        <v>31.904</v>
      </c>
      <c r="KE27">
        <v>85.851600000000005</v>
      </c>
      <c r="KF27">
        <v>-999.9</v>
      </c>
      <c r="KG27">
        <v>431.053</v>
      </c>
      <c r="KH27">
        <v>34.413499999999999</v>
      </c>
      <c r="KI27">
        <v>100.158</v>
      </c>
      <c r="KJ27">
        <v>99.235100000000003</v>
      </c>
    </row>
    <row r="28" spans="1:296" x14ac:dyDescent="0.3">
      <c r="A28">
        <v>12</v>
      </c>
      <c r="B28">
        <v>1782837924.0999999</v>
      </c>
      <c r="C28">
        <v>1617.599999904633</v>
      </c>
      <c r="D28" t="s">
        <v>1007</v>
      </c>
      <c r="E28" t="s">
        <v>1008</v>
      </c>
      <c r="F28">
        <v>15</v>
      </c>
      <c r="H28">
        <v>1782837916.099999</v>
      </c>
      <c r="I28">
        <f t="shared" si="0"/>
        <v>4.0549714931351769E-3</v>
      </c>
      <c r="J28">
        <f t="shared" si="1"/>
        <v>4.0549714931351772</v>
      </c>
      <c r="K28">
        <f t="shared" si="2"/>
        <v>1.7115338534776035</v>
      </c>
      <c r="L28">
        <f t="shared" si="3"/>
        <v>419.95696774193539</v>
      </c>
      <c r="M28">
        <f t="shared" si="4"/>
        <v>391.9600926303109</v>
      </c>
      <c r="N28">
        <f t="shared" si="5"/>
        <v>38.211383569429273</v>
      </c>
      <c r="O28">
        <f t="shared" si="6"/>
        <v>40.940741363118505</v>
      </c>
      <c r="P28">
        <f t="shared" si="7"/>
        <v>0.19814573204446109</v>
      </c>
      <c r="Q28">
        <f t="shared" si="8"/>
        <v>2.8834526531640665</v>
      </c>
      <c r="R28">
        <f t="shared" si="9"/>
        <v>0.19088013791397915</v>
      </c>
      <c r="S28">
        <f t="shared" si="10"/>
        <v>0.11993067466959073</v>
      </c>
      <c r="T28">
        <f t="shared" si="11"/>
        <v>16.508591932699233</v>
      </c>
      <c r="U28">
        <f t="shared" si="12"/>
        <v>35.175765478757995</v>
      </c>
      <c r="V28">
        <f t="shared" si="13"/>
        <v>35.692022580645158</v>
      </c>
      <c r="W28">
        <f t="shared" si="14"/>
        <v>5.8684661953094253</v>
      </c>
      <c r="X28">
        <f t="shared" si="15"/>
        <v>64.856797563805884</v>
      </c>
      <c r="Y28">
        <f t="shared" si="16"/>
        <v>3.9012480146710073</v>
      </c>
      <c r="Z28">
        <f t="shared" si="17"/>
        <v>6.0151721349377043</v>
      </c>
      <c r="AA28">
        <f t="shared" si="18"/>
        <v>1.9672181806384179</v>
      </c>
      <c r="AB28">
        <f t="shared" si="19"/>
        <v>-178.8242428472613</v>
      </c>
      <c r="AC28">
        <f t="shared" si="20"/>
        <v>69.775194872630095</v>
      </c>
      <c r="AD28">
        <f t="shared" si="21"/>
        <v>5.7019416648762951</v>
      </c>
      <c r="AE28">
        <f t="shared" si="22"/>
        <v>-86.838514377055674</v>
      </c>
      <c r="AF28">
        <f t="shared" si="23"/>
        <v>1.7115338534776035</v>
      </c>
      <c r="AG28">
        <f t="shared" si="24"/>
        <v>4.0549714931351772</v>
      </c>
      <c r="AH28">
        <f t="shared" si="25"/>
        <v>1.8101603242911593</v>
      </c>
      <c r="AI28">
        <v>439.63685355112767</v>
      </c>
      <c r="AJ28">
        <v>437.44031515151499</v>
      </c>
      <c r="AK28">
        <v>-1.086843695523773E-2</v>
      </c>
      <c r="AL28">
        <v>67.087508131459686</v>
      </c>
      <c r="AM28">
        <f t="shared" si="26"/>
        <v>4.0539050978293298</v>
      </c>
      <c r="AN28">
        <v>35.36061562286865</v>
      </c>
      <c r="AO28">
        <v>40.029688484848492</v>
      </c>
      <c r="AP28">
        <v>1.52109805740677E-4</v>
      </c>
      <c r="AQ28">
        <v>78.237176152801126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49977.972930370539</v>
      </c>
      <c r="AW28" t="s">
        <v>965</v>
      </c>
      <c r="AX28">
        <v>5108.9799999999996</v>
      </c>
      <c r="AY28">
        <v>586.62058823529424</v>
      </c>
      <c r="AZ28">
        <v>2589.38</v>
      </c>
      <c r="BA28">
        <f t="shared" si="30"/>
        <v>0.77345133266060051</v>
      </c>
      <c r="BB28">
        <v>-3.628501447085184</v>
      </c>
      <c r="BC28" t="s">
        <v>1009</v>
      </c>
      <c r="BD28">
        <v>5108.32</v>
      </c>
      <c r="BE28">
        <v>995.90888235294119</v>
      </c>
      <c r="BF28">
        <v>2300.0700000000002</v>
      </c>
      <c r="BG28">
        <f t="shared" si="31"/>
        <v>0.56700931608475347</v>
      </c>
      <c r="BH28">
        <v>0.5</v>
      </c>
      <c r="BI28">
        <f t="shared" si="32"/>
        <v>84.275601468054091</v>
      </c>
      <c r="BJ28">
        <f t="shared" si="33"/>
        <v>1.7115338534776035</v>
      </c>
      <c r="BK28">
        <f t="shared" si="34"/>
        <v>23.892525575516299</v>
      </c>
      <c r="BL28">
        <f t="shared" si="35"/>
        <v>6.3363953594410202E-2</v>
      </c>
      <c r="BM28">
        <f t="shared" si="36"/>
        <v>0.12578312833957225</v>
      </c>
      <c r="BN28">
        <f t="shared" si="37"/>
        <v>570.36739878304309</v>
      </c>
      <c r="BO28" t="s">
        <v>407</v>
      </c>
      <c r="BP28">
        <v>0</v>
      </c>
      <c r="BQ28">
        <f t="shared" si="38"/>
        <v>570.36739878304309</v>
      </c>
      <c r="BR28">
        <f t="shared" si="39"/>
        <v>0.75202172160714975</v>
      </c>
      <c r="BS28">
        <f t="shared" si="40"/>
        <v>0.75397997131385341</v>
      </c>
      <c r="BT28">
        <f t="shared" si="41"/>
        <v>0.14329281542156733</v>
      </c>
      <c r="BU28">
        <f t="shared" si="42"/>
        <v>0.76113196496643865</v>
      </c>
      <c r="BV28">
        <f t="shared" si="43"/>
        <v>0.14445569362975963</v>
      </c>
      <c r="BW28">
        <f t="shared" si="44"/>
        <v>0.43181218944123417</v>
      </c>
      <c r="BX28">
        <f t="shared" si="45"/>
        <v>0.56818781055876588</v>
      </c>
      <c r="DG28">
        <f t="shared" si="46"/>
        <v>99.988587096774225</v>
      </c>
      <c r="DH28">
        <f t="shared" si="47"/>
        <v>84.275601468054091</v>
      </c>
      <c r="DI28">
        <f t="shared" si="48"/>
        <v>0.84285220858744336</v>
      </c>
      <c r="DJ28">
        <f t="shared" si="49"/>
        <v>0.16510476257376602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1782837916.099999</v>
      </c>
      <c r="DQ28">
        <v>419.95696774193539</v>
      </c>
      <c r="DR28">
        <v>424.05432258064519</v>
      </c>
      <c r="DS28">
        <v>40.017748387096773</v>
      </c>
      <c r="DT28">
        <v>35.346487096774183</v>
      </c>
      <c r="DU28">
        <v>424.67045161290321</v>
      </c>
      <c r="DV28">
        <v>39.503783870967737</v>
      </c>
      <c r="DW28">
        <v>499.99780645161292</v>
      </c>
      <c r="DX28">
        <v>97.436196774193547</v>
      </c>
      <c r="DY28">
        <v>5.1747248387096767E-2</v>
      </c>
      <c r="DZ28">
        <v>36.140874193548392</v>
      </c>
      <c r="EA28">
        <v>35.692022580645158</v>
      </c>
      <c r="EB28">
        <v>999.90000000000032</v>
      </c>
      <c r="EC28">
        <v>0</v>
      </c>
      <c r="ED28">
        <v>0</v>
      </c>
      <c r="EE28">
        <v>9995.8064516129034</v>
      </c>
      <c r="EF28">
        <v>0</v>
      </c>
      <c r="EG28">
        <v>1803.1987096774189</v>
      </c>
      <c r="EH28">
        <v>-4.0974374193548382</v>
      </c>
      <c r="EI28">
        <v>437.46322580645159</v>
      </c>
      <c r="EJ28">
        <v>439.59232258064509</v>
      </c>
      <c r="EK28">
        <v>4.6712612903225796</v>
      </c>
      <c r="EL28">
        <v>424.05432258064519</v>
      </c>
      <c r="EM28">
        <v>35.346487096774183</v>
      </c>
      <c r="EN28">
        <v>3.8991774193548392</v>
      </c>
      <c r="EO28">
        <v>3.444026774193548</v>
      </c>
      <c r="EP28">
        <v>28.46606774193549</v>
      </c>
      <c r="EQ28">
        <v>26.34631612903226</v>
      </c>
      <c r="ER28">
        <v>99.988587096774225</v>
      </c>
      <c r="ES28">
        <v>0.89992664516129017</v>
      </c>
      <c r="ET28">
        <v>0.10007347741935479</v>
      </c>
      <c r="EU28">
        <v>0</v>
      </c>
      <c r="EV28">
        <v>996.10474193548384</v>
      </c>
      <c r="EW28">
        <v>5.0010700000000003</v>
      </c>
      <c r="EX28">
        <v>5477.438387096774</v>
      </c>
      <c r="EY28">
        <v>836.44641935483867</v>
      </c>
      <c r="EZ28">
        <v>40.811999999999983</v>
      </c>
      <c r="FA28">
        <v>44.555999999999983</v>
      </c>
      <c r="FB28">
        <v>42.75</v>
      </c>
      <c r="FC28">
        <v>44.543999999999983</v>
      </c>
      <c r="FD28">
        <v>43.561999999999969</v>
      </c>
      <c r="FE28">
        <v>85.482903225806425</v>
      </c>
      <c r="FF28">
        <v>9.506451612903227</v>
      </c>
      <c r="FG28">
        <v>0</v>
      </c>
      <c r="FH28">
        <v>181.89999985694891</v>
      </c>
      <c r="FI28">
        <v>0</v>
      </c>
      <c r="FJ28">
        <v>995.90888235294119</v>
      </c>
      <c r="FK28">
        <v>-3.6178921601499301</v>
      </c>
      <c r="FL28">
        <v>-349.94852669016848</v>
      </c>
      <c r="FM28">
        <v>5472.6705882352944</v>
      </c>
      <c r="FN28">
        <v>10</v>
      </c>
      <c r="FO28">
        <v>1782837887.5999999</v>
      </c>
      <c r="FP28" t="s">
        <v>1010</v>
      </c>
      <c r="FQ28">
        <v>1782837881.5999999</v>
      </c>
      <c r="FR28">
        <v>1782837887.5999999</v>
      </c>
      <c r="FS28">
        <v>28</v>
      </c>
      <c r="FT28">
        <v>-2.9000000000000001E-2</v>
      </c>
      <c r="FU28">
        <v>-1.4999999999999999E-2</v>
      </c>
      <c r="FV28">
        <v>-4.7279999999999998</v>
      </c>
      <c r="FW28">
        <v>0.37</v>
      </c>
      <c r="FX28">
        <v>424</v>
      </c>
      <c r="FY28">
        <v>35</v>
      </c>
      <c r="FZ28">
        <v>1.7</v>
      </c>
      <c r="GA28">
        <v>0.08</v>
      </c>
      <c r="GB28">
        <v>-4.1831456097560977</v>
      </c>
      <c r="GC28">
        <v>1.033890313588848</v>
      </c>
      <c r="GD28">
        <v>0.18298822270577539</v>
      </c>
      <c r="GE28">
        <v>0</v>
      </c>
      <c r="GF28">
        <v>996.28020588235302</v>
      </c>
      <c r="GG28">
        <v>-3.1082811396567611</v>
      </c>
      <c r="GH28">
        <v>0.39111655998540662</v>
      </c>
      <c r="GI28">
        <v>1</v>
      </c>
      <c r="GJ28">
        <v>4.6896112195121953</v>
      </c>
      <c r="GK28">
        <v>-0.29220146341463282</v>
      </c>
      <c r="GL28">
        <v>3.1234566936064911E-2</v>
      </c>
      <c r="GM28">
        <v>1</v>
      </c>
      <c r="GN28">
        <v>2</v>
      </c>
      <c r="GO28">
        <v>3</v>
      </c>
      <c r="GP28" t="s">
        <v>598</v>
      </c>
      <c r="GQ28">
        <v>3.1351300000000002</v>
      </c>
      <c r="GR28">
        <v>2.7270699999999999</v>
      </c>
      <c r="GS28">
        <v>9.0554899999999994E-2</v>
      </c>
      <c r="GT28">
        <v>9.1139800000000007E-2</v>
      </c>
      <c r="GU28">
        <v>0.156523</v>
      </c>
      <c r="GV28">
        <v>0.145257</v>
      </c>
      <c r="GW28">
        <v>22739.200000000001</v>
      </c>
      <c r="GX28">
        <v>30548.6</v>
      </c>
      <c r="GY28">
        <v>27133.8</v>
      </c>
      <c r="GZ28">
        <v>34580.400000000001</v>
      </c>
      <c r="HA28">
        <v>33537.4</v>
      </c>
      <c r="HB28">
        <v>37782.800000000003</v>
      </c>
      <c r="HC28">
        <v>40064.699999999997</v>
      </c>
      <c r="HD28">
        <v>44275.5</v>
      </c>
      <c r="HE28">
        <v>1.9419999999999999</v>
      </c>
      <c r="HF28">
        <v>1.7256</v>
      </c>
      <c r="HG28">
        <v>3.21865E-2</v>
      </c>
      <c r="HH28">
        <v>0</v>
      </c>
      <c r="HI28">
        <v>35.186</v>
      </c>
      <c r="HJ28">
        <v>999.9</v>
      </c>
      <c r="HK28">
        <v>59.6</v>
      </c>
      <c r="HL28">
        <v>38.5</v>
      </c>
      <c r="HM28">
        <v>41.837400000000002</v>
      </c>
      <c r="HN28">
        <v>59.826500000000003</v>
      </c>
      <c r="HO28">
        <v>5.2604100000000003</v>
      </c>
      <c r="HP28">
        <v>1</v>
      </c>
      <c r="HQ28">
        <v>0.75333300000000003</v>
      </c>
      <c r="HR28">
        <v>0</v>
      </c>
      <c r="HS28">
        <v>20.289200000000001</v>
      </c>
      <c r="HT28">
        <v>5.2029100000000001</v>
      </c>
      <c r="HU28">
        <v>11.908099999999999</v>
      </c>
      <c r="HV28">
        <v>4.9812000000000003</v>
      </c>
      <c r="HW28">
        <v>3.2694000000000001</v>
      </c>
      <c r="HX28">
        <v>9999</v>
      </c>
      <c r="HY28">
        <v>9999</v>
      </c>
      <c r="HZ28">
        <v>9999</v>
      </c>
      <c r="IA28">
        <v>999.9</v>
      </c>
      <c r="IB28">
        <v>1.8674900000000001</v>
      </c>
      <c r="IC28">
        <v>1.8631</v>
      </c>
      <c r="ID28">
        <v>1.8626400000000001</v>
      </c>
      <c r="IE28">
        <v>1.86215</v>
      </c>
      <c r="IF28">
        <v>1.8621799999999999</v>
      </c>
      <c r="IG28">
        <v>1.86273</v>
      </c>
      <c r="IH28">
        <v>1.8636200000000001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-4.7140000000000004</v>
      </c>
      <c r="IX28">
        <v>0.51439999999999997</v>
      </c>
      <c r="IY28">
        <v>-2.9863698236489662</v>
      </c>
      <c r="IZ28">
        <v>-4.6713445918306539E-3</v>
      </c>
      <c r="JA28">
        <v>1.452628845961848E-6</v>
      </c>
      <c r="JB28">
        <v>-6.9306854222146279E-11</v>
      </c>
      <c r="JC28">
        <v>-0.34191096931164561</v>
      </c>
      <c r="JD28">
        <v>2.7492919904454862E-4</v>
      </c>
      <c r="JE28">
        <v>8.6739513355948885E-4</v>
      </c>
      <c r="JF28">
        <v>-8.2500691715147318E-6</v>
      </c>
      <c r="JG28">
        <v>18</v>
      </c>
      <c r="JH28">
        <v>1867</v>
      </c>
      <c r="JI28">
        <v>2</v>
      </c>
      <c r="JJ28">
        <v>37</v>
      </c>
      <c r="JK28">
        <v>0.7</v>
      </c>
      <c r="JL28">
        <v>0.6</v>
      </c>
      <c r="JM28">
        <v>1.09741</v>
      </c>
      <c r="JN28">
        <v>2.5317400000000001</v>
      </c>
      <c r="JO28">
        <v>1.50024</v>
      </c>
      <c r="JP28">
        <v>2.2717299999999998</v>
      </c>
      <c r="JQ28">
        <v>1.4477500000000001</v>
      </c>
      <c r="JR28">
        <v>2.3950200000000001</v>
      </c>
      <c r="JS28">
        <v>44.167700000000004</v>
      </c>
      <c r="JT28">
        <v>14.9026</v>
      </c>
      <c r="JU28">
        <v>18</v>
      </c>
      <c r="JV28">
        <v>547.97199999999998</v>
      </c>
      <c r="JW28">
        <v>418.97</v>
      </c>
      <c r="JX28">
        <v>36.032299999999999</v>
      </c>
      <c r="JY28">
        <v>36.528799999999997</v>
      </c>
      <c r="JZ28">
        <v>30.0002</v>
      </c>
      <c r="KA28">
        <v>36.365299999999998</v>
      </c>
      <c r="KB28">
        <v>36.311</v>
      </c>
      <c r="KC28">
        <v>21.9572</v>
      </c>
      <c r="KD28">
        <v>30.692399999999999</v>
      </c>
      <c r="KE28">
        <v>86.757099999999994</v>
      </c>
      <c r="KF28">
        <v>-999.9</v>
      </c>
      <c r="KG28">
        <v>424.089</v>
      </c>
      <c r="KH28">
        <v>35.473599999999998</v>
      </c>
      <c r="KI28">
        <v>100.136</v>
      </c>
      <c r="KJ28">
        <v>99.217600000000004</v>
      </c>
    </row>
    <row r="29" spans="1:296" x14ac:dyDescent="0.3">
      <c r="A29">
        <v>13</v>
      </c>
      <c r="B29">
        <v>1782838062</v>
      </c>
      <c r="C29">
        <v>1755.5</v>
      </c>
      <c r="D29" t="s">
        <v>1011</v>
      </c>
      <c r="E29" t="s">
        <v>1012</v>
      </c>
      <c r="F29">
        <v>15</v>
      </c>
      <c r="H29">
        <v>1782838054</v>
      </c>
      <c r="I29">
        <f t="shared" si="0"/>
        <v>3.675028567456053E-3</v>
      </c>
      <c r="J29">
        <f t="shared" si="1"/>
        <v>3.675028567456053</v>
      </c>
      <c r="K29">
        <f t="shared" si="2"/>
        <v>-1.2750717663304703</v>
      </c>
      <c r="L29">
        <f t="shared" si="3"/>
        <v>420.01616129032249</v>
      </c>
      <c r="M29">
        <f t="shared" si="4"/>
        <v>417.60150489306358</v>
      </c>
      <c r="N29">
        <f t="shared" si="5"/>
        <v>40.714320245859426</v>
      </c>
      <c r="O29">
        <f t="shared" si="6"/>
        <v>40.949738683508222</v>
      </c>
      <c r="P29">
        <f t="shared" si="7"/>
        <v>0.18015872650834258</v>
      </c>
      <c r="Q29">
        <f t="shared" si="8"/>
        <v>2.8850697211493062</v>
      </c>
      <c r="R29">
        <f t="shared" si="9"/>
        <v>0.17413402184314791</v>
      </c>
      <c r="S29">
        <f t="shared" si="10"/>
        <v>0.10935827552284386</v>
      </c>
      <c r="T29">
        <f t="shared" si="11"/>
        <v>8.2389901509960772</v>
      </c>
      <c r="U29">
        <f t="shared" si="12"/>
        <v>35.277890981290795</v>
      </c>
      <c r="V29">
        <f t="shared" si="13"/>
        <v>35.724845161290332</v>
      </c>
      <c r="W29">
        <f t="shared" si="14"/>
        <v>5.8790877991958252</v>
      </c>
      <c r="X29">
        <f t="shared" si="15"/>
        <v>65.067560321084656</v>
      </c>
      <c r="Y29">
        <f t="shared" si="16"/>
        <v>3.9249367786264555</v>
      </c>
      <c r="Z29">
        <f t="shared" si="17"/>
        <v>6.0320945787091524</v>
      </c>
      <c r="AA29">
        <f t="shared" si="18"/>
        <v>1.9541510205693697</v>
      </c>
      <c r="AB29">
        <f t="shared" si="19"/>
        <v>-162.06875982481193</v>
      </c>
      <c r="AC29">
        <f t="shared" si="20"/>
        <v>72.666726153808924</v>
      </c>
      <c r="AD29">
        <f t="shared" si="21"/>
        <v>5.9373264706129438</v>
      </c>
      <c r="AE29">
        <f t="shared" si="22"/>
        <v>-75.225717049393978</v>
      </c>
      <c r="AF29">
        <f t="shared" si="23"/>
        <v>-1.2750717663304703</v>
      </c>
      <c r="AG29">
        <f t="shared" si="24"/>
        <v>3.675028567456053</v>
      </c>
      <c r="AH29">
        <f t="shared" si="25"/>
        <v>-1.3188136893640867</v>
      </c>
      <c r="AI29">
        <v>436.03110519717899</v>
      </c>
      <c r="AJ29">
        <v>437.6908121212121</v>
      </c>
      <c r="AK29">
        <v>-3.514567042244383E-3</v>
      </c>
      <c r="AL29">
        <v>67.034781453886225</v>
      </c>
      <c r="AM29">
        <f t="shared" si="26"/>
        <v>3.6693442937192238</v>
      </c>
      <c r="AN29">
        <v>36.040332584818508</v>
      </c>
      <c r="AO29">
        <v>40.271749696969692</v>
      </c>
      <c r="AP29">
        <v>-8.7638842437663276E-4</v>
      </c>
      <c r="AQ29">
        <v>78.065054369336252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50014.439850437593</v>
      </c>
      <c r="AW29" t="s">
        <v>965</v>
      </c>
      <c r="AX29">
        <v>5108.9799999999996</v>
      </c>
      <c r="AY29">
        <v>586.62058823529424</v>
      </c>
      <c r="AZ29">
        <v>2589.38</v>
      </c>
      <c r="BA29">
        <f t="shared" si="30"/>
        <v>0.77345133266060051</v>
      </c>
      <c r="BB29">
        <v>-3.628501447085184</v>
      </c>
      <c r="BC29" t="s">
        <v>1013</v>
      </c>
      <c r="BD29">
        <v>5103.97</v>
      </c>
      <c r="BE29">
        <v>947.72941176470579</v>
      </c>
      <c r="BF29">
        <v>2388.37</v>
      </c>
      <c r="BG29">
        <f t="shared" si="31"/>
        <v>0.60318986933988206</v>
      </c>
      <c r="BH29">
        <v>0.5</v>
      </c>
      <c r="BI29">
        <f t="shared" si="32"/>
        <v>42.126787292677236</v>
      </c>
      <c r="BJ29">
        <f t="shared" si="33"/>
        <v>-1.2750717663304703</v>
      </c>
      <c r="BK29">
        <f t="shared" si="34"/>
        <v>12.705225661389493</v>
      </c>
      <c r="BL29">
        <f t="shared" si="35"/>
        <v>5.5865396627665521E-2</v>
      </c>
      <c r="BM29">
        <f t="shared" si="36"/>
        <v>8.4162001699904218E-2</v>
      </c>
      <c r="BN29">
        <f t="shared" si="37"/>
        <v>575.64488842133164</v>
      </c>
      <c r="BO29" t="s">
        <v>407</v>
      </c>
      <c r="BP29">
        <v>0</v>
      </c>
      <c r="BQ29">
        <f t="shared" si="38"/>
        <v>575.64488842133164</v>
      </c>
      <c r="BR29">
        <f t="shared" si="39"/>
        <v>0.75898002050715274</v>
      </c>
      <c r="BS29">
        <f t="shared" si="40"/>
        <v>0.79473748062146465</v>
      </c>
      <c r="BT29">
        <f t="shared" si="41"/>
        <v>9.9819484123916544E-2</v>
      </c>
      <c r="BU29">
        <f t="shared" si="42"/>
        <v>0.79957877539933431</v>
      </c>
      <c r="BV29">
        <f t="shared" si="43"/>
        <v>0.10036652371683667</v>
      </c>
      <c r="BW29">
        <f t="shared" si="44"/>
        <v>0.48271855096776728</v>
      </c>
      <c r="BX29">
        <f t="shared" si="45"/>
        <v>0.51728144903223272</v>
      </c>
      <c r="DG29">
        <f t="shared" si="46"/>
        <v>49.990222580645167</v>
      </c>
      <c r="DH29">
        <f t="shared" si="47"/>
        <v>42.126787292677236</v>
      </c>
      <c r="DI29">
        <f t="shared" si="48"/>
        <v>0.84270053458388805</v>
      </c>
      <c r="DJ29">
        <f t="shared" si="49"/>
        <v>0.16481203174690379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1782838054</v>
      </c>
      <c r="DQ29">
        <v>420.01616129032249</v>
      </c>
      <c r="DR29">
        <v>420.33838709677411</v>
      </c>
      <c r="DS29">
        <v>40.257567741935482</v>
      </c>
      <c r="DT29">
        <v>36.024725806451613</v>
      </c>
      <c r="DU29">
        <v>424.70170967741927</v>
      </c>
      <c r="DV29">
        <v>39.753725806451612</v>
      </c>
      <c r="DW29">
        <v>499.95925806451612</v>
      </c>
      <c r="DX29">
        <v>97.443503225806438</v>
      </c>
      <c r="DY29">
        <v>5.2123032258064507E-2</v>
      </c>
      <c r="DZ29">
        <v>36.192035483870967</v>
      </c>
      <c r="EA29">
        <v>35.724845161290332</v>
      </c>
      <c r="EB29">
        <v>999.90000000000032</v>
      </c>
      <c r="EC29">
        <v>0</v>
      </c>
      <c r="ED29">
        <v>0</v>
      </c>
      <c r="EE29">
        <v>10004.35483870968</v>
      </c>
      <c r="EF29">
        <v>0</v>
      </c>
      <c r="EG29">
        <v>1554.9967741935479</v>
      </c>
      <c r="EH29">
        <v>-0.32217613870967737</v>
      </c>
      <c r="EI29">
        <v>437.63425806451608</v>
      </c>
      <c r="EJ29">
        <v>436.04683870967739</v>
      </c>
      <c r="EK29">
        <v>4.2328548387096774</v>
      </c>
      <c r="EL29">
        <v>420.33838709677411</v>
      </c>
      <c r="EM29">
        <v>36.024725806451613</v>
      </c>
      <c r="EN29">
        <v>3.92283870967742</v>
      </c>
      <c r="EO29">
        <v>3.5103751612903218</v>
      </c>
      <c r="EP29">
        <v>28.570241935483871</v>
      </c>
      <c r="EQ29">
        <v>26.670009677419358</v>
      </c>
      <c r="ER29">
        <v>49.990222580645167</v>
      </c>
      <c r="ES29">
        <v>0.89998270967741922</v>
      </c>
      <c r="ET29">
        <v>0.10001771290322579</v>
      </c>
      <c r="EU29">
        <v>0</v>
      </c>
      <c r="EV29">
        <v>947.73190322580649</v>
      </c>
      <c r="EW29">
        <v>5.0010700000000003</v>
      </c>
      <c r="EX29">
        <v>4282.2545161290318</v>
      </c>
      <c r="EY29">
        <v>396.17680645161289</v>
      </c>
      <c r="EZ29">
        <v>40.75</v>
      </c>
      <c r="FA29">
        <v>44.625</v>
      </c>
      <c r="FB29">
        <v>42.75</v>
      </c>
      <c r="FC29">
        <v>44.570129032258038</v>
      </c>
      <c r="FD29">
        <v>43.580290322580623</v>
      </c>
      <c r="FE29">
        <v>40.489032258064512</v>
      </c>
      <c r="FF29">
        <v>4.5</v>
      </c>
      <c r="FG29">
        <v>0</v>
      </c>
      <c r="FH29">
        <v>137.20000004768369</v>
      </c>
      <c r="FI29">
        <v>0</v>
      </c>
      <c r="FJ29">
        <v>947.72941176470579</v>
      </c>
      <c r="FK29">
        <v>-3.149509800370299</v>
      </c>
      <c r="FL29">
        <v>139.0980403244364</v>
      </c>
      <c r="FM29">
        <v>4286.208235294117</v>
      </c>
      <c r="FN29">
        <v>10</v>
      </c>
      <c r="FO29">
        <v>1782838017.5</v>
      </c>
      <c r="FP29" t="s">
        <v>1014</v>
      </c>
      <c r="FQ29">
        <v>1782838015.5</v>
      </c>
      <c r="FR29">
        <v>1782838017.5</v>
      </c>
      <c r="FS29">
        <v>29</v>
      </c>
      <c r="FT29">
        <v>2.8000000000000001E-2</v>
      </c>
      <c r="FU29">
        <v>-1.7999999999999999E-2</v>
      </c>
      <c r="FV29">
        <v>-4.6859999999999999</v>
      </c>
      <c r="FW29">
        <v>0.374</v>
      </c>
      <c r="FX29">
        <v>420</v>
      </c>
      <c r="FY29">
        <v>36</v>
      </c>
      <c r="FZ29">
        <v>1.46</v>
      </c>
      <c r="GA29">
        <v>0.08</v>
      </c>
      <c r="GB29">
        <v>-0.28465429250000002</v>
      </c>
      <c r="GC29">
        <v>-9.3734216510318213E-2</v>
      </c>
      <c r="GD29">
        <v>0.15480402769458451</v>
      </c>
      <c r="GE29">
        <v>1</v>
      </c>
      <c r="GF29">
        <v>947.86105882352945</v>
      </c>
      <c r="GG29">
        <v>-2.019220774608554</v>
      </c>
      <c r="GH29">
        <v>0.34652263665778271</v>
      </c>
      <c r="GI29">
        <v>1</v>
      </c>
      <c r="GJ29">
        <v>4.2561669999999996</v>
      </c>
      <c r="GK29">
        <v>-0.36445598499063397</v>
      </c>
      <c r="GL29">
        <v>4.8547615863191389E-2</v>
      </c>
      <c r="GM29">
        <v>1</v>
      </c>
      <c r="GN29">
        <v>3</v>
      </c>
      <c r="GO29">
        <v>3</v>
      </c>
      <c r="GP29" t="s">
        <v>599</v>
      </c>
      <c r="GQ29">
        <v>3.1349900000000002</v>
      </c>
      <c r="GR29">
        <v>2.72784</v>
      </c>
      <c r="GS29">
        <v>9.0516299999999994E-2</v>
      </c>
      <c r="GT29">
        <v>9.0509300000000001E-2</v>
      </c>
      <c r="GU29">
        <v>0.15712799999999999</v>
      </c>
      <c r="GV29">
        <v>0.14704300000000001</v>
      </c>
      <c r="GW29">
        <v>22730.9</v>
      </c>
      <c r="GX29">
        <v>30555.9</v>
      </c>
      <c r="GY29">
        <v>27123.8</v>
      </c>
      <c r="GZ29">
        <v>34566.300000000003</v>
      </c>
      <c r="HA29">
        <v>33503.9</v>
      </c>
      <c r="HB29">
        <v>37692.199999999997</v>
      </c>
      <c r="HC29">
        <v>40050.699999999997</v>
      </c>
      <c r="HD29">
        <v>44260.7</v>
      </c>
      <c r="HE29">
        <v>1.9406000000000001</v>
      </c>
      <c r="HF29">
        <v>1.72</v>
      </c>
      <c r="HG29">
        <v>2.7418100000000001E-2</v>
      </c>
      <c r="HH29">
        <v>0</v>
      </c>
      <c r="HI29">
        <v>35.283000000000001</v>
      </c>
      <c r="HJ29">
        <v>999.9</v>
      </c>
      <c r="HK29">
        <v>59.4</v>
      </c>
      <c r="HL29">
        <v>38.9</v>
      </c>
      <c r="HM29">
        <v>42.602200000000003</v>
      </c>
      <c r="HN29">
        <v>59.706499999999998</v>
      </c>
      <c r="HO29">
        <v>5.4847799999999998</v>
      </c>
      <c r="HP29">
        <v>1</v>
      </c>
      <c r="HQ29">
        <v>0.77280499999999996</v>
      </c>
      <c r="HR29">
        <v>0</v>
      </c>
      <c r="HS29">
        <v>20.290600000000001</v>
      </c>
      <c r="HT29">
        <v>5.2088999999999999</v>
      </c>
      <c r="HU29">
        <v>11.908099999999999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1.8675200000000001</v>
      </c>
      <c r="IC29">
        <v>1.8631</v>
      </c>
      <c r="ID29">
        <v>1.8626400000000001</v>
      </c>
      <c r="IE29">
        <v>1.8621799999999999</v>
      </c>
      <c r="IF29">
        <v>1.8621799999999999</v>
      </c>
      <c r="IG29">
        <v>1.86276</v>
      </c>
      <c r="IH29">
        <v>1.8636200000000001</v>
      </c>
      <c r="II29">
        <v>1.8615999999999999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-4.6859999999999999</v>
      </c>
      <c r="IX29">
        <v>0.50419999999999998</v>
      </c>
      <c r="IY29">
        <v>-2.9583162923489899</v>
      </c>
      <c r="IZ29">
        <v>-4.6713445918306539E-3</v>
      </c>
      <c r="JA29">
        <v>1.452628845961848E-6</v>
      </c>
      <c r="JB29">
        <v>-6.9306854222146279E-11</v>
      </c>
      <c r="JC29">
        <v>-0.35956738337274219</v>
      </c>
      <c r="JD29">
        <v>2.7492919904454862E-4</v>
      </c>
      <c r="JE29">
        <v>8.6739513355948885E-4</v>
      </c>
      <c r="JF29">
        <v>-8.2500691715147318E-6</v>
      </c>
      <c r="JG29">
        <v>18</v>
      </c>
      <c r="JH29">
        <v>1867</v>
      </c>
      <c r="JI29">
        <v>2</v>
      </c>
      <c r="JJ29">
        <v>37</v>
      </c>
      <c r="JK29">
        <v>0.8</v>
      </c>
      <c r="JL29">
        <v>0.7</v>
      </c>
      <c r="JM29">
        <v>1.09131</v>
      </c>
      <c r="JN29">
        <v>2.5293000000000001</v>
      </c>
      <c r="JO29">
        <v>1.50024</v>
      </c>
      <c r="JP29">
        <v>2.2717299999999998</v>
      </c>
      <c r="JQ29">
        <v>1.4477500000000001</v>
      </c>
      <c r="JR29">
        <v>2.4719199999999999</v>
      </c>
      <c r="JS29">
        <v>44.557299999999998</v>
      </c>
      <c r="JT29">
        <v>14.885</v>
      </c>
      <c r="JU29">
        <v>18</v>
      </c>
      <c r="JV29">
        <v>548.66300000000001</v>
      </c>
      <c r="JW29">
        <v>416.78899999999999</v>
      </c>
      <c r="JX29">
        <v>36.219700000000003</v>
      </c>
      <c r="JY29">
        <v>36.758400000000002</v>
      </c>
      <c r="JZ29">
        <v>30.000900000000001</v>
      </c>
      <c r="KA29">
        <v>36.571899999999999</v>
      </c>
      <c r="KB29">
        <v>36.512999999999998</v>
      </c>
      <c r="KC29">
        <v>21.823699999999999</v>
      </c>
      <c r="KD29">
        <v>30.547599999999999</v>
      </c>
      <c r="KE29">
        <v>89.352000000000004</v>
      </c>
      <c r="KF29">
        <v>-999.9</v>
      </c>
      <c r="KG29">
        <v>420.37200000000001</v>
      </c>
      <c r="KH29">
        <v>36.052500000000002</v>
      </c>
      <c r="KI29">
        <v>100.1</v>
      </c>
      <c r="KJ29">
        <v>99.181200000000004</v>
      </c>
    </row>
    <row r="30" spans="1:296" x14ac:dyDescent="0.3">
      <c r="A30">
        <v>14</v>
      </c>
      <c r="B30">
        <v>1782838217</v>
      </c>
      <c r="C30">
        <v>1910.5</v>
      </c>
      <c r="D30" t="s">
        <v>1015</v>
      </c>
      <c r="E30" t="s">
        <v>1016</v>
      </c>
      <c r="F30">
        <v>15</v>
      </c>
      <c r="H30">
        <v>1782838209</v>
      </c>
      <c r="I30">
        <f t="shared" si="0"/>
        <v>3.2809290288071231E-3</v>
      </c>
      <c r="J30">
        <f t="shared" si="1"/>
        <v>3.2809290288071229</v>
      </c>
      <c r="K30">
        <f t="shared" si="2"/>
        <v>-2.6564624254113753</v>
      </c>
      <c r="L30">
        <f t="shared" si="3"/>
        <v>420.05</v>
      </c>
      <c r="M30">
        <f t="shared" si="4"/>
        <v>433.07115327477851</v>
      </c>
      <c r="N30">
        <f t="shared" si="5"/>
        <v>42.220132359394405</v>
      </c>
      <c r="O30">
        <f t="shared" si="6"/>
        <v>40.950699356119998</v>
      </c>
      <c r="P30">
        <f t="shared" si="7"/>
        <v>0.15848057334867602</v>
      </c>
      <c r="Q30">
        <f t="shared" si="8"/>
        <v>2.8828635177992772</v>
      </c>
      <c r="R30">
        <f t="shared" si="9"/>
        <v>0.15379477072252282</v>
      </c>
      <c r="S30">
        <f t="shared" si="10"/>
        <v>9.6531192011365619E-2</v>
      </c>
      <c r="T30">
        <f t="shared" si="11"/>
        <v>4.9318900676927457</v>
      </c>
      <c r="U30">
        <f t="shared" si="12"/>
        <v>35.494774539211605</v>
      </c>
      <c r="V30">
        <f t="shared" si="13"/>
        <v>35.863041935483871</v>
      </c>
      <c r="W30">
        <f t="shared" si="14"/>
        <v>5.9239926072572349</v>
      </c>
      <c r="X30">
        <f t="shared" si="15"/>
        <v>64.996560873307345</v>
      </c>
      <c r="Y30">
        <f t="shared" si="16"/>
        <v>3.9495380332130092</v>
      </c>
      <c r="Z30">
        <f t="shared" si="17"/>
        <v>6.076533866017205</v>
      </c>
      <c r="AA30">
        <f t="shared" si="18"/>
        <v>1.9744545740442256</v>
      </c>
      <c r="AB30">
        <f t="shared" si="19"/>
        <v>-144.68897017039413</v>
      </c>
      <c r="AC30">
        <f t="shared" si="20"/>
        <v>71.921791083152158</v>
      </c>
      <c r="AD30">
        <f t="shared" si="21"/>
        <v>5.8887261074484334</v>
      </c>
      <c r="AE30">
        <f t="shared" si="22"/>
        <v>-61.946562912100802</v>
      </c>
      <c r="AF30">
        <f t="shared" si="23"/>
        <v>-2.6564624254113753</v>
      </c>
      <c r="AG30">
        <f t="shared" si="24"/>
        <v>3.2809290288071229</v>
      </c>
      <c r="AH30">
        <f t="shared" si="25"/>
        <v>-2.5624970390341768</v>
      </c>
      <c r="AI30">
        <v>434.43038206557458</v>
      </c>
      <c r="AJ30">
        <v>437.67924242424237</v>
      </c>
      <c r="AK30">
        <v>-1.1152900142602319E-2</v>
      </c>
      <c r="AL30">
        <v>67.087823269880886</v>
      </c>
      <c r="AM30">
        <f t="shared" si="26"/>
        <v>3.2267574806494022</v>
      </c>
      <c r="AN30">
        <v>36.689192082384523</v>
      </c>
      <c r="AO30">
        <v>40.442092727272723</v>
      </c>
      <c r="AP30">
        <v>-6.3235719949229956E-3</v>
      </c>
      <c r="AQ30">
        <v>78.238821809659072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49931.895954613363</v>
      </c>
      <c r="AW30" t="s">
        <v>965</v>
      </c>
      <c r="AX30">
        <v>5108.9799999999996</v>
      </c>
      <c r="AY30">
        <v>586.62058823529424</v>
      </c>
      <c r="AZ30">
        <v>2589.38</v>
      </c>
      <c r="BA30">
        <f t="shared" si="30"/>
        <v>0.77345133266060051</v>
      </c>
      <c r="BB30">
        <v>-3.628501447085184</v>
      </c>
      <c r="BC30" t="s">
        <v>1017</v>
      </c>
      <c r="BD30">
        <v>5101.91</v>
      </c>
      <c r="BE30">
        <v>901.72058823529414</v>
      </c>
      <c r="BF30">
        <v>2469.37</v>
      </c>
      <c r="BG30">
        <f t="shared" si="31"/>
        <v>0.63483779739962243</v>
      </c>
      <c r="BH30">
        <v>0.5</v>
      </c>
      <c r="BI30">
        <f t="shared" si="32"/>
        <v>25.268373847542616</v>
      </c>
      <c r="BJ30">
        <f t="shared" si="33"/>
        <v>-2.6564624254113753</v>
      </c>
      <c r="BK30">
        <f t="shared" si="34"/>
        <v>8.0206593986220884</v>
      </c>
      <c r="BL30">
        <f t="shared" si="35"/>
        <v>3.8468602195718293E-2</v>
      </c>
      <c r="BM30">
        <f t="shared" si="36"/>
        <v>4.8599440343083548E-2</v>
      </c>
      <c r="BN30">
        <f t="shared" si="37"/>
        <v>580.23215191354984</v>
      </c>
      <c r="BO30" t="s">
        <v>407</v>
      </c>
      <c r="BP30">
        <v>0</v>
      </c>
      <c r="BQ30">
        <f t="shared" si="38"/>
        <v>580.23215191354984</v>
      </c>
      <c r="BR30">
        <f t="shared" si="39"/>
        <v>0.76502826554402548</v>
      </c>
      <c r="BS30">
        <f t="shared" si="40"/>
        <v>0.82982266929468007</v>
      </c>
      <c r="BT30">
        <f t="shared" si="41"/>
        <v>5.973179132352055E-2</v>
      </c>
      <c r="BU30">
        <f t="shared" si="42"/>
        <v>0.83263837554215148</v>
      </c>
      <c r="BV30">
        <f t="shared" si="43"/>
        <v>5.9922324815967258E-2</v>
      </c>
      <c r="BW30">
        <f t="shared" si="44"/>
        <v>0.53396783814573245</v>
      </c>
      <c r="BX30">
        <f t="shared" si="45"/>
        <v>0.46603216185426755</v>
      </c>
      <c r="DG30">
        <f t="shared" si="46"/>
        <v>29.99183870967741</v>
      </c>
      <c r="DH30">
        <f t="shared" si="47"/>
        <v>25.268373847542616</v>
      </c>
      <c r="DI30">
        <f t="shared" si="48"/>
        <v>0.84250832675321496</v>
      </c>
      <c r="DJ30">
        <f t="shared" si="49"/>
        <v>0.16444107063370483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1782838209</v>
      </c>
      <c r="DQ30">
        <v>420.05</v>
      </c>
      <c r="DR30">
        <v>418.51606451612901</v>
      </c>
      <c r="DS30">
        <v>40.512212903225787</v>
      </c>
      <c r="DT30">
        <v>36.734683870967743</v>
      </c>
      <c r="DU30">
        <v>424.73038709677411</v>
      </c>
      <c r="DV30">
        <v>40.016716129032268</v>
      </c>
      <c r="DW30">
        <v>500.01119354838721</v>
      </c>
      <c r="DX30">
        <v>97.43777741935483</v>
      </c>
      <c r="DY30">
        <v>5.2281754838709678E-2</v>
      </c>
      <c r="DZ30">
        <v>36.325796774193549</v>
      </c>
      <c r="EA30">
        <v>35.863041935483871</v>
      </c>
      <c r="EB30">
        <v>999.90000000000032</v>
      </c>
      <c r="EC30">
        <v>0</v>
      </c>
      <c r="ED30">
        <v>0</v>
      </c>
      <c r="EE30">
        <v>9992.2580645161288</v>
      </c>
      <c r="EF30">
        <v>0</v>
      </c>
      <c r="EG30">
        <v>1581.407096774193</v>
      </c>
      <c r="EH30">
        <v>1.5338093548387099</v>
      </c>
      <c r="EI30">
        <v>437.7856129032258</v>
      </c>
      <c r="EJ30">
        <v>434.47651612903218</v>
      </c>
      <c r="EK30">
        <v>3.7775290322580641</v>
      </c>
      <c r="EL30">
        <v>418.51606451612901</v>
      </c>
      <c r="EM30">
        <v>36.734683870967743</v>
      </c>
      <c r="EN30">
        <v>3.9474196774193548</v>
      </c>
      <c r="EO30">
        <v>3.5793467741935481</v>
      </c>
      <c r="EP30">
        <v>28.6778935483871</v>
      </c>
      <c r="EQ30">
        <v>27.00085806451613</v>
      </c>
      <c r="ER30">
        <v>29.99183870967741</v>
      </c>
      <c r="ES30">
        <v>0.89973167741935456</v>
      </c>
      <c r="ET30">
        <v>0.1002682774193548</v>
      </c>
      <c r="EU30">
        <v>0</v>
      </c>
      <c r="EV30">
        <v>901.46945161290319</v>
      </c>
      <c r="EW30">
        <v>5.0010700000000003</v>
      </c>
      <c r="EX30">
        <v>4039.463548387097</v>
      </c>
      <c r="EY30">
        <v>220.04796774193551</v>
      </c>
      <c r="EZ30">
        <v>40.686999999999983</v>
      </c>
      <c r="FA30">
        <v>44.561999999999969</v>
      </c>
      <c r="FB30">
        <v>42.686999999999969</v>
      </c>
      <c r="FC30">
        <v>44.561999999999969</v>
      </c>
      <c r="FD30">
        <v>43.503999999999991</v>
      </c>
      <c r="FE30">
        <v>22.48419354838709</v>
      </c>
      <c r="FF30">
        <v>2.507741935483871</v>
      </c>
      <c r="FG30">
        <v>0</v>
      </c>
      <c r="FH30">
        <v>154.4000000953674</v>
      </c>
      <c r="FI30">
        <v>0</v>
      </c>
      <c r="FJ30">
        <v>901.72058823529414</v>
      </c>
      <c r="FK30">
        <v>4.2919118022523497</v>
      </c>
      <c r="FL30">
        <v>-2304.5073589716758</v>
      </c>
      <c r="FM30">
        <v>4016.187647058824</v>
      </c>
      <c r="FN30">
        <v>10</v>
      </c>
      <c r="FO30">
        <v>1782838188.5</v>
      </c>
      <c r="FP30" t="s">
        <v>1018</v>
      </c>
      <c r="FQ30">
        <v>1782838181.5</v>
      </c>
      <c r="FR30">
        <v>1782838188.5</v>
      </c>
      <c r="FS30">
        <v>30</v>
      </c>
      <c r="FT30">
        <v>5.0000000000000001E-3</v>
      </c>
      <c r="FU30">
        <v>-1.6E-2</v>
      </c>
      <c r="FV30">
        <v>-4.6760000000000002</v>
      </c>
      <c r="FW30">
        <v>0.378</v>
      </c>
      <c r="FX30">
        <v>419</v>
      </c>
      <c r="FY30">
        <v>37</v>
      </c>
      <c r="FZ30">
        <v>1.7</v>
      </c>
      <c r="GA30">
        <v>0.09</v>
      </c>
      <c r="GB30">
        <v>1.4968885000000001</v>
      </c>
      <c r="GC30">
        <v>6.0760300187614663E-2</v>
      </c>
      <c r="GD30">
        <v>0.1461166111287488</v>
      </c>
      <c r="GE30">
        <v>1</v>
      </c>
      <c r="GF30">
        <v>901.25697058823528</v>
      </c>
      <c r="GG30">
        <v>3.7133537070939018</v>
      </c>
      <c r="GH30">
        <v>0.46148522921324592</v>
      </c>
      <c r="GI30">
        <v>1</v>
      </c>
      <c r="GJ30">
        <v>3.7692364999999999</v>
      </c>
      <c r="GK30">
        <v>0.20607242026264991</v>
      </c>
      <c r="GL30">
        <v>4.2006844891636412E-2</v>
      </c>
      <c r="GM30">
        <v>1</v>
      </c>
      <c r="GN30">
        <v>3</v>
      </c>
      <c r="GO30">
        <v>3</v>
      </c>
      <c r="GP30" t="s">
        <v>599</v>
      </c>
      <c r="GQ30">
        <v>3.1352600000000002</v>
      </c>
      <c r="GR30">
        <v>2.7292000000000001</v>
      </c>
      <c r="GS30">
        <v>9.0484200000000001E-2</v>
      </c>
      <c r="GT30">
        <v>9.0160599999999994E-2</v>
      </c>
      <c r="GU30">
        <v>0.15754099999999999</v>
      </c>
      <c r="GV30">
        <v>0.148757</v>
      </c>
      <c r="GW30">
        <v>22725.4</v>
      </c>
      <c r="GX30">
        <v>30558.3</v>
      </c>
      <c r="GY30">
        <v>27117.1</v>
      </c>
      <c r="GZ30">
        <v>34556.9</v>
      </c>
      <c r="HA30">
        <v>33481.5</v>
      </c>
      <c r="HB30">
        <v>37607.4</v>
      </c>
      <c r="HC30">
        <v>40041.4</v>
      </c>
      <c r="HD30">
        <v>44249.1</v>
      </c>
      <c r="HE30">
        <v>1.9372</v>
      </c>
      <c r="HF30">
        <v>1.7165999999999999</v>
      </c>
      <c r="HG30">
        <v>3.3974600000000001E-2</v>
      </c>
      <c r="HH30">
        <v>0</v>
      </c>
      <c r="HI30">
        <v>35.325200000000002</v>
      </c>
      <c r="HJ30">
        <v>999.9</v>
      </c>
      <c r="HK30">
        <v>59.1</v>
      </c>
      <c r="HL30">
        <v>39.200000000000003</v>
      </c>
      <c r="HM30">
        <v>43.078200000000002</v>
      </c>
      <c r="HN30">
        <v>60.1965</v>
      </c>
      <c r="HO30">
        <v>5.2043299999999997</v>
      </c>
      <c r="HP30">
        <v>1</v>
      </c>
      <c r="HQ30">
        <v>0.78701200000000004</v>
      </c>
      <c r="HR30">
        <v>0</v>
      </c>
      <c r="HS30">
        <v>20.290199999999999</v>
      </c>
      <c r="HT30">
        <v>5.2112999999999996</v>
      </c>
      <c r="HU30">
        <v>11.908099999999999</v>
      </c>
      <c r="HV30">
        <v>4.984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1.8675200000000001</v>
      </c>
      <c r="IC30">
        <v>1.8632500000000001</v>
      </c>
      <c r="ID30">
        <v>1.8626400000000001</v>
      </c>
      <c r="IE30">
        <v>1.8621799999999999</v>
      </c>
      <c r="IF30">
        <v>1.8621799999999999</v>
      </c>
      <c r="IG30">
        <v>1.86276</v>
      </c>
      <c r="IH30">
        <v>1.86371</v>
      </c>
      <c r="II30">
        <v>1.8615699999999999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-4.68</v>
      </c>
      <c r="IX30">
        <v>0.49340000000000001</v>
      </c>
      <c r="IY30">
        <v>-2.9531590005175281</v>
      </c>
      <c r="IZ30">
        <v>-4.6713445918306539E-3</v>
      </c>
      <c r="JA30">
        <v>1.452628845961848E-6</v>
      </c>
      <c r="JB30">
        <v>-6.9306854222146279E-11</v>
      </c>
      <c r="JC30">
        <v>-0.37581334154809232</v>
      </c>
      <c r="JD30">
        <v>2.7492919904454862E-4</v>
      </c>
      <c r="JE30">
        <v>8.6739513355948885E-4</v>
      </c>
      <c r="JF30">
        <v>-8.2500691715147318E-6</v>
      </c>
      <c r="JG30">
        <v>18</v>
      </c>
      <c r="JH30">
        <v>1867</v>
      </c>
      <c r="JI30">
        <v>2</v>
      </c>
      <c r="JJ30">
        <v>37</v>
      </c>
      <c r="JK30">
        <v>0.6</v>
      </c>
      <c r="JL30">
        <v>0.5</v>
      </c>
      <c r="JM30">
        <v>1.08765</v>
      </c>
      <c r="JN30">
        <v>2.5354000000000001</v>
      </c>
      <c r="JO30">
        <v>1.50024</v>
      </c>
      <c r="JP30">
        <v>2.2717299999999998</v>
      </c>
      <c r="JQ30">
        <v>1.4477500000000001</v>
      </c>
      <c r="JR30">
        <v>2.3877000000000002</v>
      </c>
      <c r="JS30">
        <v>44.865900000000003</v>
      </c>
      <c r="JT30">
        <v>14.85</v>
      </c>
      <c r="JU30">
        <v>18</v>
      </c>
      <c r="JV30">
        <v>547.75199999999995</v>
      </c>
      <c r="JW30">
        <v>415.798</v>
      </c>
      <c r="JX30">
        <v>36.341299999999997</v>
      </c>
      <c r="JY30">
        <v>36.934699999999999</v>
      </c>
      <c r="JZ30">
        <v>30.000599999999999</v>
      </c>
      <c r="KA30">
        <v>36.749400000000001</v>
      </c>
      <c r="KB30">
        <v>36.689500000000002</v>
      </c>
      <c r="KC30">
        <v>21.770800000000001</v>
      </c>
      <c r="KD30">
        <v>30.422699999999999</v>
      </c>
      <c r="KE30">
        <v>92.824799999999996</v>
      </c>
      <c r="KF30">
        <v>-999.9</v>
      </c>
      <c r="KG30">
        <v>418.50900000000001</v>
      </c>
      <c r="KH30">
        <v>36.756300000000003</v>
      </c>
      <c r="KI30">
        <v>100.077</v>
      </c>
      <c r="KJ30">
        <v>99.154700000000005</v>
      </c>
    </row>
    <row r="31" spans="1:296" x14ac:dyDescent="0.3">
      <c r="A31">
        <v>15</v>
      </c>
      <c r="B31">
        <v>1782838377</v>
      </c>
      <c r="C31">
        <v>2070.5</v>
      </c>
      <c r="D31" t="s">
        <v>1019</v>
      </c>
      <c r="E31" t="s">
        <v>1020</v>
      </c>
      <c r="F31">
        <v>15</v>
      </c>
      <c r="H31">
        <v>1782838369</v>
      </c>
      <c r="I31">
        <f t="shared" si="0"/>
        <v>2.9911706853541636E-3</v>
      </c>
      <c r="J31">
        <f t="shared" si="1"/>
        <v>2.9911706853541635</v>
      </c>
      <c r="K31">
        <f t="shared" si="2"/>
        <v>-5.2487385036848373</v>
      </c>
      <c r="L31">
        <f t="shared" si="3"/>
        <v>420.1792903225807</v>
      </c>
      <c r="M31">
        <f t="shared" si="4"/>
        <v>465.74642921000054</v>
      </c>
      <c r="N31">
        <f t="shared" si="5"/>
        <v>45.406419974751415</v>
      </c>
      <c r="O31">
        <f t="shared" si="6"/>
        <v>40.964001277350938</v>
      </c>
      <c r="P31">
        <f t="shared" si="7"/>
        <v>0.14097215027752513</v>
      </c>
      <c r="Q31">
        <f t="shared" si="8"/>
        <v>2.8846318428692035</v>
      </c>
      <c r="R31">
        <f t="shared" si="9"/>
        <v>0.13725363090013096</v>
      </c>
      <c r="S31">
        <f t="shared" si="10"/>
        <v>8.6109443749485315E-2</v>
      </c>
      <c r="T31">
        <f t="shared" si="11"/>
        <v>1.5966703903835998E-4</v>
      </c>
      <c r="U31">
        <f t="shared" si="12"/>
        <v>35.819968905985355</v>
      </c>
      <c r="V31">
        <f t="shared" si="13"/>
        <v>36.175196774193552</v>
      </c>
      <c r="W31">
        <f t="shared" si="14"/>
        <v>6.0265203373685408</v>
      </c>
      <c r="X31">
        <f t="shared" si="15"/>
        <v>65.014600640787336</v>
      </c>
      <c r="Y31">
        <f t="shared" si="16"/>
        <v>4.0112584081571878</v>
      </c>
      <c r="Z31">
        <f t="shared" si="17"/>
        <v>6.169780893248614</v>
      </c>
      <c r="AA31">
        <f t="shared" si="18"/>
        <v>2.0152619292113529</v>
      </c>
      <c r="AB31">
        <f t="shared" si="19"/>
        <v>-131.91062722411863</v>
      </c>
      <c r="AC31">
        <f t="shared" si="20"/>
        <v>66.643739168553097</v>
      </c>
      <c r="AD31">
        <f t="shared" si="21"/>
        <v>5.46886161934217</v>
      </c>
      <c r="AE31">
        <f t="shared" si="22"/>
        <v>-59.797866769184324</v>
      </c>
      <c r="AF31">
        <f t="shared" si="23"/>
        <v>-5.2487385036848373</v>
      </c>
      <c r="AG31">
        <f t="shared" si="24"/>
        <v>2.9911706853541635</v>
      </c>
      <c r="AH31">
        <f t="shared" si="25"/>
        <v>-5.0488873734077755</v>
      </c>
      <c r="AI31">
        <v>431.7435637634585</v>
      </c>
      <c r="AJ31">
        <v>438.06032727272719</v>
      </c>
      <c r="AK31">
        <v>-4.1152819107256686E-3</v>
      </c>
      <c r="AL31">
        <v>67.088327131262844</v>
      </c>
      <c r="AM31">
        <f t="shared" si="26"/>
        <v>2.9706898380669671</v>
      </c>
      <c r="AN31">
        <v>37.718205516176262</v>
      </c>
      <c r="AO31">
        <v>41.136584242424249</v>
      </c>
      <c r="AP31">
        <v>-4.8894891636143672E-5</v>
      </c>
      <c r="AQ31">
        <v>78.240483753776715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49935.789264412648</v>
      </c>
      <c r="AW31" t="s">
        <v>1021</v>
      </c>
      <c r="AX31">
        <v>5096.46</v>
      </c>
      <c r="AY31">
        <v>624.55588235294124</v>
      </c>
      <c r="AZ31">
        <v>2563.67</v>
      </c>
      <c r="BA31">
        <f t="shared" si="30"/>
        <v>0.75638210754389557</v>
      </c>
      <c r="BB31">
        <v>-5.2487385036848382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-5.2487385036848373</v>
      </c>
      <c r="BK31" t="e">
        <f t="shared" si="34"/>
        <v>#DIV/0!</v>
      </c>
      <c r="BL31">
        <f t="shared" si="35"/>
        <v>1.056911312186861E-12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1.3220830979822806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1782838369</v>
      </c>
      <c r="DQ31">
        <v>420.1792903225807</v>
      </c>
      <c r="DR31">
        <v>415.38912903225798</v>
      </c>
      <c r="DS31">
        <v>41.144606451612887</v>
      </c>
      <c r="DT31">
        <v>37.702980645161297</v>
      </c>
      <c r="DU31">
        <v>424.86009677419361</v>
      </c>
      <c r="DV31">
        <v>40.644248387096773</v>
      </c>
      <c r="DW31">
        <v>500.01370967741929</v>
      </c>
      <c r="DX31">
        <v>97.439396774193526</v>
      </c>
      <c r="DY31">
        <v>5.2322167741935481E-2</v>
      </c>
      <c r="DZ31">
        <v>36.603729032258073</v>
      </c>
      <c r="EA31">
        <v>36.175196774193552</v>
      </c>
      <c r="EB31">
        <v>999.90000000000032</v>
      </c>
      <c r="EC31">
        <v>0</v>
      </c>
      <c r="ED31">
        <v>0</v>
      </c>
      <c r="EE31">
        <v>10002.258064516131</v>
      </c>
      <c r="EF31">
        <v>0</v>
      </c>
      <c r="EG31">
        <v>2189.213548387097</v>
      </c>
      <c r="EH31">
        <v>4.7900567741935474</v>
      </c>
      <c r="EI31">
        <v>438.20912903225809</v>
      </c>
      <c r="EJ31">
        <v>431.66419354838712</v>
      </c>
      <c r="EK31">
        <v>3.4416274193548388</v>
      </c>
      <c r="EL31">
        <v>415.38912903225798</v>
      </c>
      <c r="EM31">
        <v>37.702980645161297</v>
      </c>
      <c r="EN31">
        <v>4.0091041935483869</v>
      </c>
      <c r="EO31">
        <v>3.6737564516129031</v>
      </c>
      <c r="EP31">
        <v>28.94549032258065</v>
      </c>
      <c r="EQ31">
        <v>27.4448935483871</v>
      </c>
      <c r="ER31">
        <v>1.00021E-2</v>
      </c>
      <c r="ES31">
        <v>0</v>
      </c>
      <c r="ET31">
        <v>0</v>
      </c>
      <c r="EU31">
        <v>0</v>
      </c>
      <c r="EV31">
        <v>624.24032258064517</v>
      </c>
      <c r="EW31">
        <v>1.00021E-2</v>
      </c>
      <c r="EX31">
        <v>5062.2870967741937</v>
      </c>
      <c r="EY31">
        <v>6.0629032258064512</v>
      </c>
      <c r="EZ31">
        <v>40.643000000000001</v>
      </c>
      <c r="FA31">
        <v>44.727645161290333</v>
      </c>
      <c r="FB31">
        <v>42.695129032258038</v>
      </c>
      <c r="FC31">
        <v>44.533999999999978</v>
      </c>
      <c r="FD31">
        <v>43.34451612903225</v>
      </c>
      <c r="FE31">
        <v>0</v>
      </c>
      <c r="FF31">
        <v>0</v>
      </c>
      <c r="FG31">
        <v>0</v>
      </c>
      <c r="FH31">
        <v>159.30000019073489</v>
      </c>
      <c r="FI31">
        <v>0</v>
      </c>
      <c r="FJ31">
        <v>624.55588235294124</v>
      </c>
      <c r="FK31">
        <v>32.144606917085753</v>
      </c>
      <c r="FL31">
        <v>-28.799021289451929</v>
      </c>
      <c r="FM31">
        <v>4997.1147058823526</v>
      </c>
      <c r="FN31">
        <v>10</v>
      </c>
      <c r="FO31">
        <v>1782838348.5</v>
      </c>
      <c r="FP31" t="s">
        <v>1022</v>
      </c>
      <c r="FQ31">
        <v>1782838342.5</v>
      </c>
      <c r="FR31">
        <v>1782838348.5</v>
      </c>
      <c r="FS31">
        <v>31</v>
      </c>
      <c r="FT31">
        <v>0</v>
      </c>
      <c r="FU31">
        <v>-1.4E-2</v>
      </c>
      <c r="FV31">
        <v>-4.665</v>
      </c>
      <c r="FW31">
        <v>0.38800000000000001</v>
      </c>
      <c r="FX31">
        <v>416</v>
      </c>
      <c r="FY31">
        <v>37</v>
      </c>
      <c r="FZ31">
        <v>1.31</v>
      </c>
      <c r="GA31">
        <v>7.0000000000000007E-2</v>
      </c>
      <c r="GB31">
        <v>4.7681527499999996</v>
      </c>
      <c r="GC31">
        <v>-0.50266682926830175</v>
      </c>
      <c r="GD31">
        <v>0.18305915950844279</v>
      </c>
      <c r="GE31">
        <v>1</v>
      </c>
      <c r="GF31">
        <v>624.19117647058818</v>
      </c>
      <c r="GG31">
        <v>7.4728798808761088</v>
      </c>
      <c r="GH31">
        <v>4.4427811670472703</v>
      </c>
      <c r="GI31">
        <v>1</v>
      </c>
      <c r="GJ31">
        <v>3.4110947500000002</v>
      </c>
      <c r="GK31">
        <v>0.32415320825515431</v>
      </c>
      <c r="GL31">
        <v>6.8696663310072778E-2</v>
      </c>
      <c r="GM31">
        <v>1</v>
      </c>
      <c r="GN31">
        <v>3</v>
      </c>
      <c r="GO31">
        <v>3</v>
      </c>
      <c r="GP31" t="s">
        <v>599</v>
      </c>
      <c r="GQ31">
        <v>3.1347499999999999</v>
      </c>
      <c r="GR31">
        <v>2.7289599999999998</v>
      </c>
      <c r="GS31">
        <v>9.0455599999999997E-2</v>
      </c>
      <c r="GT31">
        <v>8.9614899999999997E-2</v>
      </c>
      <c r="GU31">
        <v>0.15929399999999999</v>
      </c>
      <c r="GV31">
        <v>0.15146200000000001</v>
      </c>
      <c r="GW31">
        <v>22718.400000000001</v>
      </c>
      <c r="GX31">
        <v>30565.8</v>
      </c>
      <c r="GY31">
        <v>27108.9</v>
      </c>
      <c r="GZ31">
        <v>34546</v>
      </c>
      <c r="HA31">
        <v>33405.1</v>
      </c>
      <c r="HB31">
        <v>37480.6</v>
      </c>
      <c r="HC31">
        <v>40030.300000000003</v>
      </c>
      <c r="HD31">
        <v>44239</v>
      </c>
      <c r="HE31">
        <v>1.9332</v>
      </c>
      <c r="HF31">
        <v>1.7158</v>
      </c>
      <c r="HG31">
        <v>3.0845399999999999E-2</v>
      </c>
      <c r="HH31">
        <v>0</v>
      </c>
      <c r="HI31">
        <v>35.715000000000003</v>
      </c>
      <c r="HJ31">
        <v>999.9</v>
      </c>
      <c r="HK31">
        <v>59.1</v>
      </c>
      <c r="HL31">
        <v>39.6</v>
      </c>
      <c r="HM31">
        <v>44.011200000000002</v>
      </c>
      <c r="HN31">
        <v>59.796500000000002</v>
      </c>
      <c r="HO31">
        <v>5.1602600000000001</v>
      </c>
      <c r="HP31">
        <v>1</v>
      </c>
      <c r="HQ31">
        <v>0.80530500000000005</v>
      </c>
      <c r="HR31">
        <v>0</v>
      </c>
      <c r="HS31">
        <v>20.290500000000002</v>
      </c>
      <c r="HT31">
        <v>5.2112999999999996</v>
      </c>
      <c r="HU31">
        <v>11.908099999999999</v>
      </c>
      <c r="HV31">
        <v>4.984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1.8675200000000001</v>
      </c>
      <c r="IC31">
        <v>1.8632200000000001</v>
      </c>
      <c r="ID31">
        <v>1.8626400000000001</v>
      </c>
      <c r="IE31">
        <v>1.8621799999999999</v>
      </c>
      <c r="IF31">
        <v>1.8622099999999999</v>
      </c>
      <c r="IG31">
        <v>1.8627899999999999</v>
      </c>
      <c r="IH31">
        <v>1.86371</v>
      </c>
      <c r="II31">
        <v>1.8615999999999999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-4.68</v>
      </c>
      <c r="IX31">
        <v>0.50019999999999998</v>
      </c>
      <c r="IY31">
        <v>-2.9531340074901302</v>
      </c>
      <c r="IZ31">
        <v>-4.6713445918306539E-3</v>
      </c>
      <c r="JA31">
        <v>1.452628845961848E-6</v>
      </c>
      <c r="JB31">
        <v>-6.9306854222146279E-11</v>
      </c>
      <c r="JC31">
        <v>-0.3897810819386896</v>
      </c>
      <c r="JD31">
        <v>2.7492919904454862E-4</v>
      </c>
      <c r="JE31">
        <v>8.6739513355948885E-4</v>
      </c>
      <c r="JF31">
        <v>-8.2500691715147318E-6</v>
      </c>
      <c r="JG31">
        <v>18</v>
      </c>
      <c r="JH31">
        <v>1867</v>
      </c>
      <c r="JI31">
        <v>2</v>
      </c>
      <c r="JJ31">
        <v>37</v>
      </c>
      <c r="JK31">
        <v>0.6</v>
      </c>
      <c r="JL31">
        <v>0.5</v>
      </c>
      <c r="JM31">
        <v>1.0839799999999999</v>
      </c>
      <c r="JN31">
        <v>2.5463900000000002</v>
      </c>
      <c r="JO31">
        <v>1.50024</v>
      </c>
      <c r="JP31">
        <v>2.2741699999999998</v>
      </c>
      <c r="JQ31">
        <v>1.4477500000000001</v>
      </c>
      <c r="JR31">
        <v>2.3767100000000001</v>
      </c>
      <c r="JS31">
        <v>45.233499999999999</v>
      </c>
      <c r="JT31">
        <v>14.8238</v>
      </c>
      <c r="JU31">
        <v>18</v>
      </c>
      <c r="JV31">
        <v>546.67899999999997</v>
      </c>
      <c r="JW31">
        <v>416.59699999999998</v>
      </c>
      <c r="JX31">
        <v>36.620100000000001</v>
      </c>
      <c r="JY31">
        <v>37.154299999999999</v>
      </c>
      <c r="JZ31">
        <v>30.000699999999998</v>
      </c>
      <c r="KA31">
        <v>36.959400000000002</v>
      </c>
      <c r="KB31">
        <v>36.898299999999999</v>
      </c>
      <c r="KC31">
        <v>21.674700000000001</v>
      </c>
      <c r="KD31">
        <v>29.879799999999999</v>
      </c>
      <c r="KE31">
        <v>100</v>
      </c>
      <c r="KF31">
        <v>-999.9</v>
      </c>
      <c r="KG31">
        <v>415.411</v>
      </c>
      <c r="KH31">
        <v>37.651600000000002</v>
      </c>
      <c r="KI31">
        <v>100.048</v>
      </c>
      <c r="KJ31">
        <v>99.128299999999996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A098-3498-4CA2-B822-4831941DE217}">
  <dimension ref="A2:KJ31"/>
  <sheetViews>
    <sheetView workbookViewId="0">
      <selection activeCell="N21" sqref="N2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296" x14ac:dyDescent="0.3">
      <c r="B5" t="s">
        <v>15</v>
      </c>
      <c r="C5" t="s">
        <v>16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</row>
    <row r="9" spans="1:296" x14ac:dyDescent="0.3">
      <c r="B9" t="s">
        <v>39</v>
      </c>
      <c r="C9" t="s">
        <v>40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1023</v>
      </c>
      <c r="G13" t="s">
        <v>1024</v>
      </c>
      <c r="H13">
        <v>0</v>
      </c>
    </row>
    <row r="14" spans="1:296" x14ac:dyDescent="0.3">
      <c r="A14" t="s">
        <v>57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58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59</v>
      </c>
      <c r="W14" t="s">
        <v>59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  <c r="AF14" t="s">
        <v>59</v>
      </c>
      <c r="AG14" t="s">
        <v>59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 t="s">
        <v>62</v>
      </c>
      <c r="BG14" t="s">
        <v>62</v>
      </c>
      <c r="BH14" t="s">
        <v>62</v>
      </c>
      <c r="BI14" t="s">
        <v>62</v>
      </c>
      <c r="BJ14" t="s">
        <v>62</v>
      </c>
      <c r="BK14" t="s">
        <v>62</v>
      </c>
      <c r="BL14" t="s">
        <v>62</v>
      </c>
      <c r="BM14" t="s">
        <v>62</v>
      </c>
      <c r="BN14" t="s">
        <v>62</v>
      </c>
      <c r="BO14" t="s">
        <v>62</v>
      </c>
      <c r="BP14" t="s">
        <v>62</v>
      </c>
      <c r="BQ14" t="s">
        <v>62</v>
      </c>
      <c r="BR14" t="s">
        <v>62</v>
      </c>
      <c r="BS14" t="s">
        <v>62</v>
      </c>
      <c r="BT14" t="s">
        <v>62</v>
      </c>
      <c r="BU14" t="s">
        <v>62</v>
      </c>
      <c r="BV14" t="s">
        <v>62</v>
      </c>
      <c r="BW14" t="s">
        <v>62</v>
      </c>
      <c r="BX14" t="s">
        <v>62</v>
      </c>
      <c r="BY14" t="s">
        <v>63</v>
      </c>
      <c r="BZ14" t="s">
        <v>63</v>
      </c>
      <c r="CA14" t="s">
        <v>63</v>
      </c>
      <c r="CB14" t="s">
        <v>63</v>
      </c>
      <c r="CC14" t="s">
        <v>63</v>
      </c>
      <c r="CD14" t="s">
        <v>63</v>
      </c>
      <c r="CE14" t="s">
        <v>63</v>
      </c>
      <c r="CF14" t="s">
        <v>63</v>
      </c>
      <c r="CG14" t="s">
        <v>63</v>
      </c>
      <c r="CH14" t="s">
        <v>63</v>
      </c>
      <c r="CI14" t="s">
        <v>63</v>
      </c>
      <c r="CJ14" t="s">
        <v>63</v>
      </c>
      <c r="CK14" t="s">
        <v>63</v>
      </c>
      <c r="CL14" t="s">
        <v>63</v>
      </c>
      <c r="CM14" t="s">
        <v>63</v>
      </c>
      <c r="CN14" t="s">
        <v>63</v>
      </c>
      <c r="CO14" t="s">
        <v>63</v>
      </c>
      <c r="CP14" t="s">
        <v>63</v>
      </c>
      <c r="CQ14" t="s">
        <v>63</v>
      </c>
      <c r="CR14" t="s">
        <v>63</v>
      </c>
      <c r="CS14" t="s">
        <v>63</v>
      </c>
      <c r="CT14" t="s">
        <v>64</v>
      </c>
      <c r="CU14" t="s">
        <v>64</v>
      </c>
      <c r="CV14" t="s">
        <v>64</v>
      </c>
      <c r="CW14" t="s">
        <v>64</v>
      </c>
      <c r="CX14" t="s">
        <v>64</v>
      </c>
      <c r="CY14" t="s">
        <v>64</v>
      </c>
      <c r="CZ14" t="s">
        <v>64</v>
      </c>
      <c r="DA14" t="s">
        <v>64</v>
      </c>
      <c r="DB14" t="s">
        <v>64</v>
      </c>
      <c r="DC14" t="s">
        <v>64</v>
      </c>
      <c r="DD14" t="s">
        <v>64</v>
      </c>
      <c r="DE14" t="s">
        <v>64</v>
      </c>
      <c r="DF14" t="s">
        <v>64</v>
      </c>
      <c r="DG14" t="s">
        <v>65</v>
      </c>
      <c r="DH14" t="s">
        <v>65</v>
      </c>
      <c r="DI14" t="s">
        <v>65</v>
      </c>
      <c r="DJ14" t="s">
        <v>65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67</v>
      </c>
      <c r="DQ14" t="s">
        <v>67</v>
      </c>
      <c r="DR14" t="s">
        <v>67</v>
      </c>
      <c r="DS14" t="s">
        <v>67</v>
      </c>
      <c r="DT14" t="s">
        <v>67</v>
      </c>
      <c r="DU14" t="s">
        <v>67</v>
      </c>
      <c r="DV14" t="s">
        <v>67</v>
      </c>
      <c r="DW14" t="s">
        <v>67</v>
      </c>
      <c r="DX14" t="s">
        <v>67</v>
      </c>
      <c r="DY14" t="s">
        <v>67</v>
      </c>
      <c r="DZ14" t="s">
        <v>67</v>
      </c>
      <c r="EA14" t="s">
        <v>67</v>
      </c>
      <c r="EB14" t="s">
        <v>67</v>
      </c>
      <c r="EC14" t="s">
        <v>67</v>
      </c>
      <c r="ED14" t="s">
        <v>67</v>
      </c>
      <c r="EE14" t="s">
        <v>67</v>
      </c>
      <c r="EF14" t="s">
        <v>67</v>
      </c>
      <c r="EG14" t="s">
        <v>67</v>
      </c>
      <c r="EH14" t="s">
        <v>68</v>
      </c>
      <c r="EI14" t="s">
        <v>68</v>
      </c>
      <c r="EJ14" t="s">
        <v>68</v>
      </c>
      <c r="EK14" t="s">
        <v>68</v>
      </c>
      <c r="EL14" t="s">
        <v>68</v>
      </c>
      <c r="EM14" t="s">
        <v>68</v>
      </c>
      <c r="EN14" t="s">
        <v>68</v>
      </c>
      <c r="EO14" t="s">
        <v>68</v>
      </c>
      <c r="EP14" t="s">
        <v>68</v>
      </c>
      <c r="EQ14" t="s">
        <v>68</v>
      </c>
      <c r="ER14" t="s">
        <v>69</v>
      </c>
      <c r="ES14" t="s">
        <v>69</v>
      </c>
      <c r="ET14" t="s">
        <v>69</v>
      </c>
      <c r="EU14" t="s">
        <v>69</v>
      </c>
      <c r="EV14" t="s">
        <v>69</v>
      </c>
      <c r="EW14" t="s">
        <v>69</v>
      </c>
      <c r="EX14" t="s">
        <v>69</v>
      </c>
      <c r="EY14" t="s">
        <v>69</v>
      </c>
      <c r="EZ14" t="s">
        <v>69</v>
      </c>
      <c r="FA14" t="s">
        <v>69</v>
      </c>
      <c r="FB14" t="s">
        <v>69</v>
      </c>
      <c r="FC14" t="s">
        <v>69</v>
      </c>
      <c r="FD14" t="s">
        <v>69</v>
      </c>
      <c r="FE14" t="s">
        <v>69</v>
      </c>
      <c r="FF14" t="s">
        <v>69</v>
      </c>
      <c r="FG14" t="s">
        <v>69</v>
      </c>
      <c r="FH14" t="s">
        <v>69</v>
      </c>
      <c r="FI14" t="s">
        <v>69</v>
      </c>
      <c r="FJ14" t="s">
        <v>70</v>
      </c>
      <c r="FK14" t="s">
        <v>70</v>
      </c>
      <c r="FL14" t="s">
        <v>70</v>
      </c>
      <c r="FM14" t="s">
        <v>70</v>
      </c>
      <c r="FN14" t="s">
        <v>70</v>
      </c>
      <c r="FO14" t="s">
        <v>71</v>
      </c>
      <c r="FP14" t="s">
        <v>71</v>
      </c>
      <c r="FQ14" t="s">
        <v>71</v>
      </c>
      <c r="FR14" t="s">
        <v>71</v>
      </c>
      <c r="FS14" t="s">
        <v>71</v>
      </c>
      <c r="FT14" t="s">
        <v>71</v>
      </c>
      <c r="FU14" t="s">
        <v>71</v>
      </c>
      <c r="FV14" t="s">
        <v>71</v>
      </c>
      <c r="FW14" t="s">
        <v>71</v>
      </c>
      <c r="FX14" t="s">
        <v>71</v>
      </c>
      <c r="FY14" t="s">
        <v>71</v>
      </c>
      <c r="FZ14" t="s">
        <v>71</v>
      </c>
      <c r="GA14" t="s">
        <v>71</v>
      </c>
      <c r="GB14" t="s">
        <v>72</v>
      </c>
      <c r="GC14" t="s">
        <v>72</v>
      </c>
      <c r="GD14" t="s">
        <v>72</v>
      </c>
      <c r="GE14" t="s">
        <v>72</v>
      </c>
      <c r="GF14" t="s">
        <v>72</v>
      </c>
      <c r="GG14" t="s">
        <v>72</v>
      </c>
      <c r="GH14" t="s">
        <v>72</v>
      </c>
      <c r="GI14" t="s">
        <v>72</v>
      </c>
      <c r="GJ14" t="s">
        <v>72</v>
      </c>
      <c r="GK14" t="s">
        <v>72</v>
      </c>
      <c r="GL14" t="s">
        <v>72</v>
      </c>
      <c r="GM14" t="s">
        <v>72</v>
      </c>
      <c r="GN14" t="s">
        <v>72</v>
      </c>
      <c r="GO14" t="s">
        <v>72</v>
      </c>
      <c r="GP14" t="s">
        <v>72</v>
      </c>
      <c r="GQ14" t="s">
        <v>73</v>
      </c>
      <c r="GR14" t="s">
        <v>73</v>
      </c>
      <c r="GS14" t="s">
        <v>73</v>
      </c>
      <c r="GT14" t="s">
        <v>73</v>
      </c>
      <c r="GU14" t="s">
        <v>73</v>
      </c>
      <c r="GV14" t="s">
        <v>73</v>
      </c>
      <c r="GW14" t="s">
        <v>73</v>
      </c>
      <c r="GX14" t="s">
        <v>73</v>
      </c>
      <c r="GY14" t="s">
        <v>73</v>
      </c>
      <c r="GZ14" t="s">
        <v>73</v>
      </c>
      <c r="HA14" t="s">
        <v>73</v>
      </c>
      <c r="HB14" t="s">
        <v>73</v>
      </c>
      <c r="HC14" t="s">
        <v>73</v>
      </c>
      <c r="HD14" t="s">
        <v>73</v>
      </c>
      <c r="HE14" t="s">
        <v>73</v>
      </c>
      <c r="HF14" t="s">
        <v>73</v>
      </c>
      <c r="HG14" t="s">
        <v>73</v>
      </c>
      <c r="HH14" t="s">
        <v>73</v>
      </c>
      <c r="HI14" t="s">
        <v>74</v>
      </c>
      <c r="HJ14" t="s">
        <v>74</v>
      </c>
      <c r="HK14" t="s">
        <v>74</v>
      </c>
      <c r="HL14" t="s">
        <v>74</v>
      </c>
      <c r="HM14" t="s">
        <v>74</v>
      </c>
      <c r="HN14" t="s">
        <v>74</v>
      </c>
      <c r="HO14" t="s">
        <v>74</v>
      </c>
      <c r="HP14" t="s">
        <v>74</v>
      </c>
      <c r="HQ14" t="s">
        <v>74</v>
      </c>
      <c r="HR14" t="s">
        <v>74</v>
      </c>
      <c r="HS14" t="s">
        <v>74</v>
      </c>
      <c r="HT14" t="s">
        <v>74</v>
      </c>
      <c r="HU14" t="s">
        <v>74</v>
      </c>
      <c r="HV14" t="s">
        <v>74</v>
      </c>
      <c r="HW14" t="s">
        <v>74</v>
      </c>
      <c r="HX14" t="s">
        <v>74</v>
      </c>
      <c r="HY14" t="s">
        <v>74</v>
      </c>
      <c r="HZ14" t="s">
        <v>74</v>
      </c>
      <c r="IA14" t="s">
        <v>74</v>
      </c>
      <c r="IB14" t="s">
        <v>75</v>
      </c>
      <c r="IC14" t="s">
        <v>75</v>
      </c>
      <c r="ID14" t="s">
        <v>75</v>
      </c>
      <c r="IE14" t="s">
        <v>75</v>
      </c>
      <c r="IF14" t="s">
        <v>75</v>
      </c>
      <c r="IG14" t="s">
        <v>75</v>
      </c>
      <c r="IH14" t="s">
        <v>75</v>
      </c>
      <c r="II14" t="s">
        <v>75</v>
      </c>
      <c r="IJ14" t="s">
        <v>75</v>
      </c>
      <c r="IK14" t="s">
        <v>75</v>
      </c>
      <c r="IL14" t="s">
        <v>75</v>
      </c>
      <c r="IM14" t="s">
        <v>75</v>
      </c>
      <c r="IN14" t="s">
        <v>75</v>
      </c>
      <c r="IO14" t="s">
        <v>75</v>
      </c>
      <c r="IP14" t="s">
        <v>75</v>
      </c>
      <c r="IQ14" t="s">
        <v>75</v>
      </c>
      <c r="IR14" t="s">
        <v>75</v>
      </c>
      <c r="IS14" t="s">
        <v>75</v>
      </c>
      <c r="IT14" t="s">
        <v>75</v>
      </c>
      <c r="IU14" t="s">
        <v>76</v>
      </c>
      <c r="IV14" t="s">
        <v>76</v>
      </c>
      <c r="IW14" t="s">
        <v>76</v>
      </c>
      <c r="IX14" t="s">
        <v>76</v>
      </c>
      <c r="IY14" t="s">
        <v>76</v>
      </c>
      <c r="IZ14" t="s">
        <v>76</v>
      </c>
      <c r="JA14" t="s">
        <v>76</v>
      </c>
      <c r="JB14" t="s">
        <v>76</v>
      </c>
      <c r="JC14" t="s">
        <v>76</v>
      </c>
      <c r="JD14" t="s">
        <v>76</v>
      </c>
      <c r="JE14" t="s">
        <v>76</v>
      </c>
      <c r="JF14" t="s">
        <v>76</v>
      </c>
      <c r="JG14" t="s">
        <v>76</v>
      </c>
      <c r="JH14" t="s">
        <v>76</v>
      </c>
      <c r="JI14" t="s">
        <v>76</v>
      </c>
      <c r="JJ14" t="s">
        <v>76</v>
      </c>
      <c r="JK14" t="s">
        <v>76</v>
      </c>
      <c r="JL14" t="s">
        <v>76</v>
      </c>
      <c r="JM14" t="s">
        <v>77</v>
      </c>
      <c r="JN14" t="s">
        <v>77</v>
      </c>
      <c r="JO14" t="s">
        <v>77</v>
      </c>
      <c r="JP14" t="s">
        <v>77</v>
      </c>
      <c r="JQ14" t="s">
        <v>77</v>
      </c>
      <c r="JR14" t="s">
        <v>77</v>
      </c>
      <c r="JS14" t="s">
        <v>77</v>
      </c>
      <c r="JT14" t="s">
        <v>77</v>
      </c>
      <c r="JU14" t="s">
        <v>78</v>
      </c>
      <c r="JV14" t="s">
        <v>78</v>
      </c>
      <c r="JW14" t="s">
        <v>78</v>
      </c>
      <c r="JX14" t="s">
        <v>78</v>
      </c>
      <c r="JY14" t="s">
        <v>78</v>
      </c>
      <c r="JZ14" t="s">
        <v>78</v>
      </c>
      <c r="KA14" t="s">
        <v>78</v>
      </c>
      <c r="KB14" t="s">
        <v>78</v>
      </c>
      <c r="KC14" t="s">
        <v>78</v>
      </c>
      <c r="KD14" t="s">
        <v>78</v>
      </c>
      <c r="KE14" t="s">
        <v>78</v>
      </c>
      <c r="KF14" t="s">
        <v>78</v>
      </c>
      <c r="KG14" t="s">
        <v>78</v>
      </c>
      <c r="KH14" t="s">
        <v>78</v>
      </c>
      <c r="KI14" t="s">
        <v>78</v>
      </c>
      <c r="KJ14" t="s">
        <v>78</v>
      </c>
    </row>
    <row r="15" spans="1:29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93</v>
      </c>
      <c r="P15" t="s">
        <v>94</v>
      </c>
      <c r="Q15" t="s">
        <v>95</v>
      </c>
      <c r="R15" t="s">
        <v>96</v>
      </c>
      <c r="S15" t="s">
        <v>97</v>
      </c>
      <c r="T15" t="s">
        <v>98</v>
      </c>
      <c r="U15" t="s">
        <v>99</v>
      </c>
      <c r="V15" t="s">
        <v>100</v>
      </c>
      <c r="W15" t="s">
        <v>101</v>
      </c>
      <c r="X15" t="s">
        <v>102</v>
      </c>
      <c r="Y15" t="s">
        <v>103</v>
      </c>
      <c r="Z15" t="s">
        <v>104</v>
      </c>
      <c r="AA15" t="s">
        <v>105</v>
      </c>
      <c r="AB15" t="s">
        <v>106</v>
      </c>
      <c r="AC15" t="s">
        <v>107</v>
      </c>
      <c r="AD15" t="s">
        <v>108</v>
      </c>
      <c r="AE15" t="s">
        <v>109</v>
      </c>
      <c r="AF15" t="s">
        <v>110</v>
      </c>
      <c r="AG15" t="s">
        <v>111</v>
      </c>
      <c r="AH15" t="s">
        <v>112</v>
      </c>
      <c r="AI15" t="s">
        <v>113</v>
      </c>
      <c r="AJ15" t="s">
        <v>114</v>
      </c>
      <c r="AK15" t="s">
        <v>115</v>
      </c>
      <c r="AL15" t="s">
        <v>116</v>
      </c>
      <c r="AM15" t="s">
        <v>117</v>
      </c>
      <c r="AN15" t="s">
        <v>118</v>
      </c>
      <c r="AO15" t="s">
        <v>119</v>
      </c>
      <c r="AP15" t="s">
        <v>120</v>
      </c>
      <c r="AQ15" t="s">
        <v>121</v>
      </c>
      <c r="AR15" t="s">
        <v>61</v>
      </c>
      <c r="AS15" t="s">
        <v>122</v>
      </c>
      <c r="AT15" t="s">
        <v>123</v>
      </c>
      <c r="AU15" t="s">
        <v>124</v>
      </c>
      <c r="AV15" t="s">
        <v>125</v>
      </c>
      <c r="AW15" t="s">
        <v>126</v>
      </c>
      <c r="AX15" t="s">
        <v>127</v>
      </c>
      <c r="AY15" t="s">
        <v>128</v>
      </c>
      <c r="AZ15" t="s">
        <v>129</v>
      </c>
      <c r="BA15" t="s">
        <v>130</v>
      </c>
      <c r="BB15" t="s">
        <v>131</v>
      </c>
      <c r="BC15" t="s">
        <v>132</v>
      </c>
      <c r="BD15" t="s">
        <v>133</v>
      </c>
      <c r="BE15" t="s">
        <v>134</v>
      </c>
      <c r="BF15" t="s">
        <v>135</v>
      </c>
      <c r="BG15" t="s">
        <v>136</v>
      </c>
      <c r="BH15" t="s">
        <v>137</v>
      </c>
      <c r="BI15" t="s">
        <v>138</v>
      </c>
      <c r="BJ15" t="s">
        <v>139</v>
      </c>
      <c r="BK15" t="s">
        <v>140</v>
      </c>
      <c r="BL15" t="s">
        <v>141</v>
      </c>
      <c r="BM15" t="s">
        <v>142</v>
      </c>
      <c r="BN15" t="s">
        <v>143</v>
      </c>
      <c r="BO15" t="s">
        <v>144</v>
      </c>
      <c r="BP15" t="s">
        <v>145</v>
      </c>
      <c r="BQ15" t="s">
        <v>146</v>
      </c>
      <c r="BR15" t="s">
        <v>147</v>
      </c>
      <c r="BS15" t="s">
        <v>148</v>
      </c>
      <c r="BT15" t="s">
        <v>149</v>
      </c>
      <c r="BU15" t="s">
        <v>150</v>
      </c>
      <c r="BV15" t="s">
        <v>151</v>
      </c>
      <c r="BW15" t="s">
        <v>152</v>
      </c>
      <c r="BX15" t="s">
        <v>153</v>
      </c>
      <c r="BY15" t="s">
        <v>154</v>
      </c>
      <c r="BZ15" t="s">
        <v>155</v>
      </c>
      <c r="CA15" t="s">
        <v>156</v>
      </c>
      <c r="CB15" t="s">
        <v>157</v>
      </c>
      <c r="CC15" t="s">
        <v>158</v>
      </c>
      <c r="CD15" t="s">
        <v>159</v>
      </c>
      <c r="CE15" t="s">
        <v>160</v>
      </c>
      <c r="CF15" t="s">
        <v>161</v>
      </c>
      <c r="CG15" t="s">
        <v>162</v>
      </c>
      <c r="CH15" t="s">
        <v>163</v>
      </c>
      <c r="CI15" t="s">
        <v>164</v>
      </c>
      <c r="CJ15" t="s">
        <v>165</v>
      </c>
      <c r="CK15" t="s">
        <v>166</v>
      </c>
      <c r="CL15" t="s">
        <v>167</v>
      </c>
      <c r="CM15" t="s">
        <v>168</v>
      </c>
      <c r="CN15" t="s">
        <v>169</v>
      </c>
      <c r="CO15" t="s">
        <v>170</v>
      </c>
      <c r="CP15" t="s">
        <v>171</v>
      </c>
      <c r="CQ15" t="s">
        <v>172</v>
      </c>
      <c r="CR15" t="s">
        <v>173</v>
      </c>
      <c r="CS15" t="s">
        <v>174</v>
      </c>
      <c r="CT15" t="s">
        <v>154</v>
      </c>
      <c r="CU15" t="s">
        <v>175</v>
      </c>
      <c r="CV15" t="s">
        <v>176</v>
      </c>
      <c r="CW15" t="s">
        <v>177</v>
      </c>
      <c r="CX15" t="s">
        <v>128</v>
      </c>
      <c r="CY15" t="s">
        <v>178</v>
      </c>
      <c r="CZ15" t="s">
        <v>179</v>
      </c>
      <c r="DA15" t="s">
        <v>180</v>
      </c>
      <c r="DB15" t="s">
        <v>181</v>
      </c>
      <c r="DC15" t="s">
        <v>182</v>
      </c>
      <c r="DD15" t="s">
        <v>183</v>
      </c>
      <c r="DE15" t="s">
        <v>184</v>
      </c>
      <c r="DF15" t="s">
        <v>185</v>
      </c>
      <c r="DG15" t="s">
        <v>186</v>
      </c>
      <c r="DH15" t="s">
        <v>187</v>
      </c>
      <c r="DI15" t="s">
        <v>188</v>
      </c>
      <c r="DJ15" t="s">
        <v>189</v>
      </c>
      <c r="DK15" t="s">
        <v>190</v>
      </c>
      <c r="DL15" t="s">
        <v>191</v>
      </c>
      <c r="DM15" t="s">
        <v>192</v>
      </c>
      <c r="DN15" t="s">
        <v>193</v>
      </c>
      <c r="DO15" t="s">
        <v>194</v>
      </c>
      <c r="DP15" t="s">
        <v>86</v>
      </c>
      <c r="DQ15" t="s">
        <v>195</v>
      </c>
      <c r="DR15" t="s">
        <v>196</v>
      </c>
      <c r="DS15" t="s">
        <v>197</v>
      </c>
      <c r="DT15" t="s">
        <v>198</v>
      </c>
      <c r="DU15" t="s">
        <v>199</v>
      </c>
      <c r="DV15" t="s">
        <v>200</v>
      </c>
      <c r="DW15" t="s">
        <v>201</v>
      </c>
      <c r="DX15" t="s">
        <v>202</v>
      </c>
      <c r="DY15" t="s">
        <v>203</v>
      </c>
      <c r="DZ15" t="s">
        <v>204</v>
      </c>
      <c r="EA15" t="s">
        <v>205</v>
      </c>
      <c r="EB15" t="s">
        <v>206</v>
      </c>
      <c r="EC15" t="s">
        <v>207</v>
      </c>
      <c r="ED15" t="s">
        <v>208</v>
      </c>
      <c r="EE15" t="s">
        <v>209</v>
      </c>
      <c r="EF15" t="s">
        <v>210</v>
      </c>
      <c r="EG15" t="s">
        <v>211</v>
      </c>
      <c r="EH15" t="s">
        <v>212</v>
      </c>
      <c r="EI15" t="s">
        <v>213</v>
      </c>
      <c r="EJ15" t="s">
        <v>214</v>
      </c>
      <c r="EK15" t="s">
        <v>215</v>
      </c>
      <c r="EL15" t="s">
        <v>216</v>
      </c>
      <c r="EM15" t="s">
        <v>217</v>
      </c>
      <c r="EN15" t="s">
        <v>218</v>
      </c>
      <c r="EO15" t="s">
        <v>219</v>
      </c>
      <c r="EP15" t="s">
        <v>220</v>
      </c>
      <c r="EQ15" t="s">
        <v>221</v>
      </c>
      <c r="ER15" t="s">
        <v>222</v>
      </c>
      <c r="ES15" t="s">
        <v>223</v>
      </c>
      <c r="ET15" t="s">
        <v>224</v>
      </c>
      <c r="EU15" t="s">
        <v>225</v>
      </c>
      <c r="EV15" t="s">
        <v>226</v>
      </c>
      <c r="EW15" t="s">
        <v>227</v>
      </c>
      <c r="EX15" t="s">
        <v>228</v>
      </c>
      <c r="EY15" t="s">
        <v>229</v>
      </c>
      <c r="EZ15" t="s">
        <v>230</v>
      </c>
      <c r="FA15" t="s">
        <v>231</v>
      </c>
      <c r="FB15" t="s">
        <v>232</v>
      </c>
      <c r="FC15" t="s">
        <v>233</v>
      </c>
      <c r="FD15" t="s">
        <v>234</v>
      </c>
      <c r="FE15" t="s">
        <v>235</v>
      </c>
      <c r="FF15" t="s">
        <v>236</v>
      </c>
      <c r="FG15" t="s">
        <v>237</v>
      </c>
      <c r="FH15" t="s">
        <v>238</v>
      </c>
      <c r="FI15" t="s">
        <v>239</v>
      </c>
      <c r="FJ15" t="s">
        <v>240</v>
      </c>
      <c r="FK15" t="s">
        <v>241</v>
      </c>
      <c r="FL15" t="s">
        <v>242</v>
      </c>
      <c r="FM15" t="s">
        <v>243</v>
      </c>
      <c r="FN15" t="s">
        <v>244</v>
      </c>
      <c r="FO15" t="s">
        <v>80</v>
      </c>
      <c r="FP15" t="s">
        <v>83</v>
      </c>
      <c r="FQ15" t="s">
        <v>245</v>
      </c>
      <c r="FR15" t="s">
        <v>246</v>
      </c>
      <c r="FS15" t="s">
        <v>247</v>
      </c>
      <c r="FT15" t="s">
        <v>248</v>
      </c>
      <c r="FU15" t="s">
        <v>249</v>
      </c>
      <c r="FV15" t="s">
        <v>250</v>
      </c>
      <c r="FW15" t="s">
        <v>251</v>
      </c>
      <c r="FX15" t="s">
        <v>252</v>
      </c>
      <c r="FY15" t="s">
        <v>253</v>
      </c>
      <c r="FZ15" t="s">
        <v>254</v>
      </c>
      <c r="GA15" t="s">
        <v>255</v>
      </c>
      <c r="GB15" t="s">
        <v>593</v>
      </c>
      <c r="GC15" t="s">
        <v>594</v>
      </c>
      <c r="GD15" t="s">
        <v>595</v>
      </c>
      <c r="GE15" t="s">
        <v>596</v>
      </c>
      <c r="GF15" t="s">
        <v>260</v>
      </c>
      <c r="GG15" t="s">
        <v>261</v>
      </c>
      <c r="GH15" t="s">
        <v>262</v>
      </c>
      <c r="GI15" t="s">
        <v>263</v>
      </c>
      <c r="GJ15" t="s">
        <v>264</v>
      </c>
      <c r="GK15" t="s">
        <v>265</v>
      </c>
      <c r="GL15" t="s">
        <v>266</v>
      </c>
      <c r="GM15" t="s">
        <v>267</v>
      </c>
      <c r="GN15" t="s">
        <v>268</v>
      </c>
      <c r="GO15" t="s">
        <v>269</v>
      </c>
      <c r="GP15" t="s">
        <v>270</v>
      </c>
      <c r="GQ15" t="s">
        <v>271</v>
      </c>
      <c r="GR15" t="s">
        <v>272</v>
      </c>
      <c r="GS15" t="s">
        <v>273</v>
      </c>
      <c r="GT15" t="s">
        <v>274</v>
      </c>
      <c r="GU15" t="s">
        <v>275</v>
      </c>
      <c r="GV15" t="s">
        <v>276</v>
      </c>
      <c r="GW15" t="s">
        <v>277</v>
      </c>
      <c r="GX15" t="s">
        <v>278</v>
      </c>
      <c r="GY15" t="s">
        <v>279</v>
      </c>
      <c r="GZ15" t="s">
        <v>280</v>
      </c>
      <c r="HA15" t="s">
        <v>281</v>
      </c>
      <c r="HB15" t="s">
        <v>282</v>
      </c>
      <c r="HC15" t="s">
        <v>283</v>
      </c>
      <c r="HD15" t="s">
        <v>284</v>
      </c>
      <c r="HE15" t="s">
        <v>285</v>
      </c>
      <c r="HF15" t="s">
        <v>286</v>
      </c>
      <c r="HG15" t="s">
        <v>287</v>
      </c>
      <c r="HH15" t="s">
        <v>288</v>
      </c>
      <c r="HI15" t="s">
        <v>289</v>
      </c>
      <c r="HJ15" t="s">
        <v>290</v>
      </c>
      <c r="HK15" t="s">
        <v>291</v>
      </c>
      <c r="HL15" t="s">
        <v>292</v>
      </c>
      <c r="HM15" t="s">
        <v>293</v>
      </c>
      <c r="HN15" t="s">
        <v>294</v>
      </c>
      <c r="HO15" t="s">
        <v>295</v>
      </c>
      <c r="HP15" t="s">
        <v>296</v>
      </c>
      <c r="HQ15" t="s">
        <v>297</v>
      </c>
      <c r="HR15" t="s">
        <v>298</v>
      </c>
      <c r="HS15" t="s">
        <v>299</v>
      </c>
      <c r="HT15" t="s">
        <v>300</v>
      </c>
      <c r="HU15" t="s">
        <v>301</v>
      </c>
      <c r="HV15" t="s">
        <v>302</v>
      </c>
      <c r="HW15" t="s">
        <v>303</v>
      </c>
      <c r="HX15" t="s">
        <v>304</v>
      </c>
      <c r="HY15" t="s">
        <v>305</v>
      </c>
      <c r="HZ15" t="s">
        <v>306</v>
      </c>
      <c r="IA15" t="s">
        <v>307</v>
      </c>
      <c r="IB15" t="s">
        <v>308</v>
      </c>
      <c r="IC15" t="s">
        <v>309</v>
      </c>
      <c r="ID15" t="s">
        <v>310</v>
      </c>
      <c r="IE15" t="s">
        <v>311</v>
      </c>
      <c r="IF15" t="s">
        <v>312</v>
      </c>
      <c r="IG15" t="s">
        <v>313</v>
      </c>
      <c r="IH15" t="s">
        <v>314</v>
      </c>
      <c r="II15" t="s">
        <v>315</v>
      </c>
      <c r="IJ15" t="s">
        <v>316</v>
      </c>
      <c r="IK15" t="s">
        <v>317</v>
      </c>
      <c r="IL15" t="s">
        <v>318</v>
      </c>
      <c r="IM15" t="s">
        <v>319</v>
      </c>
      <c r="IN15" t="s">
        <v>320</v>
      </c>
      <c r="IO15" t="s">
        <v>321</v>
      </c>
      <c r="IP15" t="s">
        <v>322</v>
      </c>
      <c r="IQ15" t="s">
        <v>323</v>
      </c>
      <c r="IR15" t="s">
        <v>324</v>
      </c>
      <c r="IS15" t="s">
        <v>325</v>
      </c>
      <c r="IT15" t="s">
        <v>326</v>
      </c>
      <c r="IU15" t="s">
        <v>327</v>
      </c>
      <c r="IV15" t="s">
        <v>328</v>
      </c>
      <c r="IW15" t="s">
        <v>329</v>
      </c>
      <c r="IX15" t="s">
        <v>330</v>
      </c>
      <c r="IY15" t="s">
        <v>331</v>
      </c>
      <c r="IZ15" t="s">
        <v>332</v>
      </c>
      <c r="JA15" t="s">
        <v>333</v>
      </c>
      <c r="JB15" t="s">
        <v>334</v>
      </c>
      <c r="JC15" t="s">
        <v>335</v>
      </c>
      <c r="JD15" t="s">
        <v>336</v>
      </c>
      <c r="JE15" t="s">
        <v>337</v>
      </c>
      <c r="JF15" t="s">
        <v>338</v>
      </c>
      <c r="JG15" t="s">
        <v>339</v>
      </c>
      <c r="JH15" t="s">
        <v>340</v>
      </c>
      <c r="JI15" t="s">
        <v>341</v>
      </c>
      <c r="JJ15" t="s">
        <v>342</v>
      </c>
      <c r="JK15" t="s">
        <v>343</v>
      </c>
      <c r="JL15" t="s">
        <v>344</v>
      </c>
      <c r="JM15" t="s">
        <v>345</v>
      </c>
      <c r="JN15" t="s">
        <v>346</v>
      </c>
      <c r="JO15" t="s">
        <v>347</v>
      </c>
      <c r="JP15" t="s">
        <v>348</v>
      </c>
      <c r="JQ15" t="s">
        <v>349</v>
      </c>
      <c r="JR15" t="s">
        <v>350</v>
      </c>
      <c r="JS15" t="s">
        <v>351</v>
      </c>
      <c r="JT15" t="s">
        <v>352</v>
      </c>
      <c r="JU15" t="s">
        <v>353</v>
      </c>
      <c r="JV15" t="s">
        <v>354</v>
      </c>
      <c r="JW15" t="s">
        <v>355</v>
      </c>
      <c r="JX15" t="s">
        <v>356</v>
      </c>
      <c r="JY15" t="s">
        <v>357</v>
      </c>
      <c r="JZ15" t="s">
        <v>358</v>
      </c>
      <c r="KA15" t="s">
        <v>359</v>
      </c>
      <c r="KB15" t="s">
        <v>360</v>
      </c>
      <c r="KC15" t="s">
        <v>361</v>
      </c>
      <c r="KD15" t="s">
        <v>362</v>
      </c>
      <c r="KE15" t="s">
        <v>363</v>
      </c>
      <c r="KF15" t="s">
        <v>364</v>
      </c>
      <c r="KG15" t="s">
        <v>365</v>
      </c>
      <c r="KH15" t="s">
        <v>366</v>
      </c>
      <c r="KI15" t="s">
        <v>367</v>
      </c>
      <c r="KJ15" t="s">
        <v>368</v>
      </c>
    </row>
    <row r="16" spans="1:296" x14ac:dyDescent="0.3">
      <c r="B16" t="s">
        <v>369</v>
      </c>
      <c r="C16" t="s">
        <v>369</v>
      </c>
      <c r="F16" t="s">
        <v>369</v>
      </c>
      <c r="H16" t="s">
        <v>369</v>
      </c>
      <c r="I16" t="s">
        <v>370</v>
      </c>
      <c r="J16" t="s">
        <v>371</v>
      </c>
      <c r="K16" t="s">
        <v>372</v>
      </c>
      <c r="L16" t="s">
        <v>373</v>
      </c>
      <c r="M16" t="s">
        <v>373</v>
      </c>
      <c r="N16" t="s">
        <v>202</v>
      </c>
      <c r="O16" t="s">
        <v>202</v>
      </c>
      <c r="P16" t="s">
        <v>370</v>
      </c>
      <c r="Q16" t="s">
        <v>370</v>
      </c>
      <c r="R16" t="s">
        <v>370</v>
      </c>
      <c r="S16" t="s">
        <v>370</v>
      </c>
      <c r="T16" t="s">
        <v>374</v>
      </c>
      <c r="U16" t="s">
        <v>375</v>
      </c>
      <c r="V16" t="s">
        <v>375</v>
      </c>
      <c r="W16" t="s">
        <v>376</v>
      </c>
      <c r="X16" t="s">
        <v>377</v>
      </c>
      <c r="Y16" t="s">
        <v>376</v>
      </c>
      <c r="Z16" t="s">
        <v>376</v>
      </c>
      <c r="AA16" t="s">
        <v>376</v>
      </c>
      <c r="AB16" t="s">
        <v>374</v>
      </c>
      <c r="AC16" t="s">
        <v>374</v>
      </c>
      <c r="AD16" t="s">
        <v>374</v>
      </c>
      <c r="AE16" t="s">
        <v>374</v>
      </c>
      <c r="AF16" t="s">
        <v>372</v>
      </c>
      <c r="AG16" t="s">
        <v>371</v>
      </c>
      <c r="AH16" t="s">
        <v>372</v>
      </c>
      <c r="AI16" t="s">
        <v>373</v>
      </c>
      <c r="AJ16" t="s">
        <v>373</v>
      </c>
      <c r="AK16" t="s">
        <v>378</v>
      </c>
      <c r="AL16" t="s">
        <v>379</v>
      </c>
      <c r="AM16" t="s">
        <v>371</v>
      </c>
      <c r="AN16" t="s">
        <v>380</v>
      </c>
      <c r="AO16" t="s">
        <v>380</v>
      </c>
      <c r="AP16" t="s">
        <v>381</v>
      </c>
      <c r="AQ16" t="s">
        <v>379</v>
      </c>
      <c r="AR16" t="s">
        <v>382</v>
      </c>
      <c r="AS16" t="s">
        <v>377</v>
      </c>
      <c r="AU16" t="s">
        <v>377</v>
      </c>
      <c r="AV16" t="s">
        <v>382</v>
      </c>
      <c r="BB16" t="s">
        <v>372</v>
      </c>
      <c r="BI16" t="s">
        <v>372</v>
      </c>
      <c r="BJ16" t="s">
        <v>372</v>
      </c>
      <c r="BK16" t="s">
        <v>372</v>
      </c>
      <c r="BL16" t="s">
        <v>383</v>
      </c>
      <c r="BZ16" t="s">
        <v>384</v>
      </c>
      <c r="CB16" t="s">
        <v>384</v>
      </c>
      <c r="CC16" t="s">
        <v>372</v>
      </c>
      <c r="CF16" t="s">
        <v>384</v>
      </c>
      <c r="CG16" t="s">
        <v>377</v>
      </c>
      <c r="CJ16" t="s">
        <v>385</v>
      </c>
      <c r="CK16" t="s">
        <v>385</v>
      </c>
      <c r="CM16" t="s">
        <v>386</v>
      </c>
      <c r="CN16" t="s">
        <v>384</v>
      </c>
      <c r="CP16" t="s">
        <v>384</v>
      </c>
      <c r="CQ16" t="s">
        <v>372</v>
      </c>
      <c r="CU16" t="s">
        <v>384</v>
      </c>
      <c r="CW16" t="s">
        <v>387</v>
      </c>
      <c r="CZ16" t="s">
        <v>384</v>
      </c>
      <c r="DA16" t="s">
        <v>384</v>
      </c>
      <c r="DC16" t="s">
        <v>384</v>
      </c>
      <c r="DE16" t="s">
        <v>384</v>
      </c>
      <c r="DG16" t="s">
        <v>372</v>
      </c>
      <c r="DH16" t="s">
        <v>372</v>
      </c>
      <c r="DJ16" t="s">
        <v>388</v>
      </c>
      <c r="DK16" t="s">
        <v>389</v>
      </c>
      <c r="DN16" t="s">
        <v>370</v>
      </c>
      <c r="DP16" t="s">
        <v>369</v>
      </c>
      <c r="DQ16" t="s">
        <v>373</v>
      </c>
      <c r="DR16" t="s">
        <v>373</v>
      </c>
      <c r="DS16" t="s">
        <v>380</v>
      </c>
      <c r="DT16" t="s">
        <v>380</v>
      </c>
      <c r="DU16" t="s">
        <v>373</v>
      </c>
      <c r="DV16" t="s">
        <v>380</v>
      </c>
      <c r="DW16" t="s">
        <v>382</v>
      </c>
      <c r="DX16" t="s">
        <v>376</v>
      </c>
      <c r="DY16" t="s">
        <v>376</v>
      </c>
      <c r="DZ16" t="s">
        <v>375</v>
      </c>
      <c r="EA16" t="s">
        <v>375</v>
      </c>
      <c r="EB16" t="s">
        <v>375</v>
      </c>
      <c r="EC16" t="s">
        <v>375</v>
      </c>
      <c r="ED16" t="s">
        <v>375</v>
      </c>
      <c r="EE16" t="s">
        <v>390</v>
      </c>
      <c r="EF16" t="s">
        <v>372</v>
      </c>
      <c r="EG16" t="s">
        <v>372</v>
      </c>
      <c r="EH16" t="s">
        <v>373</v>
      </c>
      <c r="EI16" t="s">
        <v>373</v>
      </c>
      <c r="EJ16" t="s">
        <v>373</v>
      </c>
      <c r="EK16" t="s">
        <v>380</v>
      </c>
      <c r="EL16" t="s">
        <v>373</v>
      </c>
      <c r="EM16" t="s">
        <v>380</v>
      </c>
      <c r="EN16" t="s">
        <v>376</v>
      </c>
      <c r="EO16" t="s">
        <v>376</v>
      </c>
      <c r="EP16" t="s">
        <v>375</v>
      </c>
      <c r="EQ16" t="s">
        <v>375</v>
      </c>
      <c r="ER16" t="s">
        <v>372</v>
      </c>
      <c r="EW16" t="s">
        <v>372</v>
      </c>
      <c r="EZ16" t="s">
        <v>375</v>
      </c>
      <c r="FA16" t="s">
        <v>375</v>
      </c>
      <c r="FB16" t="s">
        <v>375</v>
      </c>
      <c r="FC16" t="s">
        <v>375</v>
      </c>
      <c r="FD16" t="s">
        <v>375</v>
      </c>
      <c r="FE16" t="s">
        <v>372</v>
      </c>
      <c r="FF16" t="s">
        <v>372</v>
      </c>
      <c r="FG16" t="s">
        <v>372</v>
      </c>
      <c r="FH16" t="s">
        <v>369</v>
      </c>
      <c r="FK16" t="s">
        <v>391</v>
      </c>
      <c r="FL16" t="s">
        <v>391</v>
      </c>
      <c r="FN16" t="s">
        <v>369</v>
      </c>
      <c r="FO16" t="s">
        <v>392</v>
      </c>
      <c r="FQ16" t="s">
        <v>369</v>
      </c>
      <c r="FR16" t="s">
        <v>369</v>
      </c>
      <c r="FT16" t="s">
        <v>393</v>
      </c>
      <c r="FU16" t="s">
        <v>394</v>
      </c>
      <c r="FV16" t="s">
        <v>393</v>
      </c>
      <c r="FW16" t="s">
        <v>394</v>
      </c>
      <c r="FX16" t="s">
        <v>393</v>
      </c>
      <c r="FY16" t="s">
        <v>394</v>
      </c>
      <c r="FZ16" t="s">
        <v>377</v>
      </c>
      <c r="GA16" t="s">
        <v>377</v>
      </c>
      <c r="GB16" t="s">
        <v>373</v>
      </c>
      <c r="GC16" t="s">
        <v>395</v>
      </c>
      <c r="GD16" t="s">
        <v>373</v>
      </c>
      <c r="GG16" t="s">
        <v>396</v>
      </c>
      <c r="GJ16" t="s">
        <v>380</v>
      </c>
      <c r="GK16" t="s">
        <v>397</v>
      </c>
      <c r="GL16" t="s">
        <v>380</v>
      </c>
      <c r="GQ16" t="s">
        <v>398</v>
      </c>
      <c r="GR16" t="s">
        <v>398</v>
      </c>
      <c r="HE16" t="s">
        <v>398</v>
      </c>
      <c r="HF16" t="s">
        <v>398</v>
      </c>
      <c r="HG16" t="s">
        <v>399</v>
      </c>
      <c r="HH16" t="s">
        <v>399</v>
      </c>
      <c r="HI16" t="s">
        <v>375</v>
      </c>
      <c r="HJ16" t="s">
        <v>375</v>
      </c>
      <c r="HK16" t="s">
        <v>377</v>
      </c>
      <c r="HL16" t="s">
        <v>375</v>
      </c>
      <c r="HM16" t="s">
        <v>380</v>
      </c>
      <c r="HN16" t="s">
        <v>377</v>
      </c>
      <c r="HO16" t="s">
        <v>377</v>
      </c>
      <c r="HQ16" t="s">
        <v>398</v>
      </c>
      <c r="HR16" t="s">
        <v>398</v>
      </c>
      <c r="HS16" t="s">
        <v>398</v>
      </c>
      <c r="HT16" t="s">
        <v>398</v>
      </c>
      <c r="HU16" t="s">
        <v>398</v>
      </c>
      <c r="HV16" t="s">
        <v>398</v>
      </c>
      <c r="HW16" t="s">
        <v>398</v>
      </c>
      <c r="HX16" t="s">
        <v>400</v>
      </c>
      <c r="HY16" t="s">
        <v>400</v>
      </c>
      <c r="HZ16" t="s">
        <v>400</v>
      </c>
      <c r="IA16" t="s">
        <v>401</v>
      </c>
      <c r="IB16" t="s">
        <v>398</v>
      </c>
      <c r="IC16" t="s">
        <v>398</v>
      </c>
      <c r="ID16" t="s">
        <v>398</v>
      </c>
      <c r="IE16" t="s">
        <v>398</v>
      </c>
      <c r="IF16" t="s">
        <v>398</v>
      </c>
      <c r="IG16" t="s">
        <v>398</v>
      </c>
      <c r="IH16" t="s">
        <v>398</v>
      </c>
      <c r="II16" t="s">
        <v>398</v>
      </c>
      <c r="IJ16" t="s">
        <v>398</v>
      </c>
      <c r="IK16" t="s">
        <v>398</v>
      </c>
      <c r="IL16" t="s">
        <v>398</v>
      </c>
      <c r="IM16" t="s">
        <v>398</v>
      </c>
      <c r="IT16" t="s">
        <v>398</v>
      </c>
      <c r="IU16" t="s">
        <v>377</v>
      </c>
      <c r="IV16" t="s">
        <v>377</v>
      </c>
      <c r="IW16" t="s">
        <v>393</v>
      </c>
      <c r="IX16" t="s">
        <v>394</v>
      </c>
      <c r="IY16" t="s">
        <v>393</v>
      </c>
      <c r="JC16" t="s">
        <v>394</v>
      </c>
      <c r="JG16" t="s">
        <v>373</v>
      </c>
      <c r="JH16" t="s">
        <v>373</v>
      </c>
      <c r="JI16" t="s">
        <v>380</v>
      </c>
      <c r="JJ16" t="s">
        <v>380</v>
      </c>
      <c r="JK16" t="s">
        <v>402</v>
      </c>
      <c r="JL16" t="s">
        <v>402</v>
      </c>
      <c r="JM16" t="s">
        <v>398</v>
      </c>
      <c r="JN16" t="s">
        <v>398</v>
      </c>
      <c r="JO16" t="s">
        <v>398</v>
      </c>
      <c r="JP16" t="s">
        <v>398</v>
      </c>
      <c r="JQ16" t="s">
        <v>398</v>
      </c>
      <c r="JR16" t="s">
        <v>398</v>
      </c>
      <c r="JS16" t="s">
        <v>375</v>
      </c>
      <c r="JT16" t="s">
        <v>398</v>
      </c>
      <c r="JV16" t="s">
        <v>382</v>
      </c>
      <c r="JW16" t="s">
        <v>382</v>
      </c>
      <c r="JX16" t="s">
        <v>375</v>
      </c>
      <c r="JY16" t="s">
        <v>375</v>
      </c>
      <c r="JZ16" t="s">
        <v>375</v>
      </c>
      <c r="KA16" t="s">
        <v>375</v>
      </c>
      <c r="KB16" t="s">
        <v>375</v>
      </c>
      <c r="KC16" t="s">
        <v>377</v>
      </c>
      <c r="KD16" t="s">
        <v>377</v>
      </c>
      <c r="KE16" t="s">
        <v>377</v>
      </c>
      <c r="KF16" t="s">
        <v>375</v>
      </c>
      <c r="KG16" t="s">
        <v>373</v>
      </c>
      <c r="KH16" t="s">
        <v>380</v>
      </c>
      <c r="KI16" t="s">
        <v>377</v>
      </c>
      <c r="KJ16" t="s">
        <v>377</v>
      </c>
    </row>
    <row r="17" spans="1:296" x14ac:dyDescent="0.3">
      <c r="A17">
        <v>1</v>
      </c>
      <c r="B17">
        <v>1782829735.5999999</v>
      </c>
      <c r="C17">
        <v>0</v>
      </c>
      <c r="D17" t="s">
        <v>1025</v>
      </c>
      <c r="E17" t="s">
        <v>1026</v>
      </c>
      <c r="F17">
        <v>15</v>
      </c>
      <c r="H17">
        <v>1782829727.849999</v>
      </c>
      <c r="I17">
        <f t="shared" ref="I17:I31" si="0">(J17)/1000</f>
        <v>3.2118072268462129E-3</v>
      </c>
      <c r="J17">
        <f t="shared" ref="J17:J31" si="1">IF(DO17, AM17, AG17)</f>
        <v>3.2118072268462128</v>
      </c>
      <c r="K17">
        <f t="shared" ref="K17:K31" si="2">IF(DO17, AH17, AF17)</f>
        <v>32.777220257500254</v>
      </c>
      <c r="L17">
        <f t="shared" ref="L17:L31" si="3">DQ17 - IF(AT17&gt;1, K17*DK17*100/(AV17), 0)</f>
        <v>419.20346666666671</v>
      </c>
      <c r="M17">
        <f t="shared" ref="M17:M31" si="4">((S17-I17/2)*L17-K17)/(S17+I17/2)</f>
        <v>143.60739644437402</v>
      </c>
      <c r="N17">
        <f t="shared" ref="N17:N31" si="5">M17*(DX17+DY17)/1000</f>
        <v>13.990540865149969</v>
      </c>
      <c r="O17">
        <f t="shared" ref="O17:O31" si="6">(DQ17 - IF(AT17&gt;1, K17*DK17*100/(AV17), 0))*(DX17+DY17)/1000</f>
        <v>40.839701689629074</v>
      </c>
      <c r="P17">
        <f t="shared" ref="P17:P31" si="7">2/((1/R17-1/Q17)+SIGN(R17)*SQRT((1/R17-1/Q17)*(1/R17-1/Q17) + 4*DL17/((DL17+1)*(DL17+1))*(2*1/R17*1/Q17-1/Q17*1/Q17)))</f>
        <v>0.20203970366009186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2.8832304537848614</v>
      </c>
      <c r="R17">
        <f t="shared" ref="R17:R31" si="9">I17*(1000-(1000*0.61365*EXP(17.502*V17/(240.97+V17))/(DX17+DY17)+DS17)/2)/(1000*0.61365*EXP(17.502*V17/(240.97+V17))/(DX17+DY17)-DS17)</f>
        <v>0.19449102856140676</v>
      </c>
      <c r="S17">
        <f t="shared" ref="S17:S31" si="10">1/((DL17+1)/(P17/1.6)+1/(Q17/1.37)) + DL17/((DL17+1)/(P17/1.6) + DL17/(Q17/1.37))</f>
        <v>0.12221161291986966</v>
      </c>
      <c r="T17">
        <f t="shared" ref="T17:T31" si="11">(DG17*DJ17)</f>
        <v>319.77279437221921</v>
      </c>
      <c r="U17">
        <f t="shared" ref="U17:U31" si="12">(DZ17+(T17+2*0.95*0.0000000567*(((DZ17+$B$7)+273)^4-(DZ17+273)^4)-44100*I17)/(1.84*29.3*Q17+8*0.95*0.0000000567*(DZ17+273)^3))</f>
        <v>33.210492659226247</v>
      </c>
      <c r="V17">
        <f t="shared" ref="V17:V31" si="13">($C$7*EA17+$D$7*EB17+$E$7*U17)</f>
        <v>31.679523333333339</v>
      </c>
      <c r="W17">
        <f t="shared" ref="W17:W31" si="14">0.61365*EXP(17.502*V17/(240.97+V17))</f>
        <v>4.6891480810104387</v>
      </c>
      <c r="X17">
        <f t="shared" ref="X17:X31" si="15">(Y17/Z17*100)</f>
        <v>65.313189724641717</v>
      </c>
      <c r="Y17">
        <f t="shared" ref="Y17:Y31" si="16">DS17*(DX17+DY17)/1000</f>
        <v>3.1450138939201597</v>
      </c>
      <c r="Z17">
        <f t="shared" ref="Z17:Z31" si="17">0.61365*EXP(17.502*DZ17/(240.97+DZ17))</f>
        <v>4.8152814265838737</v>
      </c>
      <c r="AA17">
        <f t="shared" ref="AA17:AA31" si="18">(W17-DS17*(DX17+DY17)/1000)</f>
        <v>1.5441341870902789</v>
      </c>
      <c r="AB17">
        <f t="shared" ref="AB17:AB31" si="19">(-I17*44100)</f>
        <v>-141.64069870391799</v>
      </c>
      <c r="AC17">
        <f t="shared" ref="AC17:AC31" si="20">2*29.3*Q17*0.92*(DZ17-V17)</f>
        <v>72.849884211856562</v>
      </c>
      <c r="AD17">
        <f t="shared" ref="AD17:AD31" si="21">2*0.95*0.0000000567*(((DZ17+$B$7)+273)^4-(V17+273)^4)</f>
        <v>5.7252236552452933</v>
      </c>
      <c r="AE17">
        <f t="shared" ref="AE17:AE31" si="22">T17+AD17+AB17+AC17</f>
        <v>256.7072035354031</v>
      </c>
      <c r="AF17">
        <f t="shared" ref="AF17:AF31" si="23">DW17*AT17*(DR17-DQ17*(1000-AT17*DT17)/(1000-AT17*DS17))/(100*DK17)</f>
        <v>32.777220257500254</v>
      </c>
      <c r="AG17">
        <f t="shared" ref="AG17:AG31" si="24">1000*DW17*AT17*(DS17-DT17)/(100*DK17*(1000-AT17*DS17))</f>
        <v>3.2118072268462128</v>
      </c>
      <c r="AH17">
        <f t="shared" ref="AH17:AH31" si="25">(AI17 - AJ17 - DX17*1000/(8.314*(DZ17+273.15)) * AL17/DW17 * AK17) * DW17/(100*DK17) * (1000 - DT17)/1000</f>
        <v>32.893168587668669</v>
      </c>
      <c r="AI17">
        <v>473.7266264824446</v>
      </c>
      <c r="AJ17">
        <v>433.11866060606047</v>
      </c>
      <c r="AK17">
        <v>-5.0067769703922849E-3</v>
      </c>
      <c r="AL17">
        <v>67.030992403256818</v>
      </c>
      <c r="AM17">
        <f t="shared" ref="AM17:AM31" si="26">(AO17 - AN17 + DX17*1000/(8.314*(DZ17+273.15)) * AQ17/DW17 * AP17) * DW17/(100*DK17) * 1000/(1000 - AO17)</f>
        <v>3.1493954199536982</v>
      </c>
      <c r="AN17">
        <v>28.538173850798309</v>
      </c>
      <c r="AO17">
        <v>32.202256969696947</v>
      </c>
      <c r="AP17">
        <v>-1.060520437876531E-3</v>
      </c>
      <c r="AQ17">
        <v>78.036500311939577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50624.396191602951</v>
      </c>
      <c r="AW17" t="s">
        <v>1027</v>
      </c>
      <c r="AX17">
        <v>4100.0200000000004</v>
      </c>
      <c r="AY17">
        <v>703.65588235294126</v>
      </c>
      <c r="AZ17">
        <v>2894.78</v>
      </c>
      <c r="BA17">
        <f t="shared" ref="BA17:BA31" si="30">1-AY17/AZ17</f>
        <v>0.75692250106987702</v>
      </c>
      <c r="BB17">
        <v>-1.8770886535882509</v>
      </c>
      <c r="BC17" t="s">
        <v>1028</v>
      </c>
      <c r="BD17">
        <v>5095.1499999999996</v>
      </c>
      <c r="BE17">
        <v>815.69535294117634</v>
      </c>
      <c r="BF17">
        <v>943.69</v>
      </c>
      <c r="BG17">
        <f t="shared" ref="BG17:BG31" si="31">1-BE17/BF17</f>
        <v>0.13563209004951171</v>
      </c>
      <c r="BH17">
        <v>0.5</v>
      </c>
      <c r="BI17">
        <f t="shared" ref="BI17:BI31" si="32">DH17</f>
        <v>1680.2755800892328</v>
      </c>
      <c r="BJ17">
        <f t="shared" ref="BJ17:BJ31" si="33">K17</f>
        <v>32.777220257500254</v>
      </c>
      <c r="BK17">
        <f t="shared" ref="BK17:BK31" si="34">BG17*BH17*BI17</f>
        <v>113.94964439332918</v>
      </c>
      <c r="BL17">
        <f t="shared" ref="BL17:BL31" si="35">(BJ17-BB17)/BI17</f>
        <v>2.062418172455268E-2</v>
      </c>
      <c r="BM17">
        <f t="shared" ref="BM17:BM31" si="36">(AZ17-BF17)/BF17</f>
        <v>2.067511576894955</v>
      </c>
      <c r="BN17">
        <f t="shared" ref="BN17:BN31" si="37">AY17/(BA17+AY17/BF17)</f>
        <v>468.30295395401401</v>
      </c>
      <c r="BO17" t="s">
        <v>407</v>
      </c>
      <c r="BP17">
        <v>0</v>
      </c>
      <c r="BQ17">
        <f t="shared" ref="BQ17:BQ31" si="38">IF(BP17&lt;&gt;0, BP17, BN17)</f>
        <v>468.30295395401401</v>
      </c>
      <c r="BR17">
        <f t="shared" ref="BR17:BR31" si="39">1-BQ17/BF17</f>
        <v>0.50375339999998525</v>
      </c>
      <c r="BS17">
        <f t="shared" ref="BS17:BS31" si="40">(BF17-BE17)/(BF17-BQ17)</f>
        <v>0.26924302654734578</v>
      </c>
      <c r="BT17">
        <f t="shared" ref="BT17:BT31" si="41">(AZ17-BF17)/(AZ17-BQ17)</f>
        <v>0.80408343576930064</v>
      </c>
      <c r="BU17">
        <f t="shared" ref="BU17:BU31" si="42">(BF17-BE17)/(BF17-AY17)</f>
        <v>0.5332352263648803</v>
      </c>
      <c r="BV17">
        <f t="shared" ref="BV17:BV31" si="43">(AZ17-BF17)/(AZ17-AY17)</f>
        <v>0.89045161079016388</v>
      </c>
      <c r="BW17">
        <f t="shared" ref="BW17:BW31" si="44">(BS17*BQ17/BE17)</f>
        <v>0.15457646559957022</v>
      </c>
      <c r="BX17">
        <f t="shared" ref="BX17:BX31" si="45">(1-BW17)</f>
        <v>0.84542353440042972</v>
      </c>
      <c r="DG17">
        <f t="shared" ref="DG17:DG31" si="46">$B$11*EF17+$C$11*EG17+$F$11*ER17*(1-EU17)</f>
        <v>1999.972</v>
      </c>
      <c r="DH17">
        <f t="shared" ref="DH17:DH31" si="47">DG17*DI17</f>
        <v>1680.2755800892328</v>
      </c>
      <c r="DI17">
        <f t="shared" ref="DI17:DI31" si="48">($B$11*$D$9+$C$11*$D$9+$F$11*((FE17+EW17)/MAX(FE17+EW17+FF17, 0.1)*$I$9+FF17/MAX(FE17+EW17+FF17, 0.1)*$J$9))/($B$11+$C$11+$F$11)</f>
        <v>0.8401495521383463</v>
      </c>
      <c r="DJ17">
        <f t="shared" ref="DJ17:DJ31" si="49">($B$11*$K$9+$C$11*$K$9+$F$11*((FE17+EW17)/MAX(FE17+EW17+FF17, 0.1)*$P$9+FF17/MAX(FE17+EW17+FF17, 0.1)*$Q$9))/($B$11+$C$11+$F$11)</f>
        <v>0.15988863562700839</v>
      </c>
      <c r="DK17">
        <v>6</v>
      </c>
      <c r="DL17">
        <v>0.5</v>
      </c>
      <c r="DM17" t="s">
        <v>408</v>
      </c>
      <c r="DN17">
        <v>2</v>
      </c>
      <c r="DO17" t="b">
        <v>0</v>
      </c>
      <c r="DP17">
        <v>1782829727.849999</v>
      </c>
      <c r="DQ17">
        <v>419.20346666666671</v>
      </c>
      <c r="DR17">
        <v>460.15359999999998</v>
      </c>
      <c r="DS17">
        <v>32.282330000000002</v>
      </c>
      <c r="DT17">
        <v>28.552420000000001</v>
      </c>
      <c r="DU17">
        <v>423.67526666666657</v>
      </c>
      <c r="DV17">
        <v>31.918330000000001</v>
      </c>
      <c r="DW17">
        <v>499.97816666666671</v>
      </c>
      <c r="DX17">
        <v>97.374776666666648</v>
      </c>
      <c r="DY17">
        <v>4.7370183333333329E-2</v>
      </c>
      <c r="DZ17">
        <v>32.148189999999992</v>
      </c>
      <c r="EA17">
        <v>31.679523333333339</v>
      </c>
      <c r="EB17">
        <v>999.9000000000002</v>
      </c>
      <c r="EC17">
        <v>0</v>
      </c>
      <c r="ED17">
        <v>0</v>
      </c>
      <c r="EE17">
        <v>10000.83333333333</v>
      </c>
      <c r="EF17">
        <v>0</v>
      </c>
      <c r="EG17">
        <v>32.47745333333333</v>
      </c>
      <c r="EH17">
        <v>-40.950106666666663</v>
      </c>
      <c r="EI17">
        <v>433.16320000000002</v>
      </c>
      <c r="EJ17">
        <v>473.6783999999999</v>
      </c>
      <c r="EK17">
        <v>3.6749296666666682</v>
      </c>
      <c r="EL17">
        <v>460.15359999999998</v>
      </c>
      <c r="EM17">
        <v>28.552420000000001</v>
      </c>
      <c r="EN17">
        <v>3.1381323333333331</v>
      </c>
      <c r="EO17">
        <v>2.780286666666667</v>
      </c>
      <c r="EP17">
        <v>24.779583333333331</v>
      </c>
      <c r="EQ17">
        <v>22.767506666666669</v>
      </c>
      <c r="ER17">
        <v>1999.972</v>
      </c>
      <c r="ES17">
        <v>0.99500099999999969</v>
      </c>
      <c r="ET17">
        <v>4.9991750000000007E-3</v>
      </c>
      <c r="EU17">
        <v>0</v>
      </c>
      <c r="EV17">
        <v>815.88589999999988</v>
      </c>
      <c r="EW17">
        <v>5.0010700000000003</v>
      </c>
      <c r="EX17">
        <v>17343.113333333331</v>
      </c>
      <c r="EY17">
        <v>18241.38</v>
      </c>
      <c r="EZ17">
        <v>39.270666666666664</v>
      </c>
      <c r="FA17">
        <v>40.25</v>
      </c>
      <c r="FB17">
        <v>39.703799999999987</v>
      </c>
      <c r="FC17">
        <v>40.061999999999983</v>
      </c>
      <c r="FD17">
        <v>41.00826666666665</v>
      </c>
      <c r="FE17">
        <v>1985.0003333333329</v>
      </c>
      <c r="FF17">
        <v>9.9700000000000042</v>
      </c>
      <c r="FG17">
        <v>0</v>
      </c>
      <c r="FH17">
        <v>1782829743.0999999</v>
      </c>
      <c r="FI17">
        <v>0</v>
      </c>
      <c r="FJ17">
        <v>815.69535294117634</v>
      </c>
      <c r="FK17">
        <v>-7.9801470517496691</v>
      </c>
      <c r="FL17">
        <v>-194.14215795486459</v>
      </c>
      <c r="FM17">
        <v>17311.95882352941</v>
      </c>
      <c r="FN17">
        <v>10</v>
      </c>
      <c r="FO17">
        <v>1782829759.5999999</v>
      </c>
      <c r="FP17" t="s">
        <v>1029</v>
      </c>
      <c r="FQ17">
        <v>1782324718</v>
      </c>
      <c r="FR17">
        <v>1782829759.5999999</v>
      </c>
      <c r="FS17">
        <v>1</v>
      </c>
      <c r="FT17">
        <v>-0.874</v>
      </c>
      <c r="FU17">
        <v>0.17499999999999999</v>
      </c>
      <c r="FV17">
        <v>-4.4660000000000002</v>
      </c>
      <c r="FW17">
        <v>0.36399999999999999</v>
      </c>
      <c r="FX17">
        <v>422</v>
      </c>
      <c r="FY17">
        <v>29</v>
      </c>
      <c r="FZ17">
        <v>1.99</v>
      </c>
      <c r="GA17">
        <v>0.06</v>
      </c>
      <c r="GB17">
        <v>-40.753051219512187</v>
      </c>
      <c r="GC17">
        <v>-3.1781519163763252</v>
      </c>
      <c r="GD17">
        <v>0.34014397032329308</v>
      </c>
      <c r="GE17">
        <v>0</v>
      </c>
      <c r="GF17">
        <v>816.14467647058814</v>
      </c>
      <c r="GG17">
        <v>-4.917998464549556</v>
      </c>
      <c r="GH17">
        <v>0.53929909417295785</v>
      </c>
      <c r="GI17">
        <v>1</v>
      </c>
      <c r="GJ17">
        <v>3.6376753658536578</v>
      </c>
      <c r="GK17">
        <v>0.44608933797909761</v>
      </c>
      <c r="GL17">
        <v>5.9885082514704598E-2</v>
      </c>
      <c r="GM17">
        <v>1</v>
      </c>
      <c r="GN17">
        <v>2</v>
      </c>
      <c r="GO17">
        <v>3</v>
      </c>
      <c r="GP17" t="s">
        <v>598</v>
      </c>
      <c r="GQ17">
        <v>3.1328200000000002</v>
      </c>
      <c r="GR17">
        <v>2.7241300000000002</v>
      </c>
      <c r="GS17">
        <v>9.1335899999999998E-2</v>
      </c>
      <c r="GT17">
        <v>9.8020499999999997E-2</v>
      </c>
      <c r="GU17">
        <v>0.136689</v>
      </c>
      <c r="GV17">
        <v>0.12678400000000001</v>
      </c>
      <c r="GW17">
        <v>22910.9</v>
      </c>
      <c r="GX17">
        <v>30563</v>
      </c>
      <c r="GY17">
        <v>27339.9</v>
      </c>
      <c r="GZ17">
        <v>34827.5</v>
      </c>
      <c r="HA17">
        <v>34523.300000000003</v>
      </c>
      <c r="HB17">
        <v>38790.300000000003</v>
      </c>
      <c r="HC17">
        <v>40340.1</v>
      </c>
      <c r="HD17">
        <v>44512</v>
      </c>
      <c r="HE17">
        <v>1.9885999999999999</v>
      </c>
      <c r="HF17">
        <v>1.8196000000000001</v>
      </c>
      <c r="HG17">
        <v>7.3760699999999998E-2</v>
      </c>
      <c r="HH17">
        <v>0</v>
      </c>
      <c r="HI17">
        <v>30.470600000000001</v>
      </c>
      <c r="HJ17">
        <v>999.9</v>
      </c>
      <c r="HK17">
        <v>73.900000000000006</v>
      </c>
      <c r="HL17">
        <v>30.7</v>
      </c>
      <c r="HM17">
        <v>33.656399999999998</v>
      </c>
      <c r="HN17">
        <v>60.240099999999998</v>
      </c>
      <c r="HO17">
        <v>5.5248400000000002</v>
      </c>
      <c r="HP17">
        <v>1</v>
      </c>
      <c r="HQ17">
        <v>0.34390199999999999</v>
      </c>
      <c r="HR17">
        <v>0</v>
      </c>
      <c r="HS17">
        <v>20.2818</v>
      </c>
      <c r="HT17">
        <v>5.2088999999999999</v>
      </c>
      <c r="HU17">
        <v>11.902100000000001</v>
      </c>
      <c r="HV17">
        <v>4.9843999999999999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1.8626400000000001</v>
      </c>
      <c r="ID17">
        <v>1.86209</v>
      </c>
      <c r="IE17">
        <v>1.8615699999999999</v>
      </c>
      <c r="IF17">
        <v>1.8616600000000001</v>
      </c>
      <c r="IG17">
        <v>1.8623400000000001</v>
      </c>
      <c r="IH17">
        <v>1.8632500000000001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411</v>
      </c>
      <c r="IO17" t="s">
        <v>412</v>
      </c>
      <c r="IP17" t="s">
        <v>413</v>
      </c>
      <c r="IQ17" t="s">
        <v>414</v>
      </c>
      <c r="IR17" t="s">
        <v>414</v>
      </c>
      <c r="IS17" t="s">
        <v>413</v>
      </c>
      <c r="IT17">
        <v>0</v>
      </c>
      <c r="IU17">
        <v>100</v>
      </c>
      <c r="IV17">
        <v>100</v>
      </c>
      <c r="IW17">
        <v>-4.4720000000000004</v>
      </c>
      <c r="IX17">
        <v>0.36399999999999999</v>
      </c>
      <c r="IY17">
        <v>-2.8485</v>
      </c>
      <c r="IZ17">
        <v>-4.3200199999999999E-3</v>
      </c>
      <c r="JA17">
        <v>1.1446400000000001E-6</v>
      </c>
      <c r="JB17">
        <v>2.2629200000000001E-11</v>
      </c>
      <c r="JC17">
        <v>-0.29718080087762799</v>
      </c>
      <c r="JD17">
        <v>-2.723765763251367E-3</v>
      </c>
      <c r="JE17">
        <v>9.3351533439868235E-4</v>
      </c>
      <c r="JF17">
        <v>-7.9310479777716621E-6</v>
      </c>
      <c r="JG17">
        <v>18</v>
      </c>
      <c r="JH17">
        <v>1822</v>
      </c>
      <c r="JI17">
        <v>1</v>
      </c>
      <c r="JJ17">
        <v>38</v>
      </c>
      <c r="JK17">
        <v>8417</v>
      </c>
      <c r="JL17">
        <v>8396.2000000000007</v>
      </c>
      <c r="JM17">
        <v>1.1474599999999999</v>
      </c>
      <c r="JN17">
        <v>2.4682599999999999</v>
      </c>
      <c r="JO17">
        <v>1.50024</v>
      </c>
      <c r="JP17">
        <v>2.2851599999999999</v>
      </c>
      <c r="JQ17">
        <v>1.4477500000000001</v>
      </c>
      <c r="JR17">
        <v>2.4304199999999998</v>
      </c>
      <c r="JS17">
        <v>35.637999999999998</v>
      </c>
      <c r="JT17">
        <v>15.997</v>
      </c>
      <c r="JU17">
        <v>18</v>
      </c>
      <c r="JV17">
        <v>539.62400000000002</v>
      </c>
      <c r="JW17">
        <v>445.00700000000001</v>
      </c>
      <c r="JX17">
        <v>31.3035</v>
      </c>
      <c r="JY17">
        <v>31.607199999999999</v>
      </c>
      <c r="JZ17">
        <v>29.9999</v>
      </c>
      <c r="KA17">
        <v>31.5746</v>
      </c>
      <c r="KB17">
        <v>31.5304</v>
      </c>
      <c r="KC17">
        <v>22.964600000000001</v>
      </c>
      <c r="KD17">
        <v>32.277099999999997</v>
      </c>
      <c r="KE17">
        <v>100</v>
      </c>
      <c r="KF17">
        <v>-999.9</v>
      </c>
      <c r="KG17">
        <v>461.08</v>
      </c>
      <c r="KH17">
        <v>28.617100000000001</v>
      </c>
      <c r="KI17">
        <v>100.854</v>
      </c>
      <c r="KJ17">
        <v>99.825999999999993</v>
      </c>
    </row>
    <row r="18" spans="1:296" x14ac:dyDescent="0.3">
      <c r="A18">
        <v>2</v>
      </c>
      <c r="B18">
        <v>1782829916.5999999</v>
      </c>
      <c r="C18">
        <v>181</v>
      </c>
      <c r="D18" t="s">
        <v>1030</v>
      </c>
      <c r="E18" t="s">
        <v>1031</v>
      </c>
      <c r="F18">
        <v>15</v>
      </c>
      <c r="H18">
        <v>1782829908.599999</v>
      </c>
      <c r="I18">
        <f t="shared" si="0"/>
        <v>3.5414780138248638E-3</v>
      </c>
      <c r="J18">
        <f t="shared" si="1"/>
        <v>3.5414780138248636</v>
      </c>
      <c r="K18">
        <f t="shared" si="2"/>
        <v>37.871642246047635</v>
      </c>
      <c r="L18">
        <f t="shared" si="3"/>
        <v>419.63967741935488</v>
      </c>
      <c r="M18">
        <f t="shared" si="4"/>
        <v>137.39663054223911</v>
      </c>
      <c r="N18">
        <f t="shared" si="5"/>
        <v>13.38540916478396</v>
      </c>
      <c r="O18">
        <f t="shared" si="6"/>
        <v>40.881998065514409</v>
      </c>
      <c r="P18">
        <f t="shared" si="7"/>
        <v>0.2285655024145089</v>
      </c>
      <c r="Q18">
        <f t="shared" si="8"/>
        <v>2.8825819508255961</v>
      </c>
      <c r="R18">
        <f t="shared" si="9"/>
        <v>0.21895321119214106</v>
      </c>
      <c r="S18">
        <f t="shared" si="10"/>
        <v>0.13767569686752953</v>
      </c>
      <c r="T18">
        <f t="shared" si="11"/>
        <v>271.90763314623331</v>
      </c>
      <c r="U18">
        <f t="shared" si="12"/>
        <v>32.615531370105643</v>
      </c>
      <c r="V18">
        <f t="shared" si="13"/>
        <v>31.376977419354841</v>
      </c>
      <c r="W18">
        <f t="shared" si="14"/>
        <v>4.6092598946070487</v>
      </c>
      <c r="X18">
        <f t="shared" si="15"/>
        <v>65.108176081393722</v>
      </c>
      <c r="Y18">
        <f t="shared" si="16"/>
        <v>3.0958177388537642</v>
      </c>
      <c r="Z18">
        <f t="shared" si="17"/>
        <v>4.7548832192497423</v>
      </c>
      <c r="AA18">
        <f t="shared" si="18"/>
        <v>1.5134421557532844</v>
      </c>
      <c r="AB18">
        <f t="shared" si="19"/>
        <v>-156.17918040967649</v>
      </c>
      <c r="AC18">
        <f t="shared" si="20"/>
        <v>85.184914357207845</v>
      </c>
      <c r="AD18">
        <f t="shared" si="21"/>
        <v>6.6788336296478494</v>
      </c>
      <c r="AE18">
        <f t="shared" si="22"/>
        <v>207.5922007234125</v>
      </c>
      <c r="AF18">
        <f t="shared" si="23"/>
        <v>37.871642246047635</v>
      </c>
      <c r="AG18">
        <f t="shared" si="24"/>
        <v>3.5414780138248636</v>
      </c>
      <c r="AH18">
        <f t="shared" si="25"/>
        <v>38.121448201103398</v>
      </c>
      <c r="AI18">
        <v>480.12234893039329</v>
      </c>
      <c r="AJ18">
        <v>433.32064242424241</v>
      </c>
      <c r="AK18">
        <v>-4.7200241755127881E-2</v>
      </c>
      <c r="AL18">
        <v>67.089789175011859</v>
      </c>
      <c r="AM18">
        <f t="shared" si="26"/>
        <v>3.6759123976279122</v>
      </c>
      <c r="AN18">
        <v>27.66951760120558</v>
      </c>
      <c r="AO18">
        <v>31.931324242424239</v>
      </c>
      <c r="AP18">
        <v>1.3685416505660689E-3</v>
      </c>
      <c r="AQ18">
        <v>78.242381848326829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50643.310677458743</v>
      </c>
      <c r="AW18" t="s">
        <v>1027</v>
      </c>
      <c r="AX18">
        <v>4100.0200000000004</v>
      </c>
      <c r="AY18">
        <v>703.65588235294126</v>
      </c>
      <c r="AZ18">
        <v>2894.78</v>
      </c>
      <c r="BA18">
        <f t="shared" si="30"/>
        <v>0.75692250106987702</v>
      </c>
      <c r="BB18">
        <v>-1.8770886535882509</v>
      </c>
      <c r="BC18" t="s">
        <v>1032</v>
      </c>
      <c r="BD18">
        <v>5096.1899999999996</v>
      </c>
      <c r="BE18">
        <v>809.74105882352944</v>
      </c>
      <c r="BF18">
        <v>993.32</v>
      </c>
      <c r="BG18">
        <f t="shared" si="31"/>
        <v>0.18481349532524327</v>
      </c>
      <c r="BH18">
        <v>0.5</v>
      </c>
      <c r="BI18">
        <f t="shared" si="32"/>
        <v>1428.3042288406023</v>
      </c>
      <c r="BJ18">
        <f t="shared" si="33"/>
        <v>37.871642246047635</v>
      </c>
      <c r="BK18">
        <f t="shared" si="34"/>
        <v>131.98494845992892</v>
      </c>
      <c r="BL18">
        <f t="shared" si="35"/>
        <v>2.7829316819919476E-2</v>
      </c>
      <c r="BM18">
        <f t="shared" si="36"/>
        <v>1.9142471711029678</v>
      </c>
      <c r="BN18">
        <f t="shared" si="37"/>
        <v>480.20943228185291</v>
      </c>
      <c r="BO18" t="s">
        <v>407</v>
      </c>
      <c r="BP18">
        <v>0</v>
      </c>
      <c r="BQ18">
        <f t="shared" si="38"/>
        <v>480.20943228185291</v>
      </c>
      <c r="BR18">
        <f t="shared" si="39"/>
        <v>0.51656119651083954</v>
      </c>
      <c r="BS18">
        <f t="shared" si="40"/>
        <v>0.35777657434120697</v>
      </c>
      <c r="BT18">
        <f t="shared" si="41"/>
        <v>0.7874940684781665</v>
      </c>
      <c r="BU18">
        <f t="shared" si="42"/>
        <v>0.63376486762558681</v>
      </c>
      <c r="BV18">
        <f t="shared" si="43"/>
        <v>0.86780113672514592</v>
      </c>
      <c r="BW18">
        <f t="shared" si="44"/>
        <v>0.21217608243523683</v>
      </c>
      <c r="BX18">
        <f t="shared" si="45"/>
        <v>0.78782391756476322</v>
      </c>
      <c r="DG18">
        <f t="shared" si="46"/>
        <v>1699.9996774193551</v>
      </c>
      <c r="DH18">
        <f t="shared" si="47"/>
        <v>1428.3042288406023</v>
      </c>
      <c r="DI18">
        <f t="shared" si="48"/>
        <v>0.84017911756830821</v>
      </c>
      <c r="DJ18">
        <f t="shared" si="49"/>
        <v>0.15994569690683494</v>
      </c>
      <c r="DK18">
        <v>6</v>
      </c>
      <c r="DL18">
        <v>0.5</v>
      </c>
      <c r="DM18" t="s">
        <v>408</v>
      </c>
      <c r="DN18">
        <v>2</v>
      </c>
      <c r="DO18" t="b">
        <v>0</v>
      </c>
      <c r="DP18">
        <v>1782829908.599999</v>
      </c>
      <c r="DQ18">
        <v>419.63967741935488</v>
      </c>
      <c r="DR18">
        <v>466.86664516129031</v>
      </c>
      <c r="DS18">
        <v>31.777506451612901</v>
      </c>
      <c r="DT18">
        <v>27.662987096774192</v>
      </c>
      <c r="DU18">
        <v>424.11280645161293</v>
      </c>
      <c r="DV18">
        <v>31.4365064516129</v>
      </c>
      <c r="DW18">
        <v>500.0251612903225</v>
      </c>
      <c r="DX18">
        <v>97.374845161290324</v>
      </c>
      <c r="DY18">
        <v>4.6824583870967738E-2</v>
      </c>
      <c r="DZ18">
        <v>31.925122580645159</v>
      </c>
      <c r="EA18">
        <v>31.376977419354841</v>
      </c>
      <c r="EB18">
        <v>999.90000000000032</v>
      </c>
      <c r="EC18">
        <v>0</v>
      </c>
      <c r="ED18">
        <v>0</v>
      </c>
      <c r="EE18">
        <v>9997.0967741935492</v>
      </c>
      <c r="EF18">
        <v>0</v>
      </c>
      <c r="EG18">
        <v>413.7420967741935</v>
      </c>
      <c r="EH18">
        <v>-47.22688387096774</v>
      </c>
      <c r="EI18">
        <v>433.46974193548368</v>
      </c>
      <c r="EJ18">
        <v>480.14900000000011</v>
      </c>
      <c r="EK18">
        <v>4.2422348387096767</v>
      </c>
      <c r="EL18">
        <v>466.86664516129031</v>
      </c>
      <c r="EM18">
        <v>27.662987096774192</v>
      </c>
      <c r="EN18">
        <v>3.106765483870968</v>
      </c>
      <c r="EO18">
        <v>2.693679032258065</v>
      </c>
      <c r="EP18">
        <v>24.611470967741941</v>
      </c>
      <c r="EQ18">
        <v>22.24661290322581</v>
      </c>
      <c r="ER18">
        <v>1699.9996774193551</v>
      </c>
      <c r="ES18">
        <v>0.99400993548387073</v>
      </c>
      <c r="ET18">
        <v>5.9899196774193522E-3</v>
      </c>
      <c r="EU18">
        <v>0</v>
      </c>
      <c r="EV18">
        <v>809.52280645161295</v>
      </c>
      <c r="EW18">
        <v>5.0010700000000003</v>
      </c>
      <c r="EX18">
        <v>15909.774193548379</v>
      </c>
      <c r="EY18">
        <v>15492.57741935484</v>
      </c>
      <c r="EZ18">
        <v>39.320129032258059</v>
      </c>
      <c r="FA18">
        <v>40.186999999999983</v>
      </c>
      <c r="FB18">
        <v>39.91299999999999</v>
      </c>
      <c r="FC18">
        <v>40.09045161290323</v>
      </c>
      <c r="FD18">
        <v>41.146999999999991</v>
      </c>
      <c r="FE18">
        <v>1684.8496774193541</v>
      </c>
      <c r="FF18">
        <v>10.15</v>
      </c>
      <c r="FG18">
        <v>0</v>
      </c>
      <c r="FH18">
        <v>180.20000004768369</v>
      </c>
      <c r="FI18">
        <v>0</v>
      </c>
      <c r="FJ18">
        <v>809.74105882352944</v>
      </c>
      <c r="FK18">
        <v>3.862254860879542</v>
      </c>
      <c r="FL18">
        <v>76.176470100405211</v>
      </c>
      <c r="FM18">
        <v>15913.46470588235</v>
      </c>
      <c r="FN18">
        <v>10</v>
      </c>
      <c r="FO18">
        <v>1782829943.0999999</v>
      </c>
      <c r="FP18" t="s">
        <v>1033</v>
      </c>
      <c r="FQ18">
        <v>1782324718</v>
      </c>
      <c r="FR18">
        <v>1782829943.0999999</v>
      </c>
      <c r="FS18">
        <v>2</v>
      </c>
      <c r="FT18">
        <v>-0.874</v>
      </c>
      <c r="FU18">
        <v>2E-3</v>
      </c>
      <c r="FV18">
        <v>-4.4660000000000002</v>
      </c>
      <c r="FW18">
        <v>0.34100000000000003</v>
      </c>
      <c r="FX18">
        <v>422</v>
      </c>
      <c r="FY18">
        <v>28</v>
      </c>
      <c r="FZ18">
        <v>1.99</v>
      </c>
      <c r="GA18">
        <v>0.08</v>
      </c>
      <c r="GB18">
        <v>-47.145846341463411</v>
      </c>
      <c r="GC18">
        <v>-0.98114425087110224</v>
      </c>
      <c r="GD18">
        <v>0.17745032296606689</v>
      </c>
      <c r="GE18">
        <v>1</v>
      </c>
      <c r="GF18">
        <v>809.34050000000002</v>
      </c>
      <c r="GG18">
        <v>4.1951260425993437</v>
      </c>
      <c r="GH18">
        <v>0.48108909838847369</v>
      </c>
      <c r="GI18">
        <v>1</v>
      </c>
      <c r="GJ18">
        <v>4.2367531707317072</v>
      </c>
      <c r="GK18">
        <v>0.10996536585365529</v>
      </c>
      <c r="GL18">
        <v>1.16211337004203E-2</v>
      </c>
      <c r="GM18">
        <v>1</v>
      </c>
      <c r="GN18">
        <v>3</v>
      </c>
      <c r="GO18">
        <v>3</v>
      </c>
      <c r="GP18" t="s">
        <v>599</v>
      </c>
      <c r="GQ18">
        <v>3.1324999999999998</v>
      </c>
      <c r="GR18">
        <v>2.72451</v>
      </c>
      <c r="GS18">
        <v>9.1406100000000004E-2</v>
      </c>
      <c r="GT18">
        <v>9.9049399999999996E-2</v>
      </c>
      <c r="GU18">
        <v>0.13544300000000001</v>
      </c>
      <c r="GV18">
        <v>0.12415</v>
      </c>
      <c r="GW18">
        <v>22911.8</v>
      </c>
      <c r="GX18">
        <v>30537</v>
      </c>
      <c r="GY18">
        <v>27342.6</v>
      </c>
      <c r="GZ18">
        <v>34836.9</v>
      </c>
      <c r="HA18">
        <v>34576.800000000003</v>
      </c>
      <c r="HB18">
        <v>38918.199999999997</v>
      </c>
      <c r="HC18">
        <v>40344.800000000003</v>
      </c>
      <c r="HD18">
        <v>44524.3</v>
      </c>
      <c r="HE18">
        <v>1.9894000000000001</v>
      </c>
      <c r="HF18">
        <v>1.8184</v>
      </c>
      <c r="HG18">
        <v>6.9737400000000005E-2</v>
      </c>
      <c r="HH18">
        <v>0</v>
      </c>
      <c r="HI18">
        <v>30.264900000000001</v>
      </c>
      <c r="HJ18">
        <v>999.9</v>
      </c>
      <c r="HK18">
        <v>73.3</v>
      </c>
      <c r="HL18">
        <v>30.9</v>
      </c>
      <c r="HM18">
        <v>33.767499999999998</v>
      </c>
      <c r="HN18">
        <v>60.44</v>
      </c>
      <c r="HO18">
        <v>5.6810900000000002</v>
      </c>
      <c r="HP18">
        <v>1</v>
      </c>
      <c r="HQ18">
        <v>0.33532499999999998</v>
      </c>
      <c r="HR18">
        <v>0</v>
      </c>
      <c r="HS18">
        <v>20.284099999999999</v>
      </c>
      <c r="HT18">
        <v>5.2077099999999996</v>
      </c>
      <c r="HU18">
        <v>11.902100000000001</v>
      </c>
      <c r="HV18">
        <v>4.9843999999999999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</v>
      </c>
      <c r="ID18">
        <v>1.8621799999999999</v>
      </c>
      <c r="IE18">
        <v>1.8615699999999999</v>
      </c>
      <c r="IF18">
        <v>1.86172</v>
      </c>
      <c r="IG18">
        <v>1.8623700000000001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411</v>
      </c>
      <c r="IO18" t="s">
        <v>412</v>
      </c>
      <c r="IP18" t="s">
        <v>413</v>
      </c>
      <c r="IQ18" t="s">
        <v>414</v>
      </c>
      <c r="IR18" t="s">
        <v>414</v>
      </c>
      <c r="IS18" t="s">
        <v>413</v>
      </c>
      <c r="IT18">
        <v>0</v>
      </c>
      <c r="IU18">
        <v>100</v>
      </c>
      <c r="IV18">
        <v>100</v>
      </c>
      <c r="IW18">
        <v>-4.4729999999999999</v>
      </c>
      <c r="IX18">
        <v>0.34100000000000003</v>
      </c>
      <c r="IY18">
        <v>-2.8485</v>
      </c>
      <c r="IZ18">
        <v>-4.3200199999999999E-3</v>
      </c>
      <c r="JA18">
        <v>1.1446400000000001E-6</v>
      </c>
      <c r="JB18">
        <v>2.2629200000000001E-11</v>
      </c>
      <c r="JC18">
        <v>-0.1218100228224281</v>
      </c>
      <c r="JD18">
        <v>-2.723765763251367E-3</v>
      </c>
      <c r="JE18">
        <v>9.3351533439868235E-4</v>
      </c>
      <c r="JF18">
        <v>-7.9310479777716621E-6</v>
      </c>
      <c r="JG18">
        <v>18</v>
      </c>
      <c r="JH18">
        <v>1822</v>
      </c>
      <c r="JI18">
        <v>1</v>
      </c>
      <c r="JJ18">
        <v>38</v>
      </c>
      <c r="JK18">
        <v>8420</v>
      </c>
      <c r="JL18">
        <v>2.6</v>
      </c>
      <c r="JM18">
        <v>1.16455</v>
      </c>
      <c r="JN18">
        <v>2.4853499999999999</v>
      </c>
      <c r="JO18">
        <v>1.50024</v>
      </c>
      <c r="JP18">
        <v>2.2851599999999999</v>
      </c>
      <c r="JQ18">
        <v>1.4477500000000001</v>
      </c>
      <c r="JR18">
        <v>2.3034699999999999</v>
      </c>
      <c r="JS18">
        <v>35.6845</v>
      </c>
      <c r="JT18">
        <v>15.9795</v>
      </c>
      <c r="JU18">
        <v>18</v>
      </c>
      <c r="JV18">
        <v>539.46799999999996</v>
      </c>
      <c r="JW18">
        <v>443.73599999999999</v>
      </c>
      <c r="JX18">
        <v>31.149000000000001</v>
      </c>
      <c r="JY18">
        <v>31.496600000000001</v>
      </c>
      <c r="JZ18">
        <v>29.9999</v>
      </c>
      <c r="KA18">
        <v>31.494800000000001</v>
      </c>
      <c r="KB18">
        <v>31.459199999999999</v>
      </c>
      <c r="KC18">
        <v>23.283100000000001</v>
      </c>
      <c r="KD18">
        <v>34.012599999999999</v>
      </c>
      <c r="KE18">
        <v>100</v>
      </c>
      <c r="KF18">
        <v>-999.9</v>
      </c>
      <c r="KG18">
        <v>467.363</v>
      </c>
      <c r="KH18">
        <v>27.576599999999999</v>
      </c>
      <c r="KI18">
        <v>100.86499999999999</v>
      </c>
      <c r="KJ18">
        <v>99.853300000000004</v>
      </c>
    </row>
    <row r="19" spans="1:296" x14ac:dyDescent="0.3">
      <c r="A19">
        <v>3</v>
      </c>
      <c r="B19">
        <v>1782830121.0999999</v>
      </c>
      <c r="C19">
        <v>385.5</v>
      </c>
      <c r="D19" t="s">
        <v>1034</v>
      </c>
      <c r="E19" t="s">
        <v>1035</v>
      </c>
      <c r="F19">
        <v>15</v>
      </c>
      <c r="H19">
        <v>1782830113.349999</v>
      </c>
      <c r="I19">
        <f t="shared" si="0"/>
        <v>4.5009153319479269E-3</v>
      </c>
      <c r="J19">
        <f t="shared" si="1"/>
        <v>4.5009153319479269</v>
      </c>
      <c r="K19">
        <f t="shared" si="2"/>
        <v>42.806965401154883</v>
      </c>
      <c r="L19">
        <f t="shared" si="3"/>
        <v>419.69260000000003</v>
      </c>
      <c r="M19">
        <f t="shared" si="4"/>
        <v>172.8863062813457</v>
      </c>
      <c r="N19">
        <f t="shared" si="5"/>
        <v>16.842573939167245</v>
      </c>
      <c r="O19">
        <f t="shared" si="6"/>
        <v>40.886428770813829</v>
      </c>
      <c r="P19">
        <f t="shared" si="7"/>
        <v>0.30027813233480299</v>
      </c>
      <c r="Q19">
        <f t="shared" si="8"/>
        <v>2.8831300603757399</v>
      </c>
      <c r="R19">
        <f t="shared" si="9"/>
        <v>0.28392272037969563</v>
      </c>
      <c r="S19">
        <f t="shared" si="10"/>
        <v>0.17884689437380394</v>
      </c>
      <c r="T19">
        <f t="shared" si="11"/>
        <v>255.91834502970872</v>
      </c>
      <c r="U19">
        <f t="shared" si="12"/>
        <v>32.20780616096468</v>
      </c>
      <c r="V19">
        <f t="shared" si="13"/>
        <v>31.267343333333329</v>
      </c>
      <c r="W19">
        <f t="shared" si="14"/>
        <v>4.5806046771833566</v>
      </c>
      <c r="X19">
        <f t="shared" si="15"/>
        <v>65.356428528271209</v>
      </c>
      <c r="Y19">
        <f t="shared" si="16"/>
        <v>3.0971004337645018</v>
      </c>
      <c r="Z19">
        <f t="shared" si="17"/>
        <v>4.7387846972464072</v>
      </c>
      <c r="AA19">
        <f t="shared" si="18"/>
        <v>1.4835042434188548</v>
      </c>
      <c r="AB19">
        <f t="shared" si="19"/>
        <v>-198.49036613890357</v>
      </c>
      <c r="AC19">
        <f t="shared" si="20"/>
        <v>92.935806777960707</v>
      </c>
      <c r="AD19">
        <f t="shared" si="21"/>
        <v>7.2790716321763407</v>
      </c>
      <c r="AE19">
        <f t="shared" si="22"/>
        <v>157.64285730094224</v>
      </c>
      <c r="AF19">
        <f t="shared" si="23"/>
        <v>42.806965401154883</v>
      </c>
      <c r="AG19">
        <f t="shared" si="24"/>
        <v>4.5009153319479269</v>
      </c>
      <c r="AH19">
        <f t="shared" si="25"/>
        <v>42.721624991704537</v>
      </c>
      <c r="AI19">
        <v>486.24147703949939</v>
      </c>
      <c r="AJ19">
        <v>433.54463030303037</v>
      </c>
      <c r="AK19">
        <v>6.6052791037770732E-3</v>
      </c>
      <c r="AL19">
        <v>67.095536984057802</v>
      </c>
      <c r="AM19">
        <f t="shared" si="26"/>
        <v>4.5358449602876263</v>
      </c>
      <c r="AN19">
        <v>26.51862090087624</v>
      </c>
      <c r="AO19">
        <v>31.799666060606061</v>
      </c>
      <c r="AP19">
        <v>-1.8836360592400169E-3</v>
      </c>
      <c r="AQ19">
        <v>78.255724320928309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50668.523223615972</v>
      </c>
      <c r="AW19" t="s">
        <v>1027</v>
      </c>
      <c r="AX19">
        <v>4100.0200000000004</v>
      </c>
      <c r="AY19">
        <v>703.65588235294126</v>
      </c>
      <c r="AZ19">
        <v>2894.78</v>
      </c>
      <c r="BA19">
        <f t="shared" si="30"/>
        <v>0.75692250106987702</v>
      </c>
      <c r="BB19">
        <v>-1.8770886535882509</v>
      </c>
      <c r="BC19" t="s">
        <v>1036</v>
      </c>
      <c r="BD19">
        <v>5096.51</v>
      </c>
      <c r="BE19">
        <v>826.61729411764702</v>
      </c>
      <c r="BF19">
        <v>1059.3399999999999</v>
      </c>
      <c r="BG19">
        <f t="shared" si="31"/>
        <v>0.21968650846975746</v>
      </c>
      <c r="BH19">
        <v>0.5</v>
      </c>
      <c r="BI19">
        <f t="shared" si="32"/>
        <v>1344.3112598081393</v>
      </c>
      <c r="BJ19">
        <f t="shared" si="33"/>
        <v>42.806965401154883</v>
      </c>
      <c r="BK19">
        <f t="shared" si="34"/>
        <v>147.66352348191555</v>
      </c>
      <c r="BL19">
        <f t="shared" si="35"/>
        <v>3.3239366053603142E-2</v>
      </c>
      <c r="BM19">
        <f t="shared" si="36"/>
        <v>1.73262597466347</v>
      </c>
      <c r="BN19">
        <f t="shared" si="37"/>
        <v>495.12700873991105</v>
      </c>
      <c r="BO19" t="s">
        <v>407</v>
      </c>
      <c r="BP19">
        <v>0</v>
      </c>
      <c r="BQ19">
        <f t="shared" si="38"/>
        <v>495.12700873991105</v>
      </c>
      <c r="BR19">
        <f t="shared" si="39"/>
        <v>0.53260803071732299</v>
      </c>
      <c r="BS19">
        <f t="shared" si="40"/>
        <v>0.41247314309902733</v>
      </c>
      <c r="BT19">
        <f t="shared" si="41"/>
        <v>0.76487725795561246</v>
      </c>
      <c r="BU19">
        <f t="shared" si="42"/>
        <v>0.6542960293585024</v>
      </c>
      <c r="BV19">
        <f t="shared" si="43"/>
        <v>0.83767048393907939</v>
      </c>
      <c r="BW19">
        <f t="shared" si="44"/>
        <v>0.24706305442855211</v>
      </c>
      <c r="BX19">
        <f t="shared" si="45"/>
        <v>0.75293694557144786</v>
      </c>
      <c r="DG19">
        <f t="shared" si="46"/>
        <v>1600.029</v>
      </c>
      <c r="DH19">
        <f t="shared" si="47"/>
        <v>1344.3112598081393</v>
      </c>
      <c r="DI19">
        <f t="shared" si="48"/>
        <v>0.84017930913010908</v>
      </c>
      <c r="DJ19">
        <f t="shared" si="49"/>
        <v>0.15994606662111044</v>
      </c>
      <c r="DK19">
        <v>6</v>
      </c>
      <c r="DL19">
        <v>0.5</v>
      </c>
      <c r="DM19" t="s">
        <v>408</v>
      </c>
      <c r="DN19">
        <v>2</v>
      </c>
      <c r="DO19" t="b">
        <v>0</v>
      </c>
      <c r="DP19">
        <v>1782830113.349999</v>
      </c>
      <c r="DQ19">
        <v>419.69260000000003</v>
      </c>
      <c r="DR19">
        <v>473.32569999999998</v>
      </c>
      <c r="DS19">
        <v>31.79123666666667</v>
      </c>
      <c r="DT19">
        <v>26.56204666666666</v>
      </c>
      <c r="DU19">
        <v>424.09476666666671</v>
      </c>
      <c r="DV19">
        <v>31.323076666666669</v>
      </c>
      <c r="DW19">
        <v>500.01920000000001</v>
      </c>
      <c r="DX19">
        <v>97.372399999999985</v>
      </c>
      <c r="DY19">
        <v>4.7542050000000009E-2</v>
      </c>
      <c r="DZ19">
        <v>31.86525</v>
      </c>
      <c r="EA19">
        <v>31.267343333333329</v>
      </c>
      <c r="EB19">
        <v>999.9000000000002</v>
      </c>
      <c r="EC19">
        <v>0</v>
      </c>
      <c r="ED19">
        <v>0</v>
      </c>
      <c r="EE19">
        <v>10000.5</v>
      </c>
      <c r="EF19">
        <v>0</v>
      </c>
      <c r="EG19">
        <v>471.82749999999999</v>
      </c>
      <c r="EH19">
        <v>-53.633009999999999</v>
      </c>
      <c r="EI19">
        <v>433.47340000000008</v>
      </c>
      <c r="EJ19">
        <v>486.24136666666652</v>
      </c>
      <c r="EK19">
        <v>5.2291813333333339</v>
      </c>
      <c r="EL19">
        <v>473.32569999999998</v>
      </c>
      <c r="EM19">
        <v>26.56204666666666</v>
      </c>
      <c r="EN19">
        <v>3.0955900000000001</v>
      </c>
      <c r="EO19">
        <v>2.586411666666665</v>
      </c>
      <c r="EP19">
        <v>24.551210000000001</v>
      </c>
      <c r="EQ19">
        <v>21.580723333333331</v>
      </c>
      <c r="ER19">
        <v>1600.029</v>
      </c>
      <c r="ES19">
        <v>0.99400356666666667</v>
      </c>
      <c r="ET19">
        <v>5.996337E-3</v>
      </c>
      <c r="EU19">
        <v>0</v>
      </c>
      <c r="EV19">
        <v>826.45133333333308</v>
      </c>
      <c r="EW19">
        <v>5.0010700000000003</v>
      </c>
      <c r="EX19">
        <v>15503.00666666667</v>
      </c>
      <c r="EY19">
        <v>14578.783333333329</v>
      </c>
      <c r="EZ19">
        <v>39.320399999999992</v>
      </c>
      <c r="FA19">
        <v>40.547533333333313</v>
      </c>
      <c r="FB19">
        <v>40.055799999999977</v>
      </c>
      <c r="FC19">
        <v>40.25</v>
      </c>
      <c r="FD19">
        <v>41.186999999999983</v>
      </c>
      <c r="FE19">
        <v>1585.4656666666669</v>
      </c>
      <c r="FF19">
        <v>9.5633333333333344</v>
      </c>
      <c r="FG19">
        <v>0</v>
      </c>
      <c r="FH19">
        <v>203.5999999046326</v>
      </c>
      <c r="FI19">
        <v>0</v>
      </c>
      <c r="FJ19">
        <v>826.61729411764702</v>
      </c>
      <c r="FK19">
        <v>3.732843128491655</v>
      </c>
      <c r="FL19">
        <v>248.55392100842769</v>
      </c>
      <c r="FM19">
        <v>15508.63529411765</v>
      </c>
      <c r="FN19">
        <v>10</v>
      </c>
      <c r="FO19">
        <v>1782830006.0999999</v>
      </c>
      <c r="FP19" t="s">
        <v>1037</v>
      </c>
      <c r="FQ19">
        <v>1782830006.0999999</v>
      </c>
      <c r="FR19">
        <v>1782830004.0999999</v>
      </c>
      <c r="FS19">
        <v>3</v>
      </c>
      <c r="FT19">
        <v>7.0999999999999994E-2</v>
      </c>
      <c r="FU19">
        <v>1E-3</v>
      </c>
      <c r="FV19">
        <v>-4.5640000000000001</v>
      </c>
      <c r="FW19">
        <v>0.33700000000000002</v>
      </c>
      <c r="FX19">
        <v>469</v>
      </c>
      <c r="FY19">
        <v>27</v>
      </c>
      <c r="FZ19">
        <v>0.15</v>
      </c>
      <c r="GA19">
        <v>0.06</v>
      </c>
      <c r="GB19">
        <v>-53.576600000000013</v>
      </c>
      <c r="GC19">
        <v>-0.68933358348954932</v>
      </c>
      <c r="GD19">
        <v>0.16958737718356309</v>
      </c>
      <c r="GE19">
        <v>1</v>
      </c>
      <c r="GF19">
        <v>826.25158823529409</v>
      </c>
      <c r="GG19">
        <v>3.6972039715840141</v>
      </c>
      <c r="GH19">
        <v>0.42639550251787423</v>
      </c>
      <c r="GI19">
        <v>1</v>
      </c>
      <c r="GJ19">
        <v>5.2147930000000002</v>
      </c>
      <c r="GK19">
        <v>0.3547240525328213</v>
      </c>
      <c r="GL19">
        <v>3.8345810084023553E-2</v>
      </c>
      <c r="GM19">
        <v>1</v>
      </c>
      <c r="GN19">
        <v>3</v>
      </c>
      <c r="GO19">
        <v>3</v>
      </c>
      <c r="GP19" t="s">
        <v>599</v>
      </c>
      <c r="GQ19">
        <v>3.13286</v>
      </c>
      <c r="GR19">
        <v>2.7239200000000001</v>
      </c>
      <c r="GS19">
        <v>9.1437599999999994E-2</v>
      </c>
      <c r="GT19">
        <v>0.100037</v>
      </c>
      <c r="GU19">
        <v>0.13505600000000001</v>
      </c>
      <c r="GV19">
        <v>0.120562</v>
      </c>
      <c r="GW19">
        <v>22909.8</v>
      </c>
      <c r="GX19">
        <v>30503.3</v>
      </c>
      <c r="GY19">
        <v>27341.3</v>
      </c>
      <c r="GZ19">
        <v>34836.699999999997</v>
      </c>
      <c r="HA19">
        <v>34591</v>
      </c>
      <c r="HB19">
        <v>39079.1</v>
      </c>
      <c r="HC19">
        <v>40343.1</v>
      </c>
      <c r="HD19">
        <v>44525.2</v>
      </c>
      <c r="HE19">
        <v>1.9925999999999999</v>
      </c>
      <c r="HF19">
        <v>1.8140000000000001</v>
      </c>
      <c r="HG19">
        <v>6.1809999999999997E-2</v>
      </c>
      <c r="HH19">
        <v>0</v>
      </c>
      <c r="HI19">
        <v>30.264900000000001</v>
      </c>
      <c r="HJ19">
        <v>999.9</v>
      </c>
      <c r="HK19">
        <v>73</v>
      </c>
      <c r="HL19">
        <v>31.1</v>
      </c>
      <c r="HM19">
        <v>34.015099999999997</v>
      </c>
      <c r="HN19">
        <v>60.640099999999997</v>
      </c>
      <c r="HO19">
        <v>5.5128199999999996</v>
      </c>
      <c r="HP19">
        <v>1</v>
      </c>
      <c r="HQ19">
        <v>0.33585399999999999</v>
      </c>
      <c r="HR19">
        <v>0</v>
      </c>
      <c r="HS19">
        <v>20.284800000000001</v>
      </c>
      <c r="HT19">
        <v>5.2112999999999996</v>
      </c>
      <c r="HU19">
        <v>11.902100000000001</v>
      </c>
      <c r="HV19">
        <v>4.9851999999999999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1.8671599999999999</v>
      </c>
      <c r="IC19">
        <v>1.86267</v>
      </c>
      <c r="ID19">
        <v>1.8621799999999999</v>
      </c>
      <c r="IE19">
        <v>1.8615999999999999</v>
      </c>
      <c r="IF19">
        <v>1.86172</v>
      </c>
      <c r="IG19">
        <v>1.8624000000000001</v>
      </c>
      <c r="IH19">
        <v>1.8632500000000001</v>
      </c>
      <c r="II19">
        <v>1.86127</v>
      </c>
      <c r="IJ19">
        <v>0</v>
      </c>
      <c r="IK19">
        <v>0</v>
      </c>
      <c r="IL19">
        <v>0</v>
      </c>
      <c r="IM19">
        <v>4.5</v>
      </c>
      <c r="IN19" t="s">
        <v>411</v>
      </c>
      <c r="IO19" t="s">
        <v>412</v>
      </c>
      <c r="IP19" t="s">
        <v>413</v>
      </c>
      <c r="IQ19" t="s">
        <v>414</v>
      </c>
      <c r="IR19" t="s">
        <v>414</v>
      </c>
      <c r="IS19" t="s">
        <v>413</v>
      </c>
      <c r="IT19">
        <v>0</v>
      </c>
      <c r="IU19">
        <v>100</v>
      </c>
      <c r="IV19">
        <v>100</v>
      </c>
      <c r="IW19">
        <v>-4.4029999999999996</v>
      </c>
      <c r="IX19">
        <v>0.46860000000000002</v>
      </c>
      <c r="IY19">
        <v>-2.7775172260255871</v>
      </c>
      <c r="IZ19">
        <v>-4.3200172963836943E-3</v>
      </c>
      <c r="JA19">
        <v>1.144643420078806E-6</v>
      </c>
      <c r="JB19">
        <v>2.2629164031131329E-11</v>
      </c>
      <c r="JC19">
        <v>-0.11867918251968</v>
      </c>
      <c r="JD19">
        <v>-2.723765763251367E-3</v>
      </c>
      <c r="JE19">
        <v>9.3351533439868235E-4</v>
      </c>
      <c r="JF19">
        <v>-7.9310479777716621E-6</v>
      </c>
      <c r="JG19">
        <v>18</v>
      </c>
      <c r="JH19">
        <v>1822</v>
      </c>
      <c r="JI19">
        <v>1</v>
      </c>
      <c r="JJ19">
        <v>38</v>
      </c>
      <c r="JK19">
        <v>1.9</v>
      </c>
      <c r="JL19">
        <v>1.9</v>
      </c>
      <c r="JM19">
        <v>1.1792</v>
      </c>
      <c r="JN19">
        <v>2.47925</v>
      </c>
      <c r="JO19">
        <v>1.50024</v>
      </c>
      <c r="JP19">
        <v>2.2839399999999999</v>
      </c>
      <c r="JQ19">
        <v>1.4477500000000001</v>
      </c>
      <c r="JR19">
        <v>2.4182100000000002</v>
      </c>
      <c r="JS19">
        <v>35.801000000000002</v>
      </c>
      <c r="JT19">
        <v>15.988300000000001</v>
      </c>
      <c r="JU19">
        <v>18</v>
      </c>
      <c r="JV19">
        <v>541.54700000000003</v>
      </c>
      <c r="JW19">
        <v>440.99</v>
      </c>
      <c r="JX19">
        <v>31.093299999999999</v>
      </c>
      <c r="JY19">
        <v>31.491</v>
      </c>
      <c r="JZ19">
        <v>30.000299999999999</v>
      </c>
      <c r="KA19">
        <v>31.492100000000001</v>
      </c>
      <c r="KB19">
        <v>31.459800000000001</v>
      </c>
      <c r="KC19">
        <v>23.569299999999998</v>
      </c>
      <c r="KD19">
        <v>37.216200000000001</v>
      </c>
      <c r="KE19">
        <v>98.129099999999994</v>
      </c>
      <c r="KF19">
        <v>-999.9</v>
      </c>
      <c r="KG19">
        <v>473.51</v>
      </c>
      <c r="KH19">
        <v>26.392299999999999</v>
      </c>
      <c r="KI19">
        <v>100.86</v>
      </c>
      <c r="KJ19">
        <v>99.854200000000006</v>
      </c>
    </row>
    <row r="20" spans="1:296" x14ac:dyDescent="0.3">
      <c r="A20">
        <v>4</v>
      </c>
      <c r="B20">
        <v>1782830244.0999999</v>
      </c>
      <c r="C20">
        <v>508.5</v>
      </c>
      <c r="D20" t="s">
        <v>1038</v>
      </c>
      <c r="E20" t="s">
        <v>1039</v>
      </c>
      <c r="F20">
        <v>15</v>
      </c>
      <c r="H20">
        <v>1782830236.099999</v>
      </c>
      <c r="I20">
        <f t="shared" si="0"/>
        <v>4.9446538671422645E-3</v>
      </c>
      <c r="J20">
        <f t="shared" si="1"/>
        <v>4.9446538671422644</v>
      </c>
      <c r="K20">
        <f t="shared" si="2"/>
        <v>42.689406663874443</v>
      </c>
      <c r="L20">
        <f t="shared" si="3"/>
        <v>419.68899999999991</v>
      </c>
      <c r="M20">
        <f t="shared" si="4"/>
        <v>190.30465627681954</v>
      </c>
      <c r="N20">
        <f t="shared" si="5"/>
        <v>18.539235446247122</v>
      </c>
      <c r="O20">
        <f t="shared" si="6"/>
        <v>40.885563902766961</v>
      </c>
      <c r="P20">
        <f t="shared" si="7"/>
        <v>0.32474460693213492</v>
      </c>
      <c r="Q20">
        <f t="shared" si="8"/>
        <v>2.881677518890597</v>
      </c>
      <c r="R20">
        <f t="shared" si="9"/>
        <v>0.30569706529332136</v>
      </c>
      <c r="S20">
        <f t="shared" si="10"/>
        <v>0.19267884499969379</v>
      </c>
      <c r="T20">
        <f t="shared" si="11"/>
        <v>224.00645482572281</v>
      </c>
      <c r="U20">
        <f t="shared" si="12"/>
        <v>32.050255497539695</v>
      </c>
      <c r="V20">
        <f t="shared" si="13"/>
        <v>31.429206451612899</v>
      </c>
      <c r="W20">
        <f t="shared" si="14"/>
        <v>4.6229658823897104</v>
      </c>
      <c r="X20">
        <f t="shared" si="15"/>
        <v>65.070221699011682</v>
      </c>
      <c r="Y20">
        <f t="shared" si="16"/>
        <v>3.1097553445269357</v>
      </c>
      <c r="Z20">
        <f t="shared" si="17"/>
        <v>4.7790759941027963</v>
      </c>
      <c r="AA20">
        <f t="shared" si="18"/>
        <v>1.5132105378627747</v>
      </c>
      <c r="AB20">
        <f t="shared" si="19"/>
        <v>-218.05923554097387</v>
      </c>
      <c r="AC20">
        <f t="shared" si="20"/>
        <v>90.971044442829864</v>
      </c>
      <c r="AD20">
        <f t="shared" si="21"/>
        <v>7.139713523228564</v>
      </c>
      <c r="AE20">
        <f t="shared" si="22"/>
        <v>104.05797725080735</v>
      </c>
      <c r="AF20">
        <f t="shared" si="23"/>
        <v>42.689406663874443</v>
      </c>
      <c r="AG20">
        <f t="shared" si="24"/>
        <v>4.9446538671422644</v>
      </c>
      <c r="AH20">
        <f t="shared" si="25"/>
        <v>42.505673425421278</v>
      </c>
      <c r="AI20">
        <v>486.04454773947481</v>
      </c>
      <c r="AJ20">
        <v>433.65356363636357</v>
      </c>
      <c r="AK20">
        <v>3.010196772385218E-3</v>
      </c>
      <c r="AL20">
        <v>67.082044749410684</v>
      </c>
      <c r="AM20">
        <f t="shared" si="26"/>
        <v>4.948627324956119</v>
      </c>
      <c r="AN20">
        <v>26.1812834497123</v>
      </c>
      <c r="AO20">
        <v>31.928302424242421</v>
      </c>
      <c r="AP20">
        <v>2.4369163148482329E-4</v>
      </c>
      <c r="AQ20">
        <v>78.220269019862386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50603.090870773645</v>
      </c>
      <c r="AW20" t="s">
        <v>1027</v>
      </c>
      <c r="AX20">
        <v>4100.0200000000004</v>
      </c>
      <c r="AY20">
        <v>703.65588235294126</v>
      </c>
      <c r="AZ20">
        <v>2894.78</v>
      </c>
      <c r="BA20">
        <f t="shared" si="30"/>
        <v>0.75692250106987702</v>
      </c>
      <c r="BB20">
        <v>-1.8770886535882509</v>
      </c>
      <c r="BC20" t="s">
        <v>1040</v>
      </c>
      <c r="BD20">
        <v>5097.4399999999996</v>
      </c>
      <c r="BE20">
        <v>827.27029411764704</v>
      </c>
      <c r="BF20">
        <v>1118.8399999999999</v>
      </c>
      <c r="BG20">
        <f t="shared" si="31"/>
        <v>0.26060000168241471</v>
      </c>
      <c r="BH20">
        <v>0.5</v>
      </c>
      <c r="BI20">
        <f t="shared" si="32"/>
        <v>1176.2971642921173</v>
      </c>
      <c r="BJ20">
        <f t="shared" si="33"/>
        <v>42.689406663874443</v>
      </c>
      <c r="BK20">
        <f t="shared" si="34"/>
        <v>153.27152149677269</v>
      </c>
      <c r="BL20">
        <f t="shared" si="35"/>
        <v>3.7887105971459452E-2</v>
      </c>
      <c r="BM20">
        <f t="shared" si="36"/>
        <v>1.5873047084480358</v>
      </c>
      <c r="BN20">
        <f t="shared" si="37"/>
        <v>507.74755246601143</v>
      </c>
      <c r="BO20" t="s">
        <v>407</v>
      </c>
      <c r="BP20">
        <v>0</v>
      </c>
      <c r="BQ20">
        <f t="shared" si="38"/>
        <v>507.74755246601143</v>
      </c>
      <c r="BR20">
        <f t="shared" si="39"/>
        <v>0.54618394724356345</v>
      </c>
      <c r="BS20">
        <f t="shared" si="40"/>
        <v>0.47712863587000232</v>
      </c>
      <c r="BT20">
        <f t="shared" si="41"/>
        <v>0.74399491378288551</v>
      </c>
      <c r="BU20">
        <f t="shared" si="42"/>
        <v>0.70226603930502851</v>
      </c>
      <c r="BV20">
        <f t="shared" si="43"/>
        <v>0.81051547271867708</v>
      </c>
      <c r="BW20">
        <f t="shared" si="44"/>
        <v>0.29284370392246706</v>
      </c>
      <c r="BX20">
        <f t="shared" si="45"/>
        <v>0.70715629607753294</v>
      </c>
      <c r="DG20">
        <f t="shared" si="46"/>
        <v>1400.004838709677</v>
      </c>
      <c r="DH20">
        <f t="shared" si="47"/>
        <v>1176.2971642921173</v>
      </c>
      <c r="DI20">
        <f t="shared" si="48"/>
        <v>0.84020935625926751</v>
      </c>
      <c r="DJ20">
        <f t="shared" si="49"/>
        <v>0.16000405758038647</v>
      </c>
      <c r="DK20">
        <v>6</v>
      </c>
      <c r="DL20">
        <v>0.5</v>
      </c>
      <c r="DM20" t="s">
        <v>408</v>
      </c>
      <c r="DN20">
        <v>2</v>
      </c>
      <c r="DO20" t="b">
        <v>0</v>
      </c>
      <c r="DP20">
        <v>1782830236.099999</v>
      </c>
      <c r="DQ20">
        <v>419.68899999999991</v>
      </c>
      <c r="DR20">
        <v>473.40403225806449</v>
      </c>
      <c r="DS20">
        <v>31.92153870967741</v>
      </c>
      <c r="DT20">
        <v>26.17763225806452</v>
      </c>
      <c r="DU20">
        <v>424.14267741935492</v>
      </c>
      <c r="DV20">
        <v>31.45167096774194</v>
      </c>
      <c r="DW20">
        <v>500.02341935483878</v>
      </c>
      <c r="DX20">
        <v>97.371325806451608</v>
      </c>
      <c r="DY20">
        <v>4.7391154838709683E-2</v>
      </c>
      <c r="DZ20">
        <v>32.014767741935493</v>
      </c>
      <c r="EA20">
        <v>31.429206451612899</v>
      </c>
      <c r="EB20">
        <v>999.90000000000032</v>
      </c>
      <c r="EC20">
        <v>0</v>
      </c>
      <c r="ED20">
        <v>0</v>
      </c>
      <c r="EE20">
        <v>9992.2580645161288</v>
      </c>
      <c r="EF20">
        <v>0</v>
      </c>
      <c r="EG20">
        <v>487.87483870967742</v>
      </c>
      <c r="EH20">
        <v>-53.715016129032257</v>
      </c>
      <c r="EI20">
        <v>433.52790322580648</v>
      </c>
      <c r="EJ20">
        <v>486.12977419354843</v>
      </c>
      <c r="EK20">
        <v>5.7439125806451612</v>
      </c>
      <c r="EL20">
        <v>473.40403225806449</v>
      </c>
      <c r="EM20">
        <v>26.17763225806452</v>
      </c>
      <c r="EN20">
        <v>3.1082412903225811</v>
      </c>
      <c r="EO20">
        <v>2.548949032258065</v>
      </c>
      <c r="EP20">
        <v>24.619419354838708</v>
      </c>
      <c r="EQ20">
        <v>21.34248387096774</v>
      </c>
      <c r="ER20">
        <v>1400.004838709677</v>
      </c>
      <c r="ES20">
        <v>0.99299909677419373</v>
      </c>
      <c r="ET20">
        <v>7.0010606451612906E-3</v>
      </c>
      <c r="EU20">
        <v>0</v>
      </c>
      <c r="EV20">
        <v>827.15961290322593</v>
      </c>
      <c r="EW20">
        <v>5.0010700000000003</v>
      </c>
      <c r="EX20">
        <v>13862.62903225807</v>
      </c>
      <c r="EY20">
        <v>12745.55806451613</v>
      </c>
      <c r="EZ20">
        <v>39.358741935483877</v>
      </c>
      <c r="FA20">
        <v>40.875</v>
      </c>
      <c r="FB20">
        <v>40.186999999999983</v>
      </c>
      <c r="FC20">
        <v>40.608741935483877</v>
      </c>
      <c r="FD20">
        <v>41.307999999999979</v>
      </c>
      <c r="FE20">
        <v>1385.234838709677</v>
      </c>
      <c r="FF20">
        <v>9.7699999999999978</v>
      </c>
      <c r="FG20">
        <v>0</v>
      </c>
      <c r="FH20">
        <v>122.4000000953674</v>
      </c>
      <c r="FI20">
        <v>0</v>
      </c>
      <c r="FJ20">
        <v>827.27029411764704</v>
      </c>
      <c r="FK20">
        <v>2.4431372534223308</v>
      </c>
      <c r="FL20">
        <v>51.642157149949327</v>
      </c>
      <c r="FM20">
        <v>13867.158823529409</v>
      </c>
      <c r="FN20">
        <v>10</v>
      </c>
      <c r="FO20">
        <v>1782830189.5999999</v>
      </c>
      <c r="FP20" t="s">
        <v>1041</v>
      </c>
      <c r="FQ20">
        <v>1782830189.5999999</v>
      </c>
      <c r="FR20">
        <v>1782830186.5999999</v>
      </c>
      <c r="FS20">
        <v>4</v>
      </c>
      <c r="FT20">
        <v>-5.0999999999999997E-2</v>
      </c>
      <c r="FU20">
        <v>-2E-3</v>
      </c>
      <c r="FV20">
        <v>-4.6280000000000001</v>
      </c>
      <c r="FW20">
        <v>0.30099999999999999</v>
      </c>
      <c r="FX20">
        <v>473</v>
      </c>
      <c r="FY20">
        <v>26</v>
      </c>
      <c r="FZ20">
        <v>0.14000000000000001</v>
      </c>
      <c r="GA20">
        <v>7.0000000000000007E-2</v>
      </c>
      <c r="GB20">
        <v>-53.66796999999999</v>
      </c>
      <c r="GC20">
        <v>-0.20799174484042979</v>
      </c>
      <c r="GD20">
        <v>0.18479323337178799</v>
      </c>
      <c r="GE20">
        <v>1</v>
      </c>
      <c r="GF20">
        <v>827.04652941176482</v>
      </c>
      <c r="GG20">
        <v>2.0693048120315898</v>
      </c>
      <c r="GH20">
        <v>0.29883796861826989</v>
      </c>
      <c r="GI20">
        <v>1</v>
      </c>
      <c r="GJ20">
        <v>5.7469092499999999</v>
      </c>
      <c r="GK20">
        <v>-5.5080337711078287E-2</v>
      </c>
      <c r="GL20">
        <v>7.8265577962153832E-3</v>
      </c>
      <c r="GM20">
        <v>1</v>
      </c>
      <c r="GN20">
        <v>3</v>
      </c>
      <c r="GO20">
        <v>3</v>
      </c>
      <c r="GP20" t="s">
        <v>599</v>
      </c>
      <c r="GQ20">
        <v>3.1323599999999998</v>
      </c>
      <c r="GR20">
        <v>2.7231900000000002</v>
      </c>
      <c r="GS20">
        <v>9.1428099999999998E-2</v>
      </c>
      <c r="GT20">
        <v>0.100004</v>
      </c>
      <c r="GU20">
        <v>0.13542499999999999</v>
      </c>
      <c r="GV20">
        <v>0.119481</v>
      </c>
      <c r="GW20">
        <v>22907.4</v>
      </c>
      <c r="GX20">
        <v>30501.8</v>
      </c>
      <c r="GY20">
        <v>27338.5</v>
      </c>
      <c r="GZ20">
        <v>34834.400000000001</v>
      </c>
      <c r="HA20">
        <v>34574.400000000001</v>
      </c>
      <c r="HB20">
        <v>39125.9</v>
      </c>
      <c r="HC20">
        <v>40340.400000000001</v>
      </c>
      <c r="HD20">
        <v>44523.4</v>
      </c>
      <c r="HE20">
        <v>1.9903999999999999</v>
      </c>
      <c r="HF20">
        <v>1.8128</v>
      </c>
      <c r="HG20">
        <v>5.3525000000000003E-2</v>
      </c>
      <c r="HH20">
        <v>0</v>
      </c>
      <c r="HI20">
        <v>30.5533</v>
      </c>
      <c r="HJ20">
        <v>999.9</v>
      </c>
      <c r="HK20">
        <v>72.900000000000006</v>
      </c>
      <c r="HL20">
        <v>31.2</v>
      </c>
      <c r="HM20">
        <v>34.164200000000001</v>
      </c>
      <c r="HN20">
        <v>60.700099999999999</v>
      </c>
      <c r="HO20">
        <v>5.8693900000000001</v>
      </c>
      <c r="HP20">
        <v>1</v>
      </c>
      <c r="HQ20">
        <v>0.34117900000000001</v>
      </c>
      <c r="HR20">
        <v>0</v>
      </c>
      <c r="HS20">
        <v>20.286100000000001</v>
      </c>
      <c r="HT20">
        <v>5.2125000000000004</v>
      </c>
      <c r="HU20">
        <v>11.902100000000001</v>
      </c>
      <c r="HV20">
        <v>4.9859999999999998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1.8671</v>
      </c>
      <c r="IC20">
        <v>1.8627</v>
      </c>
      <c r="ID20">
        <v>1.8621799999999999</v>
      </c>
      <c r="IE20">
        <v>1.8615999999999999</v>
      </c>
      <c r="IF20">
        <v>1.86172</v>
      </c>
      <c r="IG20">
        <v>1.8624000000000001</v>
      </c>
      <c r="IH20">
        <v>1.8632500000000001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411</v>
      </c>
      <c r="IO20" t="s">
        <v>412</v>
      </c>
      <c r="IP20" t="s">
        <v>413</v>
      </c>
      <c r="IQ20" t="s">
        <v>414</v>
      </c>
      <c r="IR20" t="s">
        <v>414</v>
      </c>
      <c r="IS20" t="s">
        <v>413</v>
      </c>
      <c r="IT20">
        <v>0</v>
      </c>
      <c r="IU20">
        <v>100</v>
      </c>
      <c r="IV20">
        <v>100</v>
      </c>
      <c r="IW20">
        <v>-4.4539999999999997</v>
      </c>
      <c r="IX20">
        <v>0.47039999999999998</v>
      </c>
      <c r="IY20">
        <v>-2.8290168061452858</v>
      </c>
      <c r="IZ20">
        <v>-4.3200172963836943E-3</v>
      </c>
      <c r="JA20">
        <v>1.144643420078806E-6</v>
      </c>
      <c r="JB20">
        <v>2.2629164031131329E-11</v>
      </c>
      <c r="JC20">
        <v>-0.12115715975187891</v>
      </c>
      <c r="JD20">
        <v>-2.723765763251367E-3</v>
      </c>
      <c r="JE20">
        <v>9.3351533439868235E-4</v>
      </c>
      <c r="JF20">
        <v>-7.9310479777716621E-6</v>
      </c>
      <c r="JG20">
        <v>18</v>
      </c>
      <c r="JH20">
        <v>1822</v>
      </c>
      <c r="JI20">
        <v>1</v>
      </c>
      <c r="JJ20">
        <v>38</v>
      </c>
      <c r="JK20">
        <v>0.9</v>
      </c>
      <c r="JL20">
        <v>1</v>
      </c>
      <c r="JM20">
        <v>1.1792</v>
      </c>
      <c r="JN20">
        <v>2.47803</v>
      </c>
      <c r="JO20">
        <v>1.50024</v>
      </c>
      <c r="JP20">
        <v>2.2839399999999999</v>
      </c>
      <c r="JQ20">
        <v>1.4477500000000001</v>
      </c>
      <c r="JR20">
        <v>2.3779300000000001</v>
      </c>
      <c r="JS20">
        <v>35.941200000000002</v>
      </c>
      <c r="JT20">
        <v>15.9795</v>
      </c>
      <c r="JU20">
        <v>18</v>
      </c>
      <c r="JV20">
        <v>540.59799999999996</v>
      </c>
      <c r="JW20">
        <v>440.67700000000002</v>
      </c>
      <c r="JX20">
        <v>31.234300000000001</v>
      </c>
      <c r="JY20">
        <v>31.567299999999999</v>
      </c>
      <c r="JZ20">
        <v>30.000299999999999</v>
      </c>
      <c r="KA20">
        <v>31.549800000000001</v>
      </c>
      <c r="KB20">
        <v>31.519500000000001</v>
      </c>
      <c r="KC20">
        <v>23.592600000000001</v>
      </c>
      <c r="KD20">
        <v>37.732999999999997</v>
      </c>
      <c r="KE20">
        <v>96.4328</v>
      </c>
      <c r="KF20">
        <v>-999.9</v>
      </c>
      <c r="KG20">
        <v>473.55900000000003</v>
      </c>
      <c r="KH20">
        <v>26.120100000000001</v>
      </c>
      <c r="KI20">
        <v>100.852</v>
      </c>
      <c r="KJ20">
        <v>99.849000000000004</v>
      </c>
    </row>
    <row r="21" spans="1:296" x14ac:dyDescent="0.3">
      <c r="A21">
        <v>5</v>
      </c>
      <c r="B21">
        <v>1782830366.5999999</v>
      </c>
      <c r="C21">
        <v>631</v>
      </c>
      <c r="D21" t="s">
        <v>1042</v>
      </c>
      <c r="E21" t="s">
        <v>1043</v>
      </c>
      <c r="F21">
        <v>15</v>
      </c>
      <c r="H21">
        <v>1782830358.599999</v>
      </c>
      <c r="I21">
        <f t="shared" si="0"/>
        <v>5.0906110348270788E-3</v>
      </c>
      <c r="J21">
        <f t="shared" si="1"/>
        <v>5.090611034827079</v>
      </c>
      <c r="K21">
        <f t="shared" si="2"/>
        <v>39.639242551534139</v>
      </c>
      <c r="L21">
        <f t="shared" si="3"/>
        <v>419.88874193548389</v>
      </c>
      <c r="M21">
        <f t="shared" si="4"/>
        <v>213.36280357490065</v>
      </c>
      <c r="N21">
        <f t="shared" si="5"/>
        <v>20.783884098265872</v>
      </c>
      <c r="O21">
        <f t="shared" si="6"/>
        <v>40.90178231788277</v>
      </c>
      <c r="P21">
        <f t="shared" si="7"/>
        <v>0.33728231078360915</v>
      </c>
      <c r="Q21">
        <f t="shared" si="8"/>
        <v>2.8842596111038246</v>
      </c>
      <c r="R21">
        <f t="shared" si="9"/>
        <v>0.31680257018419855</v>
      </c>
      <c r="S21">
        <f t="shared" si="10"/>
        <v>0.19973791927389872</v>
      </c>
      <c r="T21">
        <f t="shared" si="11"/>
        <v>176.12633751030816</v>
      </c>
      <c r="U21">
        <f t="shared" si="12"/>
        <v>31.705798483022562</v>
      </c>
      <c r="V21">
        <f t="shared" si="13"/>
        <v>31.38764193548387</v>
      </c>
      <c r="W21">
        <f t="shared" si="14"/>
        <v>4.6120556074394061</v>
      </c>
      <c r="X21">
        <f t="shared" si="15"/>
        <v>65.126414363702295</v>
      </c>
      <c r="Y21">
        <f t="shared" si="16"/>
        <v>3.1088180234745924</v>
      </c>
      <c r="Z21">
        <f t="shared" si="17"/>
        <v>4.773513257022282</v>
      </c>
      <c r="AA21">
        <f t="shared" si="18"/>
        <v>1.5032375839648138</v>
      </c>
      <c r="AB21">
        <f t="shared" si="19"/>
        <v>-224.49594663587416</v>
      </c>
      <c r="AC21">
        <f t="shared" si="20"/>
        <v>94.315971829175112</v>
      </c>
      <c r="AD21">
        <f t="shared" si="21"/>
        <v>7.3933463807693256</v>
      </c>
      <c r="AE21">
        <f t="shared" si="22"/>
        <v>53.339709084378427</v>
      </c>
      <c r="AF21">
        <f t="shared" si="23"/>
        <v>39.639242551534139</v>
      </c>
      <c r="AG21">
        <f t="shared" si="24"/>
        <v>5.090611034827079</v>
      </c>
      <c r="AH21">
        <f t="shared" si="25"/>
        <v>39.386336695483614</v>
      </c>
      <c r="AI21">
        <v>482.63477012039561</v>
      </c>
      <c r="AJ21">
        <v>433.88672727272711</v>
      </c>
      <c r="AK21">
        <v>4.3871361015935972E-2</v>
      </c>
      <c r="AL21">
        <v>67.088366517257612</v>
      </c>
      <c r="AM21">
        <f t="shared" si="26"/>
        <v>5.0826015841764125</v>
      </c>
      <c r="AN21">
        <v>25.997944763972558</v>
      </c>
      <c r="AO21">
        <v>31.900939393939389</v>
      </c>
      <c r="AP21">
        <v>1.9551777514287871E-4</v>
      </c>
      <c r="AQ21">
        <v>78.239098443500438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50678.475140970782</v>
      </c>
      <c r="AW21" t="s">
        <v>1027</v>
      </c>
      <c r="AX21">
        <v>4100.0200000000004</v>
      </c>
      <c r="AY21">
        <v>703.65588235294126</v>
      </c>
      <c r="AZ21">
        <v>2894.78</v>
      </c>
      <c r="BA21">
        <f t="shared" si="30"/>
        <v>0.75692250106987702</v>
      </c>
      <c r="BB21">
        <v>-1.8770886535882509</v>
      </c>
      <c r="BC21" t="s">
        <v>1044</v>
      </c>
      <c r="BD21">
        <v>5099.6400000000003</v>
      </c>
      <c r="BE21">
        <v>821.54441176470584</v>
      </c>
      <c r="BF21">
        <v>1225.3499999999999</v>
      </c>
      <c r="BG21">
        <f t="shared" si="31"/>
        <v>0.32954305972603259</v>
      </c>
      <c r="BH21">
        <v>0.5</v>
      </c>
      <c r="BI21">
        <f t="shared" si="32"/>
        <v>924.27731584187757</v>
      </c>
      <c r="BJ21">
        <f t="shared" si="33"/>
        <v>39.639242551534139</v>
      </c>
      <c r="BK21">
        <f t="shared" si="34"/>
        <v>152.29458734894848</v>
      </c>
      <c r="BL21">
        <f t="shared" si="35"/>
        <v>4.4917613462478259E-2</v>
      </c>
      <c r="BM21">
        <f t="shared" si="36"/>
        <v>1.3624107397886323</v>
      </c>
      <c r="BN21">
        <f t="shared" si="37"/>
        <v>528.59901055578325</v>
      </c>
      <c r="BO21" t="s">
        <v>407</v>
      </c>
      <c r="BP21">
        <v>0</v>
      </c>
      <c r="BQ21">
        <f t="shared" si="38"/>
        <v>528.59901055578325</v>
      </c>
      <c r="BR21">
        <f t="shared" si="39"/>
        <v>0.56861385681170007</v>
      </c>
      <c r="BS21">
        <f t="shared" si="40"/>
        <v>0.57955509838228025</v>
      </c>
      <c r="BT21">
        <f t="shared" si="41"/>
        <v>0.70553774518834522</v>
      </c>
      <c r="BU21">
        <f t="shared" si="42"/>
        <v>0.77402748962655621</v>
      </c>
      <c r="BV21">
        <f t="shared" si="43"/>
        <v>0.76190572070044094</v>
      </c>
      <c r="BW21">
        <f t="shared" si="44"/>
        <v>0.37289797992707141</v>
      </c>
      <c r="BX21">
        <f t="shared" si="45"/>
        <v>0.62710202007292859</v>
      </c>
      <c r="DG21">
        <f t="shared" si="46"/>
        <v>1099.9787096774189</v>
      </c>
      <c r="DH21">
        <f t="shared" si="47"/>
        <v>924.27731584187757</v>
      </c>
      <c r="DI21">
        <f t="shared" si="48"/>
        <v>0.84026836856954468</v>
      </c>
      <c r="DJ21">
        <f t="shared" si="49"/>
        <v>0.16011795133922108</v>
      </c>
      <c r="DK21">
        <v>6</v>
      </c>
      <c r="DL21">
        <v>0.5</v>
      </c>
      <c r="DM21" t="s">
        <v>408</v>
      </c>
      <c r="DN21">
        <v>2</v>
      </c>
      <c r="DO21" t="b">
        <v>0</v>
      </c>
      <c r="DP21">
        <v>1782830358.599999</v>
      </c>
      <c r="DQ21">
        <v>419.88874193548389</v>
      </c>
      <c r="DR21">
        <v>470.01754838709678</v>
      </c>
      <c r="DS21">
        <v>31.914445161290331</v>
      </c>
      <c r="DT21">
        <v>26.001054838709681</v>
      </c>
      <c r="DU21">
        <v>424.31470967741927</v>
      </c>
      <c r="DV21">
        <v>31.443538709677419</v>
      </c>
      <c r="DW21">
        <v>500.0326451612903</v>
      </c>
      <c r="DX21">
        <v>97.363593548387101</v>
      </c>
      <c r="DY21">
        <v>4.7406635483870967E-2</v>
      </c>
      <c r="DZ21">
        <v>31.994190322580639</v>
      </c>
      <c r="EA21">
        <v>31.38764193548387</v>
      </c>
      <c r="EB21">
        <v>999.90000000000032</v>
      </c>
      <c r="EC21">
        <v>0</v>
      </c>
      <c r="ED21">
        <v>0</v>
      </c>
      <c r="EE21">
        <v>10007.903225806451</v>
      </c>
      <c r="EF21">
        <v>0</v>
      </c>
      <c r="EG21">
        <v>707.86764516129028</v>
      </c>
      <c r="EH21">
        <v>-50.128745161290318</v>
      </c>
      <c r="EI21">
        <v>433.73106451612898</v>
      </c>
      <c r="EJ21">
        <v>482.56474193548382</v>
      </c>
      <c r="EK21">
        <v>5.9133900000000006</v>
      </c>
      <c r="EL21">
        <v>470.01754838709678</v>
      </c>
      <c r="EM21">
        <v>26.001054838709681</v>
      </c>
      <c r="EN21">
        <v>3.1073048387096769</v>
      </c>
      <c r="EO21">
        <v>2.5315564516129032</v>
      </c>
      <c r="EP21">
        <v>24.614370967741941</v>
      </c>
      <c r="EQ21">
        <v>21.230819354838701</v>
      </c>
      <c r="ER21">
        <v>1099.9787096774189</v>
      </c>
      <c r="ES21">
        <v>0.99101170967741925</v>
      </c>
      <c r="ET21">
        <v>8.9885496774193552E-3</v>
      </c>
      <c r="EU21">
        <v>0</v>
      </c>
      <c r="EV21">
        <v>821.44641935483855</v>
      </c>
      <c r="EW21">
        <v>5.0010700000000003</v>
      </c>
      <c r="EX21">
        <v>11815.974193548391</v>
      </c>
      <c r="EY21">
        <v>9996.6103225806455</v>
      </c>
      <c r="EZ21">
        <v>39.120935483870959</v>
      </c>
      <c r="FA21">
        <v>41.061999999999983</v>
      </c>
      <c r="FB21">
        <v>40.186999999999983</v>
      </c>
      <c r="FC21">
        <v>40.799999999999983</v>
      </c>
      <c r="FD21">
        <v>41.186999999999983</v>
      </c>
      <c r="FE21">
        <v>1085.138709677419</v>
      </c>
      <c r="FF21">
        <v>9.8399999999999963</v>
      </c>
      <c r="FG21">
        <v>0</v>
      </c>
      <c r="FH21">
        <v>121.5999999046326</v>
      </c>
      <c r="FI21">
        <v>0</v>
      </c>
      <c r="FJ21">
        <v>821.54441176470584</v>
      </c>
      <c r="FK21">
        <v>2.5164215656114348</v>
      </c>
      <c r="FL21">
        <v>-677.35293938433904</v>
      </c>
      <c r="FM21">
        <v>11800.27647058824</v>
      </c>
      <c r="FN21">
        <v>10</v>
      </c>
      <c r="FO21">
        <v>1782830310.0999999</v>
      </c>
      <c r="FP21" t="s">
        <v>1045</v>
      </c>
      <c r="FQ21">
        <v>1782830305.0999999</v>
      </c>
      <c r="FR21">
        <v>1782830310.0999999</v>
      </c>
      <c r="FS21">
        <v>5</v>
      </c>
      <c r="FT21">
        <v>2.8000000000000001E-2</v>
      </c>
      <c r="FU21">
        <v>1E-3</v>
      </c>
      <c r="FV21">
        <v>-4.593</v>
      </c>
      <c r="FW21">
        <v>0.3</v>
      </c>
      <c r="FX21">
        <v>471</v>
      </c>
      <c r="FY21">
        <v>26</v>
      </c>
      <c r="FZ21">
        <v>0.12</v>
      </c>
      <c r="GA21">
        <v>7.0000000000000007E-2</v>
      </c>
      <c r="GB21">
        <v>-50.110097500000002</v>
      </c>
      <c r="GC21">
        <v>-0.36132045028137372</v>
      </c>
      <c r="GD21">
        <v>0.1272599573461736</v>
      </c>
      <c r="GE21">
        <v>1</v>
      </c>
      <c r="GF21">
        <v>821.45967647058831</v>
      </c>
      <c r="GG21">
        <v>0.9553093971834139</v>
      </c>
      <c r="GH21">
        <v>0.27042371117196101</v>
      </c>
      <c r="GI21">
        <v>1</v>
      </c>
      <c r="GJ21">
        <v>5.90436725</v>
      </c>
      <c r="GK21">
        <v>9.2510431519694541E-2</v>
      </c>
      <c r="GL21">
        <v>2.8289461729370149E-2</v>
      </c>
      <c r="GM21">
        <v>1</v>
      </c>
      <c r="GN21">
        <v>3</v>
      </c>
      <c r="GO21">
        <v>3</v>
      </c>
      <c r="GP21" t="s">
        <v>599</v>
      </c>
      <c r="GQ21">
        <v>3.1330800000000001</v>
      </c>
      <c r="GR21">
        <v>2.7236199999999999</v>
      </c>
      <c r="GS21">
        <v>9.1450799999999999E-2</v>
      </c>
      <c r="GT21">
        <v>9.9447199999999999E-2</v>
      </c>
      <c r="GU21">
        <v>0.13528899999999999</v>
      </c>
      <c r="GV21">
        <v>0.118878</v>
      </c>
      <c r="GW21">
        <v>22903.200000000001</v>
      </c>
      <c r="GX21">
        <v>30516.6</v>
      </c>
      <c r="GY21">
        <v>27334.6</v>
      </c>
      <c r="GZ21">
        <v>34830.400000000001</v>
      </c>
      <c r="HA21">
        <v>34575.800000000003</v>
      </c>
      <c r="HB21">
        <v>39150.300000000003</v>
      </c>
      <c r="HC21">
        <v>40334.9</v>
      </c>
      <c r="HD21">
        <v>44520.4</v>
      </c>
      <c r="HE21">
        <v>1.9902</v>
      </c>
      <c r="HF21">
        <v>1.8084</v>
      </c>
      <c r="HG21">
        <v>4.6491600000000001E-2</v>
      </c>
      <c r="HH21">
        <v>0</v>
      </c>
      <c r="HI21">
        <v>30.648700000000002</v>
      </c>
      <c r="HJ21">
        <v>999.9</v>
      </c>
      <c r="HK21">
        <v>72.7</v>
      </c>
      <c r="HL21">
        <v>31.4</v>
      </c>
      <c r="HM21">
        <v>34.460599999999999</v>
      </c>
      <c r="HN21">
        <v>60.32</v>
      </c>
      <c r="HO21">
        <v>5.8653899999999997</v>
      </c>
      <c r="HP21">
        <v>1</v>
      </c>
      <c r="HQ21">
        <v>0.34918700000000003</v>
      </c>
      <c r="HR21">
        <v>0</v>
      </c>
      <c r="HS21">
        <v>20.288699999999999</v>
      </c>
      <c r="HT21">
        <v>5.2112999999999996</v>
      </c>
      <c r="HU21">
        <v>11.902100000000001</v>
      </c>
      <c r="HV21">
        <v>4.9859999999999998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1.86276</v>
      </c>
      <c r="ID21">
        <v>1.8621799999999999</v>
      </c>
      <c r="IE21">
        <v>1.8616600000000001</v>
      </c>
      <c r="IF21">
        <v>1.86172</v>
      </c>
      <c r="IG21">
        <v>1.86243</v>
      </c>
      <c r="IH21">
        <v>1.8632500000000001</v>
      </c>
      <c r="II21">
        <v>1.86127</v>
      </c>
      <c r="IJ21">
        <v>0</v>
      </c>
      <c r="IK21">
        <v>0</v>
      </c>
      <c r="IL21">
        <v>0</v>
      </c>
      <c r="IM21">
        <v>4.5</v>
      </c>
      <c r="IN21" t="s">
        <v>411</v>
      </c>
      <c r="IO21" t="s">
        <v>412</v>
      </c>
      <c r="IP21" t="s">
        <v>413</v>
      </c>
      <c r="IQ21" t="s">
        <v>414</v>
      </c>
      <c r="IR21" t="s">
        <v>414</v>
      </c>
      <c r="IS21" t="s">
        <v>413</v>
      </c>
      <c r="IT21">
        <v>0</v>
      </c>
      <c r="IU21">
        <v>100</v>
      </c>
      <c r="IV21">
        <v>100</v>
      </c>
      <c r="IW21">
        <v>-4.4269999999999996</v>
      </c>
      <c r="IX21">
        <v>0.47049999999999997</v>
      </c>
      <c r="IY21">
        <v>-2.8006509645388351</v>
      </c>
      <c r="IZ21">
        <v>-4.3200172963836943E-3</v>
      </c>
      <c r="JA21">
        <v>1.144643420078806E-6</v>
      </c>
      <c r="JB21">
        <v>2.2629164031131329E-11</v>
      </c>
      <c r="JC21">
        <v>-0.11984895504064</v>
      </c>
      <c r="JD21">
        <v>-2.723765763251367E-3</v>
      </c>
      <c r="JE21">
        <v>9.3351533439868235E-4</v>
      </c>
      <c r="JF21">
        <v>-7.9310479777716621E-6</v>
      </c>
      <c r="JG21">
        <v>18</v>
      </c>
      <c r="JH21">
        <v>1822</v>
      </c>
      <c r="JI21">
        <v>1</v>
      </c>
      <c r="JJ21">
        <v>38</v>
      </c>
      <c r="JK21">
        <v>1</v>
      </c>
      <c r="JL21">
        <v>0.9</v>
      </c>
      <c r="JM21">
        <v>1.1731</v>
      </c>
      <c r="JN21">
        <v>2.49268</v>
      </c>
      <c r="JO21">
        <v>1.50024</v>
      </c>
      <c r="JP21">
        <v>2.2814899999999998</v>
      </c>
      <c r="JQ21">
        <v>1.4477500000000001</v>
      </c>
      <c r="JR21">
        <v>2.2961399999999998</v>
      </c>
      <c r="JS21">
        <v>36.104999999999997</v>
      </c>
      <c r="JT21">
        <v>15.962</v>
      </c>
      <c r="JU21">
        <v>18</v>
      </c>
      <c r="JV21">
        <v>541.17100000000005</v>
      </c>
      <c r="JW21">
        <v>438.51499999999999</v>
      </c>
      <c r="JX21">
        <v>31.344100000000001</v>
      </c>
      <c r="JY21">
        <v>31.665500000000002</v>
      </c>
      <c r="JZ21">
        <v>30.000399999999999</v>
      </c>
      <c r="KA21">
        <v>31.6326</v>
      </c>
      <c r="KB21">
        <v>31.5991</v>
      </c>
      <c r="KC21">
        <v>23.456199999999999</v>
      </c>
      <c r="KD21">
        <v>38.1051</v>
      </c>
      <c r="KE21">
        <v>94.159199999999998</v>
      </c>
      <c r="KF21">
        <v>-999.9</v>
      </c>
      <c r="KG21">
        <v>469.91399999999999</v>
      </c>
      <c r="KH21">
        <v>25.969100000000001</v>
      </c>
      <c r="KI21">
        <v>100.83799999999999</v>
      </c>
      <c r="KJ21">
        <v>99.840199999999996</v>
      </c>
    </row>
    <row r="22" spans="1:296" x14ac:dyDescent="0.3">
      <c r="A22">
        <v>6</v>
      </c>
      <c r="B22">
        <v>1782830492.0999999</v>
      </c>
      <c r="C22">
        <v>756.5</v>
      </c>
      <c r="D22" t="s">
        <v>1046</v>
      </c>
      <c r="E22" t="s">
        <v>1047</v>
      </c>
      <c r="F22">
        <v>15</v>
      </c>
      <c r="H22">
        <v>1782830484.099999</v>
      </c>
      <c r="I22">
        <f t="shared" si="0"/>
        <v>5.3368788005870712E-3</v>
      </c>
      <c r="J22">
        <f t="shared" si="1"/>
        <v>5.3368788005870709</v>
      </c>
      <c r="K22">
        <f t="shared" si="2"/>
        <v>37.903042549081128</v>
      </c>
      <c r="L22">
        <f t="shared" si="3"/>
        <v>419.85506451612912</v>
      </c>
      <c r="M22">
        <f t="shared" si="4"/>
        <v>225.07667443142134</v>
      </c>
      <c r="N22">
        <f t="shared" si="5"/>
        <v>21.922260526089442</v>
      </c>
      <c r="O22">
        <f t="shared" si="6"/>
        <v>40.893496097593598</v>
      </c>
      <c r="P22">
        <f t="shared" si="7"/>
        <v>0.34387328510635551</v>
      </c>
      <c r="Q22">
        <f t="shared" si="8"/>
        <v>2.8837002095205264</v>
      </c>
      <c r="R22">
        <f t="shared" si="9"/>
        <v>0.3226085343532013</v>
      </c>
      <c r="S22">
        <f t="shared" si="10"/>
        <v>0.20343121120652238</v>
      </c>
      <c r="T22">
        <f t="shared" si="11"/>
        <v>160.17285186665057</v>
      </c>
      <c r="U22">
        <f t="shared" si="12"/>
        <v>31.72243246342877</v>
      </c>
      <c r="V22">
        <f t="shared" si="13"/>
        <v>31.676716129032261</v>
      </c>
      <c r="W22">
        <f t="shared" si="14"/>
        <v>4.688401324481922</v>
      </c>
      <c r="X22">
        <f t="shared" si="15"/>
        <v>65.165608104981075</v>
      </c>
      <c r="Y22">
        <f t="shared" si="16"/>
        <v>3.1419066783677674</v>
      </c>
      <c r="Z22">
        <f t="shared" si="17"/>
        <v>4.8214184901124382</v>
      </c>
      <c r="AA22">
        <f t="shared" si="18"/>
        <v>1.5464946461141547</v>
      </c>
      <c r="AB22">
        <f t="shared" si="19"/>
        <v>-235.35635510588983</v>
      </c>
      <c r="AC22">
        <f t="shared" si="20"/>
        <v>76.800728077034009</v>
      </c>
      <c r="AD22">
        <f t="shared" si="21"/>
        <v>6.0353205246024295</v>
      </c>
      <c r="AE22">
        <f t="shared" si="22"/>
        <v>7.6525453623971913</v>
      </c>
      <c r="AF22">
        <f t="shared" si="23"/>
        <v>37.903042549081128</v>
      </c>
      <c r="AG22">
        <f t="shared" si="24"/>
        <v>5.3368788005870709</v>
      </c>
      <c r="AH22">
        <f t="shared" si="25"/>
        <v>38.217425980104558</v>
      </c>
      <c r="AI22">
        <v>480.7655313832027</v>
      </c>
      <c r="AJ22">
        <v>433.6755818181818</v>
      </c>
      <c r="AK22">
        <v>5.9423993332915971E-4</v>
      </c>
      <c r="AL22">
        <v>67.088904260677438</v>
      </c>
      <c r="AM22">
        <f t="shared" si="26"/>
        <v>5.391131847898567</v>
      </c>
      <c r="AN22">
        <v>26.076085987790009</v>
      </c>
      <c r="AO22">
        <v>32.297100606060603</v>
      </c>
      <c r="AP22">
        <v>6.5402180973984179E-3</v>
      </c>
      <c r="AQ22">
        <v>78.240066073477038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50633.271649067494</v>
      </c>
      <c r="AW22" t="s">
        <v>1027</v>
      </c>
      <c r="AX22">
        <v>4100.0200000000004</v>
      </c>
      <c r="AY22">
        <v>703.65588235294126</v>
      </c>
      <c r="AZ22">
        <v>2894.78</v>
      </c>
      <c r="BA22">
        <f t="shared" si="30"/>
        <v>0.75692250106987702</v>
      </c>
      <c r="BB22">
        <v>-1.8770886535882509</v>
      </c>
      <c r="BC22" t="s">
        <v>1048</v>
      </c>
      <c r="BD22">
        <v>5099.71</v>
      </c>
      <c r="BE22">
        <v>817.96288235294128</v>
      </c>
      <c r="BF22">
        <v>1279.03</v>
      </c>
      <c r="BG22">
        <f t="shared" si="31"/>
        <v>0.36048186332381471</v>
      </c>
      <c r="BH22">
        <v>0.5</v>
      </c>
      <c r="BI22">
        <f t="shared" si="32"/>
        <v>840.28137517409596</v>
      </c>
      <c r="BJ22">
        <f t="shared" si="33"/>
        <v>37.903042549081128</v>
      </c>
      <c r="BK22">
        <f t="shared" si="34"/>
        <v>151.45309791952778</v>
      </c>
      <c r="BL22">
        <f t="shared" si="35"/>
        <v>4.734144106719898E-2</v>
      </c>
      <c r="BM22">
        <f t="shared" si="36"/>
        <v>1.263262003236828</v>
      </c>
      <c r="BN22">
        <f t="shared" si="37"/>
        <v>538.34574769768335</v>
      </c>
      <c r="BO22" t="s">
        <v>407</v>
      </c>
      <c r="BP22">
        <v>0</v>
      </c>
      <c r="BQ22">
        <f t="shared" si="38"/>
        <v>538.34574769768335</v>
      </c>
      <c r="BR22">
        <f t="shared" si="39"/>
        <v>0.57909842013269164</v>
      </c>
      <c r="BS22">
        <f t="shared" si="40"/>
        <v>0.62248807938591111</v>
      </c>
      <c r="BT22">
        <f t="shared" si="41"/>
        <v>0.68567582499760271</v>
      </c>
      <c r="BU22">
        <f t="shared" si="42"/>
        <v>0.80133447700524252</v>
      </c>
      <c r="BV22">
        <f t="shared" si="43"/>
        <v>0.73740688032546287</v>
      </c>
      <c r="BW22">
        <f t="shared" si="44"/>
        <v>0.40969317527699933</v>
      </c>
      <c r="BX22">
        <f t="shared" si="45"/>
        <v>0.59030682472300067</v>
      </c>
      <c r="DG22">
        <f t="shared" si="46"/>
        <v>999.97961290322576</v>
      </c>
      <c r="DH22">
        <f t="shared" si="47"/>
        <v>840.28137517409596</v>
      </c>
      <c r="DI22">
        <f t="shared" si="48"/>
        <v>0.84029850642106563</v>
      </c>
      <c r="DJ22">
        <f t="shared" si="49"/>
        <v>0.16017611739265677</v>
      </c>
      <c r="DK22">
        <v>6</v>
      </c>
      <c r="DL22">
        <v>0.5</v>
      </c>
      <c r="DM22" t="s">
        <v>408</v>
      </c>
      <c r="DN22">
        <v>2</v>
      </c>
      <c r="DO22" t="b">
        <v>0</v>
      </c>
      <c r="DP22">
        <v>1782830484.099999</v>
      </c>
      <c r="DQ22">
        <v>419.85506451612912</v>
      </c>
      <c r="DR22">
        <v>468.02638709677427</v>
      </c>
      <c r="DS22">
        <v>32.258074193548389</v>
      </c>
      <c r="DT22">
        <v>26.060561290322578</v>
      </c>
      <c r="DU22">
        <v>424.25016129032258</v>
      </c>
      <c r="DV22">
        <v>31.77657741935484</v>
      </c>
      <c r="DW22">
        <v>500.01232258064522</v>
      </c>
      <c r="DX22">
        <v>97.351106451612921</v>
      </c>
      <c r="DY22">
        <v>4.7971358064516127E-2</v>
      </c>
      <c r="DZ22">
        <v>32.17071935483871</v>
      </c>
      <c r="EA22">
        <v>31.676716129032261</v>
      </c>
      <c r="EB22">
        <v>999.90000000000032</v>
      </c>
      <c r="EC22">
        <v>0</v>
      </c>
      <c r="ED22">
        <v>0</v>
      </c>
      <c r="EE22">
        <v>10005.967741935479</v>
      </c>
      <c r="EF22">
        <v>0</v>
      </c>
      <c r="EG22">
        <v>1327.5651612903221</v>
      </c>
      <c r="EH22">
        <v>-48.171245161290322</v>
      </c>
      <c r="EI22">
        <v>433.85032258064513</v>
      </c>
      <c r="EJ22">
        <v>480.54980645161288</v>
      </c>
      <c r="EK22">
        <v>6.1975164516129029</v>
      </c>
      <c r="EL22">
        <v>468.02638709677427</v>
      </c>
      <c r="EM22">
        <v>26.060561290322578</v>
      </c>
      <c r="EN22">
        <v>3.140359677419355</v>
      </c>
      <c r="EO22">
        <v>2.537024516129033</v>
      </c>
      <c r="EP22">
        <v>24.791458064516132</v>
      </c>
      <c r="EQ22">
        <v>21.265993548387101</v>
      </c>
      <c r="ER22">
        <v>999.97961290322576</v>
      </c>
      <c r="ES22">
        <v>0.98999716129032278</v>
      </c>
      <c r="ET22">
        <v>1.000243548387097E-2</v>
      </c>
      <c r="EU22">
        <v>0</v>
      </c>
      <c r="EV22">
        <v>817.99770967741949</v>
      </c>
      <c r="EW22">
        <v>5.0010700000000003</v>
      </c>
      <c r="EX22">
        <v>12565.37096774193</v>
      </c>
      <c r="EY22">
        <v>9080.0838709677446</v>
      </c>
      <c r="EZ22">
        <v>38.995935483870973</v>
      </c>
      <c r="FA22">
        <v>41.258000000000003</v>
      </c>
      <c r="FB22">
        <v>40.241870967741939</v>
      </c>
      <c r="FC22">
        <v>40.936999999999983</v>
      </c>
      <c r="FD22">
        <v>41.144999999999982</v>
      </c>
      <c r="FE22">
        <v>985.02741935483868</v>
      </c>
      <c r="FF22">
        <v>9.9499999999999975</v>
      </c>
      <c r="FG22">
        <v>0</v>
      </c>
      <c r="FH22">
        <v>125</v>
      </c>
      <c r="FI22">
        <v>0</v>
      </c>
      <c r="FJ22">
        <v>817.96288235294128</v>
      </c>
      <c r="FK22">
        <v>-0.8441176705414658</v>
      </c>
      <c r="FL22">
        <v>-3299.3627501478172</v>
      </c>
      <c r="FM22">
        <v>12462.229411764711</v>
      </c>
      <c r="FN22">
        <v>10</v>
      </c>
      <c r="FO22">
        <v>1782830450.5999999</v>
      </c>
      <c r="FP22" t="s">
        <v>1049</v>
      </c>
      <c r="FQ22">
        <v>1782830450.5999999</v>
      </c>
      <c r="FR22">
        <v>1782830444.5999999</v>
      </c>
      <c r="FS22">
        <v>6</v>
      </c>
      <c r="FT22">
        <v>3.1E-2</v>
      </c>
      <c r="FU22">
        <v>0</v>
      </c>
      <c r="FV22">
        <v>-4.556</v>
      </c>
      <c r="FW22">
        <v>0.29599999999999999</v>
      </c>
      <c r="FX22">
        <v>469</v>
      </c>
      <c r="FY22">
        <v>26</v>
      </c>
      <c r="FZ22">
        <v>0.19</v>
      </c>
      <c r="GA22">
        <v>0.05</v>
      </c>
      <c r="GB22">
        <v>-48.261377499999988</v>
      </c>
      <c r="GC22">
        <v>-1.2523452157452489E-2</v>
      </c>
      <c r="GD22">
        <v>0.45395118321659822</v>
      </c>
      <c r="GE22">
        <v>1</v>
      </c>
      <c r="GF22">
        <v>818.05450000000008</v>
      </c>
      <c r="GG22">
        <v>-1.271367459873447</v>
      </c>
      <c r="GH22">
        <v>0.2397610636593393</v>
      </c>
      <c r="GI22">
        <v>1</v>
      </c>
      <c r="GJ22">
        <v>6.1999832499999998</v>
      </c>
      <c r="GK22">
        <v>-2.0397861163239259E-2</v>
      </c>
      <c r="GL22">
        <v>8.4138173225652702E-3</v>
      </c>
      <c r="GM22">
        <v>1</v>
      </c>
      <c r="GN22">
        <v>3</v>
      </c>
      <c r="GO22">
        <v>3</v>
      </c>
      <c r="GP22" t="s">
        <v>599</v>
      </c>
      <c r="GQ22">
        <v>3.13245</v>
      </c>
      <c r="GR22">
        <v>2.7239399999999998</v>
      </c>
      <c r="GS22">
        <v>9.1345099999999999E-2</v>
      </c>
      <c r="GT22">
        <v>9.9153400000000003E-2</v>
      </c>
      <c r="GU22">
        <v>0.13636999999999999</v>
      </c>
      <c r="GV22">
        <v>0.119089</v>
      </c>
      <c r="GW22">
        <v>22901.599999999999</v>
      </c>
      <c r="GX22">
        <v>30521.5</v>
      </c>
      <c r="GY22">
        <v>27330.1</v>
      </c>
      <c r="GZ22">
        <v>34825.599999999999</v>
      </c>
      <c r="HA22">
        <v>34528.1</v>
      </c>
      <c r="HB22">
        <v>39137.300000000003</v>
      </c>
      <c r="HC22">
        <v>40329.1</v>
      </c>
      <c r="HD22">
        <v>44515.9</v>
      </c>
      <c r="HE22">
        <v>1.9876</v>
      </c>
      <c r="HF22">
        <v>1.8069999999999999</v>
      </c>
      <c r="HG22">
        <v>4.70579E-2</v>
      </c>
      <c r="HH22">
        <v>0</v>
      </c>
      <c r="HI22">
        <v>30.943999999999999</v>
      </c>
      <c r="HJ22">
        <v>999.9</v>
      </c>
      <c r="HK22">
        <v>72.599999999999994</v>
      </c>
      <c r="HL22">
        <v>31.6</v>
      </c>
      <c r="HM22">
        <v>34.814700000000002</v>
      </c>
      <c r="HN22">
        <v>60.38</v>
      </c>
      <c r="HO22">
        <v>5.8773999999999997</v>
      </c>
      <c r="HP22">
        <v>1</v>
      </c>
      <c r="HQ22">
        <v>0.36</v>
      </c>
      <c r="HR22">
        <v>0</v>
      </c>
      <c r="HS22">
        <v>20.288799999999998</v>
      </c>
      <c r="HT22">
        <v>5.2100999999999997</v>
      </c>
      <c r="HU22">
        <v>11.902100000000001</v>
      </c>
      <c r="HV22">
        <v>4.9859999999999998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1.8672200000000001</v>
      </c>
      <c r="IC22">
        <v>1.86273</v>
      </c>
      <c r="ID22">
        <v>1.8621799999999999</v>
      </c>
      <c r="IE22">
        <v>1.8616600000000001</v>
      </c>
      <c r="IF22">
        <v>1.86172</v>
      </c>
      <c r="IG22">
        <v>1.86243</v>
      </c>
      <c r="IH22">
        <v>1.8632500000000001</v>
      </c>
      <c r="II22">
        <v>1.8613299999999999</v>
      </c>
      <c r="IJ22">
        <v>0</v>
      </c>
      <c r="IK22">
        <v>0</v>
      </c>
      <c r="IL22">
        <v>0</v>
      </c>
      <c r="IM22">
        <v>4.5</v>
      </c>
      <c r="IN22" t="s">
        <v>411</v>
      </c>
      <c r="IO22" t="s">
        <v>412</v>
      </c>
      <c r="IP22" t="s">
        <v>413</v>
      </c>
      <c r="IQ22" t="s">
        <v>414</v>
      </c>
      <c r="IR22" t="s">
        <v>414</v>
      </c>
      <c r="IS22" t="s">
        <v>413</v>
      </c>
      <c r="IT22">
        <v>0</v>
      </c>
      <c r="IU22">
        <v>100</v>
      </c>
      <c r="IV22">
        <v>100</v>
      </c>
      <c r="IW22">
        <v>-4.3949999999999996</v>
      </c>
      <c r="IX22">
        <v>0.4829</v>
      </c>
      <c r="IY22">
        <v>-2.7700472245878598</v>
      </c>
      <c r="IZ22">
        <v>-4.3200172963836943E-3</v>
      </c>
      <c r="JA22">
        <v>1.144643420078806E-6</v>
      </c>
      <c r="JB22">
        <v>2.2629164031131329E-11</v>
      </c>
      <c r="JC22">
        <v>-0.1200888159640046</v>
      </c>
      <c r="JD22">
        <v>-2.723765763251367E-3</v>
      </c>
      <c r="JE22">
        <v>9.3351533439868235E-4</v>
      </c>
      <c r="JF22">
        <v>-7.9310479777716621E-6</v>
      </c>
      <c r="JG22">
        <v>18</v>
      </c>
      <c r="JH22">
        <v>1822</v>
      </c>
      <c r="JI22">
        <v>1</v>
      </c>
      <c r="JJ22">
        <v>38</v>
      </c>
      <c r="JK22">
        <v>0.7</v>
      </c>
      <c r="JL22">
        <v>0.8</v>
      </c>
      <c r="JM22">
        <v>1.16943</v>
      </c>
      <c r="JN22">
        <v>2.49268</v>
      </c>
      <c r="JO22">
        <v>1.50024</v>
      </c>
      <c r="JP22">
        <v>2.2827099999999998</v>
      </c>
      <c r="JQ22">
        <v>1.4477500000000001</v>
      </c>
      <c r="JR22">
        <v>2.2936999999999999</v>
      </c>
      <c r="JS22">
        <v>36.292900000000003</v>
      </c>
      <c r="JT22">
        <v>15.9445</v>
      </c>
      <c r="JU22">
        <v>18</v>
      </c>
      <c r="JV22">
        <v>540.47900000000004</v>
      </c>
      <c r="JW22">
        <v>438.495</v>
      </c>
      <c r="JX22">
        <v>31.524899999999999</v>
      </c>
      <c r="JY22">
        <v>31.8033</v>
      </c>
      <c r="JZ22">
        <v>30.000599999999999</v>
      </c>
      <c r="KA22">
        <v>31.752800000000001</v>
      </c>
      <c r="KB22">
        <v>31.717700000000001</v>
      </c>
      <c r="KC22">
        <v>23.397400000000001</v>
      </c>
      <c r="KD22">
        <v>38.473399999999998</v>
      </c>
      <c r="KE22">
        <v>92.142899999999997</v>
      </c>
      <c r="KF22">
        <v>-999.9</v>
      </c>
      <c r="KG22">
        <v>468.548</v>
      </c>
      <c r="KH22">
        <v>25.9849</v>
      </c>
      <c r="KI22">
        <v>100.82299999999999</v>
      </c>
      <c r="KJ22">
        <v>99.828500000000005</v>
      </c>
    </row>
    <row r="23" spans="1:296" x14ac:dyDescent="0.3">
      <c r="A23">
        <v>7</v>
      </c>
      <c r="B23">
        <v>1782830621.0999999</v>
      </c>
      <c r="C23">
        <v>885.5</v>
      </c>
      <c r="D23" t="s">
        <v>1050</v>
      </c>
      <c r="E23" t="s">
        <v>1051</v>
      </c>
      <c r="F23">
        <v>15</v>
      </c>
      <c r="H23">
        <v>1782830613.349999</v>
      </c>
      <c r="I23">
        <f t="shared" si="0"/>
        <v>5.380926220753892E-3</v>
      </c>
      <c r="J23">
        <f t="shared" si="1"/>
        <v>5.3809262207538922</v>
      </c>
      <c r="K23">
        <f t="shared" si="2"/>
        <v>34.54792716698369</v>
      </c>
      <c r="L23">
        <f t="shared" si="3"/>
        <v>419.98630000000009</v>
      </c>
      <c r="M23">
        <f t="shared" si="4"/>
        <v>245.81703152147921</v>
      </c>
      <c r="N23">
        <f t="shared" si="5"/>
        <v>23.941744761382544</v>
      </c>
      <c r="O23">
        <f t="shared" si="6"/>
        <v>40.905240518286995</v>
      </c>
      <c r="P23">
        <f t="shared" si="7"/>
        <v>0.35320248926406222</v>
      </c>
      <c r="Q23">
        <f t="shared" si="8"/>
        <v>2.8822677621768098</v>
      </c>
      <c r="R23">
        <f t="shared" si="9"/>
        <v>0.33079820371375313</v>
      </c>
      <c r="S23">
        <f t="shared" si="10"/>
        <v>0.20864327436553348</v>
      </c>
      <c r="T23">
        <f t="shared" si="11"/>
        <v>128.27569433909511</v>
      </c>
      <c r="U23">
        <f t="shared" si="12"/>
        <v>31.626375210975855</v>
      </c>
      <c r="V23">
        <f t="shared" si="13"/>
        <v>31.661813333333331</v>
      </c>
      <c r="W23">
        <f t="shared" si="14"/>
        <v>4.6844387012202651</v>
      </c>
      <c r="X23">
        <f t="shared" si="15"/>
        <v>65.231467255091118</v>
      </c>
      <c r="Y23">
        <f t="shared" si="16"/>
        <v>3.1639706521140689</v>
      </c>
      <c r="Z23">
        <f t="shared" si="17"/>
        <v>4.8503748041435184</v>
      </c>
      <c r="AA23">
        <f t="shared" si="18"/>
        <v>1.5204680491061962</v>
      </c>
      <c r="AB23">
        <f t="shared" si="19"/>
        <v>-237.29884633524665</v>
      </c>
      <c r="AC23">
        <f t="shared" si="20"/>
        <v>95.543923504055527</v>
      </c>
      <c r="AD23">
        <f t="shared" si="21"/>
        <v>7.5153384654789255</v>
      </c>
      <c r="AE23">
        <f t="shared" si="22"/>
        <v>-5.9638900266170936</v>
      </c>
      <c r="AF23">
        <f t="shared" si="23"/>
        <v>34.54792716698369</v>
      </c>
      <c r="AG23">
        <f t="shared" si="24"/>
        <v>5.3809262207538922</v>
      </c>
      <c r="AH23">
        <f t="shared" si="25"/>
        <v>34.292812568411662</v>
      </c>
      <c r="AI23">
        <v>476.48523237185498</v>
      </c>
      <c r="AJ23">
        <v>434.11099393939378</v>
      </c>
      <c r="AK23">
        <v>2.0954558543268359E-2</v>
      </c>
      <c r="AL23">
        <v>67.089194248696387</v>
      </c>
      <c r="AM23">
        <f t="shared" si="26"/>
        <v>5.3237644519944913</v>
      </c>
      <c r="AN23">
        <v>26.20718378337121</v>
      </c>
      <c r="AO23">
        <v>32.427374545454533</v>
      </c>
      <c r="AP23">
        <v>-6.3199813245421194E-3</v>
      </c>
      <c r="AQ23">
        <v>78.240650869497202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50575.661505852637</v>
      </c>
      <c r="AW23" t="s">
        <v>1027</v>
      </c>
      <c r="AX23">
        <v>4100.0200000000004</v>
      </c>
      <c r="AY23">
        <v>703.65588235294126</v>
      </c>
      <c r="AZ23">
        <v>2894.78</v>
      </c>
      <c r="BA23">
        <f t="shared" si="30"/>
        <v>0.75692250106987702</v>
      </c>
      <c r="BB23">
        <v>-1.8770886535882509</v>
      </c>
      <c r="BC23" t="s">
        <v>1052</v>
      </c>
      <c r="BD23">
        <v>5104.24</v>
      </c>
      <c r="BE23">
        <v>810.60011764705882</v>
      </c>
      <c r="BF23">
        <v>1408.13</v>
      </c>
      <c r="BG23">
        <f t="shared" si="31"/>
        <v>0.42434283933510486</v>
      </c>
      <c r="BH23">
        <v>0.5</v>
      </c>
      <c r="BI23">
        <f t="shared" si="32"/>
        <v>672.29913310833945</v>
      </c>
      <c r="BJ23">
        <f t="shared" si="33"/>
        <v>34.54792716698369</v>
      </c>
      <c r="BK23">
        <f t="shared" si="34"/>
        <v>142.64266151286117</v>
      </c>
      <c r="BL23">
        <f t="shared" si="35"/>
        <v>5.4179775083396005E-2</v>
      </c>
      <c r="BM23">
        <f t="shared" si="36"/>
        <v>1.0557618969839433</v>
      </c>
      <c r="BN23">
        <f t="shared" si="37"/>
        <v>559.95383212889237</v>
      </c>
      <c r="BO23" t="s">
        <v>407</v>
      </c>
      <c r="BP23">
        <v>0</v>
      </c>
      <c r="BQ23">
        <f t="shared" si="38"/>
        <v>559.95383212889237</v>
      </c>
      <c r="BR23">
        <f t="shared" si="39"/>
        <v>0.6023422325148301</v>
      </c>
      <c r="BS23">
        <f t="shared" si="40"/>
        <v>0.70448794128785797</v>
      </c>
      <c r="BT23">
        <f t="shared" si="41"/>
        <v>0.63672834425850477</v>
      </c>
      <c r="BU23">
        <f t="shared" si="42"/>
        <v>0.8481928113252607</v>
      </c>
      <c r="BV23">
        <f t="shared" si="43"/>
        <v>0.67848735177833774</v>
      </c>
      <c r="BW23">
        <f t="shared" si="44"/>
        <v>0.48665268339436629</v>
      </c>
      <c r="BX23">
        <f t="shared" si="45"/>
        <v>0.51334731660563371</v>
      </c>
      <c r="DG23">
        <f t="shared" si="46"/>
        <v>799.98743333333334</v>
      </c>
      <c r="DH23">
        <f t="shared" si="47"/>
        <v>672.29913310833945</v>
      </c>
      <c r="DI23">
        <f t="shared" si="48"/>
        <v>0.8403871174663945</v>
      </c>
      <c r="DJ23">
        <f t="shared" si="49"/>
        <v>0.16034713671014136</v>
      </c>
      <c r="DK23">
        <v>6</v>
      </c>
      <c r="DL23">
        <v>0.5</v>
      </c>
      <c r="DM23" t="s">
        <v>408</v>
      </c>
      <c r="DN23">
        <v>2</v>
      </c>
      <c r="DO23" t="b">
        <v>0</v>
      </c>
      <c r="DP23">
        <v>1782830613.349999</v>
      </c>
      <c r="DQ23">
        <v>419.98630000000009</v>
      </c>
      <c r="DR23">
        <v>464.16226666666671</v>
      </c>
      <c r="DS23">
        <v>32.485429999999987</v>
      </c>
      <c r="DT23">
        <v>26.237153333333339</v>
      </c>
      <c r="DU23">
        <v>424.40453333333329</v>
      </c>
      <c r="DV23">
        <v>32.000276666666672</v>
      </c>
      <c r="DW23">
        <v>499.92579999999992</v>
      </c>
      <c r="DX23">
        <v>97.348453333333339</v>
      </c>
      <c r="DY23">
        <v>4.8153456666666677E-2</v>
      </c>
      <c r="DZ23">
        <v>32.276683333333331</v>
      </c>
      <c r="EA23">
        <v>31.661813333333331</v>
      </c>
      <c r="EB23">
        <v>999.9000000000002</v>
      </c>
      <c r="EC23">
        <v>0</v>
      </c>
      <c r="ED23">
        <v>0</v>
      </c>
      <c r="EE23">
        <v>9998</v>
      </c>
      <c r="EF23">
        <v>0</v>
      </c>
      <c r="EG23">
        <v>323.59526666666682</v>
      </c>
      <c r="EH23">
        <v>-44.175939999999997</v>
      </c>
      <c r="EI23">
        <v>434.08780000000007</v>
      </c>
      <c r="EJ23">
        <v>476.6687</v>
      </c>
      <c r="EK23">
        <v>6.2482719999999992</v>
      </c>
      <c r="EL23">
        <v>464.16226666666671</v>
      </c>
      <c r="EM23">
        <v>26.237153333333339</v>
      </c>
      <c r="EN23">
        <v>3.1624059999999989</v>
      </c>
      <c r="EO23">
        <v>2.554146666666667</v>
      </c>
      <c r="EP23">
        <v>24.908656666666669</v>
      </c>
      <c r="EQ23">
        <v>21.375679999999999</v>
      </c>
      <c r="ER23">
        <v>799.98743333333334</v>
      </c>
      <c r="ES23">
        <v>0.98701713333333341</v>
      </c>
      <c r="ET23">
        <v>1.2983043333333329E-2</v>
      </c>
      <c r="EU23">
        <v>0</v>
      </c>
      <c r="EV23">
        <v>810.47763333333342</v>
      </c>
      <c r="EW23">
        <v>5.0010700000000003</v>
      </c>
      <c r="EX23">
        <v>8167.6459999999997</v>
      </c>
      <c r="EY23">
        <v>7246.5536666666658</v>
      </c>
      <c r="EZ23">
        <v>38.875</v>
      </c>
      <c r="FA23">
        <v>41.478999999999992</v>
      </c>
      <c r="FB23">
        <v>40.258266666666671</v>
      </c>
      <c r="FC23">
        <v>41.186999999999983</v>
      </c>
      <c r="FD23">
        <v>41.186999999999983</v>
      </c>
      <c r="FE23">
        <v>784.66566666666665</v>
      </c>
      <c r="FF23">
        <v>10.323</v>
      </c>
      <c r="FG23">
        <v>0</v>
      </c>
      <c r="FH23">
        <v>128.20000004768369</v>
      </c>
      <c r="FI23">
        <v>0</v>
      </c>
      <c r="FJ23">
        <v>810.60011764705882</v>
      </c>
      <c r="FK23">
        <v>0.18259804830309229</v>
      </c>
      <c r="FL23">
        <v>-44.235293758661548</v>
      </c>
      <c r="FM23">
        <v>8163.9658823529417</v>
      </c>
      <c r="FN23">
        <v>10</v>
      </c>
      <c r="FO23">
        <v>1782830568.0999999</v>
      </c>
      <c r="FP23" t="s">
        <v>1053</v>
      </c>
      <c r="FQ23">
        <v>1782830559.0999999</v>
      </c>
      <c r="FR23">
        <v>1782830568.0999999</v>
      </c>
      <c r="FS23">
        <v>7</v>
      </c>
      <c r="FT23">
        <v>-2.3E-2</v>
      </c>
      <c r="FU23">
        <v>-4.0000000000000001E-3</v>
      </c>
      <c r="FV23">
        <v>-4.5659999999999998</v>
      </c>
      <c r="FW23">
        <v>0.29499999999999998</v>
      </c>
      <c r="FX23">
        <v>465</v>
      </c>
      <c r="FY23">
        <v>26</v>
      </c>
      <c r="FZ23">
        <v>0.17</v>
      </c>
      <c r="GA23">
        <v>0.06</v>
      </c>
      <c r="GB23">
        <v>-44.152277499999997</v>
      </c>
      <c r="GC23">
        <v>0.17175422138842161</v>
      </c>
      <c r="GD23">
        <v>0.20243946439306251</v>
      </c>
      <c r="GE23">
        <v>1</v>
      </c>
      <c r="GF23">
        <v>810.38476470588228</v>
      </c>
      <c r="GG23">
        <v>1.6361497335247721</v>
      </c>
      <c r="GH23">
        <v>0.35861228111441418</v>
      </c>
      <c r="GI23">
        <v>1</v>
      </c>
      <c r="GJ23">
        <v>6.2241657499999992</v>
      </c>
      <c r="GK23">
        <v>0.32693572232645318</v>
      </c>
      <c r="GL23">
        <v>5.3295081522008202E-2</v>
      </c>
      <c r="GM23">
        <v>1</v>
      </c>
      <c r="GN23">
        <v>3</v>
      </c>
      <c r="GO23">
        <v>3</v>
      </c>
      <c r="GP23" t="s">
        <v>599</v>
      </c>
      <c r="GQ23">
        <v>3.1333000000000002</v>
      </c>
      <c r="GR23">
        <v>2.7231700000000001</v>
      </c>
      <c r="GS23">
        <v>9.1361200000000004E-2</v>
      </c>
      <c r="GT23">
        <v>9.8418800000000001E-2</v>
      </c>
      <c r="GU23">
        <v>0.13666500000000001</v>
      </c>
      <c r="GV23">
        <v>0.119421</v>
      </c>
      <c r="GW23">
        <v>22892.6</v>
      </c>
      <c r="GX23">
        <v>30533.5</v>
      </c>
      <c r="GY23">
        <v>27320.799999999999</v>
      </c>
      <c r="GZ23">
        <v>34812.300000000003</v>
      </c>
      <c r="HA23">
        <v>34506.699999999997</v>
      </c>
      <c r="HB23">
        <v>39110.9</v>
      </c>
      <c r="HC23">
        <v>40316.300000000003</v>
      </c>
      <c r="HD23">
        <v>44502.2</v>
      </c>
      <c r="HE23">
        <v>1.9874000000000001</v>
      </c>
      <c r="HF23">
        <v>1.8033999999999999</v>
      </c>
      <c r="HG23">
        <v>2.9563900000000001E-2</v>
      </c>
      <c r="HH23">
        <v>0</v>
      </c>
      <c r="HI23">
        <v>31.1693</v>
      </c>
      <c r="HJ23">
        <v>999.9</v>
      </c>
      <c r="HK23">
        <v>72.5</v>
      </c>
      <c r="HL23">
        <v>31.8</v>
      </c>
      <c r="HM23">
        <v>35.161099999999998</v>
      </c>
      <c r="HN23">
        <v>60.47</v>
      </c>
      <c r="HO23">
        <v>5.9134599999999997</v>
      </c>
      <c r="HP23">
        <v>1</v>
      </c>
      <c r="HQ23">
        <v>0.37666699999999997</v>
      </c>
      <c r="HR23">
        <v>0</v>
      </c>
      <c r="HS23">
        <v>20.290099999999999</v>
      </c>
      <c r="HT23">
        <v>5.2112999999999996</v>
      </c>
      <c r="HU23">
        <v>11.902100000000001</v>
      </c>
      <c r="HV23">
        <v>4.9843999999999999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1.86273</v>
      </c>
      <c r="ID23">
        <v>1.8621799999999999</v>
      </c>
      <c r="IE23">
        <v>1.8616600000000001</v>
      </c>
      <c r="IF23">
        <v>1.86172</v>
      </c>
      <c r="IG23">
        <v>1.86246</v>
      </c>
      <c r="IH23">
        <v>1.86331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411</v>
      </c>
      <c r="IO23" t="s">
        <v>412</v>
      </c>
      <c r="IP23" t="s">
        <v>413</v>
      </c>
      <c r="IQ23" t="s">
        <v>414</v>
      </c>
      <c r="IR23" t="s">
        <v>414</v>
      </c>
      <c r="IS23" t="s">
        <v>413</v>
      </c>
      <c r="IT23">
        <v>0</v>
      </c>
      <c r="IU23">
        <v>100</v>
      </c>
      <c r="IV23">
        <v>100</v>
      </c>
      <c r="IW23">
        <v>-4.4180000000000001</v>
      </c>
      <c r="IX23">
        <v>0.48309999999999997</v>
      </c>
      <c r="IY23">
        <v>-2.792691152548159</v>
      </c>
      <c r="IZ23">
        <v>-4.3200172963836943E-3</v>
      </c>
      <c r="JA23">
        <v>1.144643420078806E-6</v>
      </c>
      <c r="JB23">
        <v>2.2629164031131329E-11</v>
      </c>
      <c r="JC23">
        <v>-0.1237318286047743</v>
      </c>
      <c r="JD23">
        <v>-2.723765763251367E-3</v>
      </c>
      <c r="JE23">
        <v>9.3351533439868235E-4</v>
      </c>
      <c r="JF23">
        <v>-7.9310479777716621E-6</v>
      </c>
      <c r="JG23">
        <v>18</v>
      </c>
      <c r="JH23">
        <v>1822</v>
      </c>
      <c r="JI23">
        <v>1</v>
      </c>
      <c r="JJ23">
        <v>38</v>
      </c>
      <c r="JK23">
        <v>1</v>
      </c>
      <c r="JL23">
        <v>0.9</v>
      </c>
      <c r="JM23">
        <v>1.16211</v>
      </c>
      <c r="JN23">
        <v>2.4877899999999999</v>
      </c>
      <c r="JO23">
        <v>1.50024</v>
      </c>
      <c r="JP23">
        <v>2.2814899999999998</v>
      </c>
      <c r="JQ23">
        <v>1.4477500000000001</v>
      </c>
      <c r="JR23">
        <v>2.3168899999999999</v>
      </c>
      <c r="JS23">
        <v>36.528700000000001</v>
      </c>
      <c r="JT23">
        <v>15.9445</v>
      </c>
      <c r="JU23">
        <v>18</v>
      </c>
      <c r="JV23">
        <v>541.88599999999997</v>
      </c>
      <c r="JW23">
        <v>437.50799999999998</v>
      </c>
      <c r="JX23">
        <v>31.765999999999998</v>
      </c>
      <c r="JY23">
        <v>32.011099999999999</v>
      </c>
      <c r="JZ23">
        <v>30.000399999999999</v>
      </c>
      <c r="KA23">
        <v>31.9329</v>
      </c>
      <c r="KB23">
        <v>31.892499999999998</v>
      </c>
      <c r="KC23">
        <v>23.243600000000001</v>
      </c>
      <c r="KD23">
        <v>38.731400000000001</v>
      </c>
      <c r="KE23">
        <v>89.506500000000003</v>
      </c>
      <c r="KF23">
        <v>-999.9</v>
      </c>
      <c r="KG23">
        <v>464.11099999999999</v>
      </c>
      <c r="KH23">
        <v>26.2986</v>
      </c>
      <c r="KI23">
        <v>100.79</v>
      </c>
      <c r="KJ23">
        <v>99.794499999999999</v>
      </c>
    </row>
    <row r="24" spans="1:296" x14ac:dyDescent="0.3">
      <c r="A24">
        <v>8</v>
      </c>
      <c r="B24">
        <v>1782830768.0999999</v>
      </c>
      <c r="C24">
        <v>1032.5</v>
      </c>
      <c r="D24" t="s">
        <v>1054</v>
      </c>
      <c r="E24" t="s">
        <v>1055</v>
      </c>
      <c r="F24">
        <v>15</v>
      </c>
      <c r="H24">
        <v>1782830760.349999</v>
      </c>
      <c r="I24">
        <f t="shared" si="0"/>
        <v>4.7878385823553428E-3</v>
      </c>
      <c r="J24">
        <f t="shared" si="1"/>
        <v>4.7878385823553424</v>
      </c>
      <c r="K24">
        <f t="shared" si="2"/>
        <v>29.421025453662271</v>
      </c>
      <c r="L24">
        <f t="shared" si="3"/>
        <v>419.95773333333341</v>
      </c>
      <c r="M24">
        <f t="shared" si="4"/>
        <v>256.07497416661602</v>
      </c>
      <c r="N24">
        <f t="shared" si="5"/>
        <v>24.93972643519675</v>
      </c>
      <c r="O24">
        <f t="shared" si="6"/>
        <v>40.900642547225019</v>
      </c>
      <c r="P24">
        <f t="shared" si="7"/>
        <v>0.31892734991477256</v>
      </c>
      <c r="Q24">
        <f t="shared" si="8"/>
        <v>2.8821024856276867</v>
      </c>
      <c r="R24">
        <f t="shared" si="9"/>
        <v>0.30053790922399404</v>
      </c>
      <c r="S24">
        <f t="shared" si="10"/>
        <v>0.18939999150268871</v>
      </c>
      <c r="T24">
        <f t="shared" si="11"/>
        <v>96.342771659793684</v>
      </c>
      <c r="U24">
        <f t="shared" si="12"/>
        <v>31.436705650091728</v>
      </c>
      <c r="V24">
        <f t="shared" si="13"/>
        <v>31.449823333333331</v>
      </c>
      <c r="W24">
        <f t="shared" si="14"/>
        <v>4.6283859442536297</v>
      </c>
      <c r="X24">
        <f t="shared" si="15"/>
        <v>65.280344601877189</v>
      </c>
      <c r="Y24">
        <f t="shared" si="16"/>
        <v>3.1387078628496337</v>
      </c>
      <c r="Z24">
        <f t="shared" si="17"/>
        <v>4.8080442620080435</v>
      </c>
      <c r="AA24">
        <f t="shared" si="18"/>
        <v>1.489678081403996</v>
      </c>
      <c r="AB24">
        <f t="shared" si="19"/>
        <v>-211.14368148187063</v>
      </c>
      <c r="AC24">
        <f t="shared" si="20"/>
        <v>104.37904367371955</v>
      </c>
      <c r="AD24">
        <f t="shared" si="21"/>
        <v>8.195952216820249</v>
      </c>
      <c r="AE24">
        <f t="shared" si="22"/>
        <v>-2.2259139315371499</v>
      </c>
      <c r="AF24">
        <f t="shared" si="23"/>
        <v>29.421025453662271</v>
      </c>
      <c r="AG24">
        <f t="shared" si="24"/>
        <v>4.7878385823553424</v>
      </c>
      <c r="AH24">
        <f t="shared" si="25"/>
        <v>29.336295158834762</v>
      </c>
      <c r="AI24">
        <v>470.27033770917012</v>
      </c>
      <c r="AJ24">
        <v>434.06647878787862</v>
      </c>
      <c r="AK24">
        <v>7.010402583844679E-3</v>
      </c>
      <c r="AL24">
        <v>67.095559768709208</v>
      </c>
      <c r="AM24">
        <f t="shared" si="26"/>
        <v>4.791961896144171</v>
      </c>
      <c r="AN24">
        <v>26.675446575603122</v>
      </c>
      <c r="AO24">
        <v>32.243565454545447</v>
      </c>
      <c r="AP24">
        <v>-5.3633891476254374E-4</v>
      </c>
      <c r="AQ24">
        <v>78.256052993072217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50596.661772853186</v>
      </c>
      <c r="AW24" t="s">
        <v>1027</v>
      </c>
      <c r="AX24">
        <v>4100.0200000000004</v>
      </c>
      <c r="AY24">
        <v>703.65588235294126</v>
      </c>
      <c r="AZ24">
        <v>2894.78</v>
      </c>
      <c r="BA24">
        <f t="shared" si="30"/>
        <v>0.75692250106987702</v>
      </c>
      <c r="BB24">
        <v>-1.8770886535882509</v>
      </c>
      <c r="BC24" t="s">
        <v>1056</v>
      </c>
      <c r="BD24">
        <v>5106</v>
      </c>
      <c r="BE24">
        <v>806.44529411764699</v>
      </c>
      <c r="BF24">
        <v>1599.21</v>
      </c>
      <c r="BG24">
        <f t="shared" si="31"/>
        <v>0.49572270426169984</v>
      </c>
      <c r="BH24">
        <v>0.5</v>
      </c>
      <c r="BI24">
        <f t="shared" si="32"/>
        <v>504.28605080818318</v>
      </c>
      <c r="BJ24">
        <f t="shared" si="33"/>
        <v>29.421025453662271</v>
      </c>
      <c r="BK24">
        <f t="shared" si="34"/>
        <v>124.99302241404277</v>
      </c>
      <c r="BL24">
        <f t="shared" si="35"/>
        <v>6.2064207520892707E-2</v>
      </c>
      <c r="BM24">
        <f t="shared" si="36"/>
        <v>0.81013125230582606</v>
      </c>
      <c r="BN24">
        <f t="shared" si="37"/>
        <v>587.88651861267886</v>
      </c>
      <c r="BO24" t="s">
        <v>407</v>
      </c>
      <c r="BP24">
        <v>0</v>
      </c>
      <c r="BQ24">
        <f t="shared" si="38"/>
        <v>587.88651861267886</v>
      </c>
      <c r="BR24">
        <f t="shared" si="39"/>
        <v>0.63238941814228355</v>
      </c>
      <c r="BS24">
        <f t="shared" si="40"/>
        <v>0.7838883606211221</v>
      </c>
      <c r="BT24">
        <f t="shared" si="41"/>
        <v>0.56160807183037742</v>
      </c>
      <c r="BU24">
        <f t="shared" si="42"/>
        <v>0.88522255691842466</v>
      </c>
      <c r="BV24">
        <f t="shared" si="43"/>
        <v>0.59128097288767445</v>
      </c>
      <c r="BW24">
        <f t="shared" si="44"/>
        <v>0.57144285256294536</v>
      </c>
      <c r="BX24">
        <f t="shared" si="45"/>
        <v>0.42855714743705464</v>
      </c>
      <c r="DG24">
        <f t="shared" si="46"/>
        <v>599.97899999999993</v>
      </c>
      <c r="DH24">
        <f t="shared" si="47"/>
        <v>504.28605080818318</v>
      </c>
      <c r="DI24">
        <f t="shared" si="48"/>
        <v>0.84050616906288922</v>
      </c>
      <c r="DJ24">
        <f t="shared" si="49"/>
        <v>0.16057690629137636</v>
      </c>
      <c r="DK24">
        <v>6</v>
      </c>
      <c r="DL24">
        <v>0.5</v>
      </c>
      <c r="DM24" t="s">
        <v>408</v>
      </c>
      <c r="DN24">
        <v>2</v>
      </c>
      <c r="DO24" t="b">
        <v>0</v>
      </c>
      <c r="DP24">
        <v>1782830760.349999</v>
      </c>
      <c r="DQ24">
        <v>419.95773333333341</v>
      </c>
      <c r="DR24">
        <v>457.67550000000011</v>
      </c>
      <c r="DS24">
        <v>32.22748</v>
      </c>
      <c r="DT24">
        <v>26.66727666666667</v>
      </c>
      <c r="DU24">
        <v>424.40503333333339</v>
      </c>
      <c r="DV24">
        <v>31.758959999999998</v>
      </c>
      <c r="DW24">
        <v>500.00386666666662</v>
      </c>
      <c r="DX24">
        <v>97.344066666666677</v>
      </c>
      <c r="DY24">
        <v>4.8216653333333331E-2</v>
      </c>
      <c r="DZ24">
        <v>32.121589999999998</v>
      </c>
      <c r="EA24">
        <v>31.449823333333331</v>
      </c>
      <c r="EB24">
        <v>999.9000000000002</v>
      </c>
      <c r="EC24">
        <v>0</v>
      </c>
      <c r="ED24">
        <v>0</v>
      </c>
      <c r="EE24">
        <v>9997.5</v>
      </c>
      <c r="EF24">
        <v>0</v>
      </c>
      <c r="EG24">
        <v>238.68600000000001</v>
      </c>
      <c r="EH24">
        <v>-37.717739999999999</v>
      </c>
      <c r="EI24">
        <v>433.9425333333333</v>
      </c>
      <c r="EJ24">
        <v>470.21480000000003</v>
      </c>
      <c r="EK24">
        <v>5.5602066666666676</v>
      </c>
      <c r="EL24">
        <v>457.67550000000011</v>
      </c>
      <c r="EM24">
        <v>26.66727666666667</v>
      </c>
      <c r="EN24">
        <v>3.1371540000000002</v>
      </c>
      <c r="EO24">
        <v>2.5959013333333329</v>
      </c>
      <c r="EP24">
        <v>24.77436333333333</v>
      </c>
      <c r="EQ24">
        <v>21.640603333333331</v>
      </c>
      <c r="ER24">
        <v>599.97899999999993</v>
      </c>
      <c r="ES24">
        <v>0.98298326666666658</v>
      </c>
      <c r="ET24">
        <v>1.7016813333333328E-2</v>
      </c>
      <c r="EU24">
        <v>0</v>
      </c>
      <c r="EV24">
        <v>806.49809999999991</v>
      </c>
      <c r="EW24">
        <v>5.0010700000000003</v>
      </c>
      <c r="EX24">
        <v>6196.5033333333331</v>
      </c>
      <c r="EY24">
        <v>5414.8836666666657</v>
      </c>
      <c r="EZ24">
        <v>38.3874</v>
      </c>
      <c r="FA24">
        <v>41.125</v>
      </c>
      <c r="FB24">
        <v>39.957999999999977</v>
      </c>
      <c r="FC24">
        <v>40.92046666666667</v>
      </c>
      <c r="FD24">
        <v>40.811999999999983</v>
      </c>
      <c r="FE24">
        <v>584.85333333333324</v>
      </c>
      <c r="FF24">
        <v>10.122999999999999</v>
      </c>
      <c r="FG24">
        <v>0</v>
      </c>
      <c r="FH24">
        <v>146.5999999046326</v>
      </c>
      <c r="FI24">
        <v>0</v>
      </c>
      <c r="FJ24">
        <v>806.44529411764699</v>
      </c>
      <c r="FK24">
        <v>2.1595587845096711</v>
      </c>
      <c r="FL24">
        <v>-35.227941054330437</v>
      </c>
      <c r="FM24">
        <v>6192.8523529411759</v>
      </c>
      <c r="FN24">
        <v>10</v>
      </c>
      <c r="FO24">
        <v>1782830713.0999999</v>
      </c>
      <c r="FP24" t="s">
        <v>1057</v>
      </c>
      <c r="FQ24">
        <v>1782830709.5999999</v>
      </c>
      <c r="FR24">
        <v>1782830713.0999999</v>
      </c>
      <c r="FS24">
        <v>8</v>
      </c>
      <c r="FT24">
        <v>-2.9000000000000001E-2</v>
      </c>
      <c r="FU24">
        <v>-8.9999999999999993E-3</v>
      </c>
      <c r="FV24">
        <v>-4.5730000000000004</v>
      </c>
      <c r="FW24">
        <v>0.29399999999999998</v>
      </c>
      <c r="FX24">
        <v>458</v>
      </c>
      <c r="FY24">
        <v>26</v>
      </c>
      <c r="FZ24">
        <v>0.2</v>
      </c>
      <c r="GA24">
        <v>0.05</v>
      </c>
      <c r="GB24">
        <v>-37.679299999999998</v>
      </c>
      <c r="GC24">
        <v>-0.20109343339579869</v>
      </c>
      <c r="GD24">
        <v>0.13451241950095191</v>
      </c>
      <c r="GE24">
        <v>1</v>
      </c>
      <c r="GF24">
        <v>806.44641176470577</v>
      </c>
      <c r="GG24">
        <v>-0.15724981058727719</v>
      </c>
      <c r="GH24">
        <v>0.24882501737839871</v>
      </c>
      <c r="GI24">
        <v>1</v>
      </c>
      <c r="GJ24">
        <v>5.5910972499999998</v>
      </c>
      <c r="GK24">
        <v>-0.40387305816135582</v>
      </c>
      <c r="GL24">
        <v>5.9353028987049153E-2</v>
      </c>
      <c r="GM24">
        <v>1</v>
      </c>
      <c r="GN24">
        <v>3</v>
      </c>
      <c r="GO24">
        <v>3</v>
      </c>
      <c r="GP24" t="s">
        <v>599</v>
      </c>
      <c r="GQ24">
        <v>3.1330800000000001</v>
      </c>
      <c r="GR24">
        <v>2.7253699999999998</v>
      </c>
      <c r="GS24">
        <v>9.1344099999999998E-2</v>
      </c>
      <c r="GT24">
        <v>9.7357600000000002E-2</v>
      </c>
      <c r="GU24">
        <v>0.13613500000000001</v>
      </c>
      <c r="GV24">
        <v>0.12085700000000001</v>
      </c>
      <c r="GW24">
        <v>22888.7</v>
      </c>
      <c r="GX24">
        <v>30564.9</v>
      </c>
      <c r="GY24">
        <v>27316.1</v>
      </c>
      <c r="GZ24">
        <v>34807.800000000003</v>
      </c>
      <c r="HA24">
        <v>34524</v>
      </c>
      <c r="HB24">
        <v>39043.599999999999</v>
      </c>
      <c r="HC24">
        <v>40310.6</v>
      </c>
      <c r="HD24">
        <v>44498.2</v>
      </c>
      <c r="HE24">
        <v>1.9856</v>
      </c>
      <c r="HF24">
        <v>1.8016000000000001</v>
      </c>
      <c r="HG24">
        <v>3.5435000000000001E-2</v>
      </c>
      <c r="HH24">
        <v>0</v>
      </c>
      <c r="HI24">
        <v>30.8658</v>
      </c>
      <c r="HJ24">
        <v>999.9</v>
      </c>
      <c r="HK24">
        <v>72</v>
      </c>
      <c r="HL24">
        <v>32</v>
      </c>
      <c r="HM24">
        <v>35.319600000000001</v>
      </c>
      <c r="HN24">
        <v>60.41</v>
      </c>
      <c r="HO24">
        <v>5.81731</v>
      </c>
      <c r="HP24">
        <v>1</v>
      </c>
      <c r="HQ24">
        <v>0.38516299999999998</v>
      </c>
      <c r="HR24">
        <v>0</v>
      </c>
      <c r="HS24">
        <v>20.292200000000001</v>
      </c>
      <c r="HT24">
        <v>5.2100999999999997</v>
      </c>
      <c r="HU24">
        <v>11.902100000000001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1.8621799999999999</v>
      </c>
      <c r="IE24">
        <v>1.8616900000000001</v>
      </c>
      <c r="IF24">
        <v>1.86172</v>
      </c>
      <c r="IG24">
        <v>1.86246</v>
      </c>
      <c r="IH24">
        <v>1.8632500000000001</v>
      </c>
      <c r="II24">
        <v>1.8613599999999999</v>
      </c>
      <c r="IJ24">
        <v>0</v>
      </c>
      <c r="IK24">
        <v>0</v>
      </c>
      <c r="IL24">
        <v>0</v>
      </c>
      <c r="IM24">
        <v>4.5</v>
      </c>
      <c r="IN24" t="s">
        <v>411</v>
      </c>
      <c r="IO24" t="s">
        <v>412</v>
      </c>
      <c r="IP24" t="s">
        <v>413</v>
      </c>
      <c r="IQ24" t="s">
        <v>414</v>
      </c>
      <c r="IR24" t="s">
        <v>414</v>
      </c>
      <c r="IS24" t="s">
        <v>413</v>
      </c>
      <c r="IT24">
        <v>0</v>
      </c>
      <c r="IU24">
        <v>100</v>
      </c>
      <c r="IV24">
        <v>100</v>
      </c>
      <c r="IW24">
        <v>-4.4470000000000001</v>
      </c>
      <c r="IX24">
        <v>0.46889999999999998</v>
      </c>
      <c r="IY24">
        <v>-2.8217350233478431</v>
      </c>
      <c r="IZ24">
        <v>-4.3200172963836943E-3</v>
      </c>
      <c r="JA24">
        <v>1.144643420078806E-6</v>
      </c>
      <c r="JB24">
        <v>2.2629164031131329E-11</v>
      </c>
      <c r="JC24">
        <v>-0.13248862897067509</v>
      </c>
      <c r="JD24">
        <v>-2.723765763251367E-3</v>
      </c>
      <c r="JE24">
        <v>9.3351533439868235E-4</v>
      </c>
      <c r="JF24">
        <v>-7.9310479777716621E-6</v>
      </c>
      <c r="JG24">
        <v>18</v>
      </c>
      <c r="JH24">
        <v>1822</v>
      </c>
      <c r="JI24">
        <v>1</v>
      </c>
      <c r="JJ24">
        <v>38</v>
      </c>
      <c r="JK24">
        <v>1</v>
      </c>
      <c r="JL24">
        <v>0.9</v>
      </c>
      <c r="JM24">
        <v>1.1498999999999999</v>
      </c>
      <c r="JN24">
        <v>2.4902299999999999</v>
      </c>
      <c r="JO24">
        <v>1.50024</v>
      </c>
      <c r="JP24">
        <v>2.2814899999999998</v>
      </c>
      <c r="JQ24">
        <v>1.4477500000000001</v>
      </c>
      <c r="JR24">
        <v>2.32666</v>
      </c>
      <c r="JS24">
        <v>36.718000000000004</v>
      </c>
      <c r="JT24">
        <v>15.9358</v>
      </c>
      <c r="JU24">
        <v>18</v>
      </c>
      <c r="JV24">
        <v>541.60400000000004</v>
      </c>
      <c r="JW24">
        <v>437.125</v>
      </c>
      <c r="JX24">
        <v>31.793199999999999</v>
      </c>
      <c r="JY24">
        <v>32.114600000000003</v>
      </c>
      <c r="JZ24">
        <v>30.000399999999999</v>
      </c>
      <c r="KA24">
        <v>32.039499999999997</v>
      </c>
      <c r="KB24">
        <v>31.995699999999999</v>
      </c>
      <c r="KC24">
        <v>22.994499999999999</v>
      </c>
      <c r="KD24">
        <v>37.831299999999999</v>
      </c>
      <c r="KE24">
        <v>86.465000000000003</v>
      </c>
      <c r="KF24">
        <v>-999.9</v>
      </c>
      <c r="KG24">
        <v>457.613</v>
      </c>
      <c r="KH24">
        <v>26.599599999999999</v>
      </c>
      <c r="KI24">
        <v>100.774</v>
      </c>
      <c r="KJ24">
        <v>99.783799999999999</v>
      </c>
    </row>
    <row r="25" spans="1:296" x14ac:dyDescent="0.3">
      <c r="A25">
        <v>9</v>
      </c>
      <c r="B25">
        <v>1782830940.5999999</v>
      </c>
      <c r="C25">
        <v>1205</v>
      </c>
      <c r="D25" t="s">
        <v>1058</v>
      </c>
      <c r="E25" t="s">
        <v>1059</v>
      </c>
      <c r="F25">
        <v>15</v>
      </c>
      <c r="H25">
        <v>1782830932.849999</v>
      </c>
      <c r="I25">
        <f t="shared" si="0"/>
        <v>4.3146424867246879E-3</v>
      </c>
      <c r="J25">
        <f t="shared" si="1"/>
        <v>4.3146424867246882</v>
      </c>
      <c r="K25">
        <f t="shared" si="2"/>
        <v>21.591864418782841</v>
      </c>
      <c r="L25">
        <f t="shared" si="3"/>
        <v>419.93803333333329</v>
      </c>
      <c r="M25">
        <f t="shared" si="4"/>
        <v>284.64557142708827</v>
      </c>
      <c r="N25">
        <f t="shared" si="5"/>
        <v>27.72155430802351</v>
      </c>
      <c r="O25">
        <f t="shared" si="6"/>
        <v>40.897650150290517</v>
      </c>
      <c r="P25">
        <f t="shared" si="7"/>
        <v>0.28617458087876052</v>
      </c>
      <c r="Q25">
        <f t="shared" si="8"/>
        <v>2.8854752190154613</v>
      </c>
      <c r="R25">
        <f t="shared" si="9"/>
        <v>0.27128996782678311</v>
      </c>
      <c r="S25">
        <f t="shared" si="10"/>
        <v>0.17082901198939962</v>
      </c>
      <c r="T25">
        <f t="shared" si="11"/>
        <v>64.413422577701127</v>
      </c>
      <c r="U25">
        <f t="shared" si="12"/>
        <v>31.230639639947075</v>
      </c>
      <c r="V25">
        <f t="shared" si="13"/>
        <v>31.338693333333332</v>
      </c>
      <c r="W25">
        <f t="shared" si="14"/>
        <v>4.5992358405805804</v>
      </c>
      <c r="X25">
        <f t="shared" si="15"/>
        <v>65.235264406677246</v>
      </c>
      <c r="Y25">
        <f t="shared" si="16"/>
        <v>3.1116504517456756</v>
      </c>
      <c r="Z25">
        <f t="shared" si="17"/>
        <v>4.7698901507436497</v>
      </c>
      <c r="AA25">
        <f t="shared" si="18"/>
        <v>1.4875853888349049</v>
      </c>
      <c r="AB25">
        <f t="shared" si="19"/>
        <v>-190.27573366455874</v>
      </c>
      <c r="AC25">
        <f t="shared" si="20"/>
        <v>99.883600563187741</v>
      </c>
      <c r="AD25">
        <f t="shared" si="21"/>
        <v>7.8240877108383318</v>
      </c>
      <c r="AE25">
        <f t="shared" si="22"/>
        <v>-18.154622812831548</v>
      </c>
      <c r="AF25">
        <f t="shared" si="23"/>
        <v>21.591864418782841</v>
      </c>
      <c r="AG25">
        <f t="shared" si="24"/>
        <v>4.3146424867246882</v>
      </c>
      <c r="AH25">
        <f t="shared" si="25"/>
        <v>21.242607313760296</v>
      </c>
      <c r="AI25">
        <v>460.45530399193581</v>
      </c>
      <c r="AJ25">
        <v>433.99861212121198</v>
      </c>
      <c r="AK25">
        <v>5.1379140650502093E-2</v>
      </c>
      <c r="AL25">
        <v>67.094046439227384</v>
      </c>
      <c r="AM25">
        <f t="shared" si="26"/>
        <v>4.3332428857655572</v>
      </c>
      <c r="AN25">
        <v>26.912180160793859</v>
      </c>
      <c r="AO25">
        <v>31.94216545454546</v>
      </c>
      <c r="AP25">
        <v>4.8544286608371629E-4</v>
      </c>
      <c r="AQ25">
        <v>78.25711350448077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50714.204832996642</v>
      </c>
      <c r="AW25" t="s">
        <v>1027</v>
      </c>
      <c r="AX25">
        <v>4100.0200000000004</v>
      </c>
      <c r="AY25">
        <v>703.65588235294126</v>
      </c>
      <c r="AZ25">
        <v>2894.78</v>
      </c>
      <c r="BA25">
        <f t="shared" si="30"/>
        <v>0.75692250106987702</v>
      </c>
      <c r="BB25">
        <v>-1.8770886535882509</v>
      </c>
      <c r="BC25" t="s">
        <v>1060</v>
      </c>
      <c r="BD25">
        <v>5106.8</v>
      </c>
      <c r="BE25">
        <v>803.57852941176463</v>
      </c>
      <c r="BF25">
        <v>1857.1</v>
      </c>
      <c r="BG25">
        <f t="shared" si="31"/>
        <v>0.5672938832525094</v>
      </c>
      <c r="BH25">
        <v>0.5</v>
      </c>
      <c r="BI25">
        <f t="shared" si="32"/>
        <v>336.3008714288606</v>
      </c>
      <c r="BJ25">
        <f t="shared" si="33"/>
        <v>21.591864418782841</v>
      </c>
      <c r="BK25">
        <f t="shared" si="34"/>
        <v>95.390713647040613</v>
      </c>
      <c r="BL25">
        <f t="shared" si="35"/>
        <v>6.9785585070467462E-2</v>
      </c>
      <c r="BM25">
        <f t="shared" si="36"/>
        <v>0.5587636637768566</v>
      </c>
      <c r="BN25">
        <f t="shared" si="37"/>
        <v>619.51198424699123</v>
      </c>
      <c r="BO25" t="s">
        <v>407</v>
      </c>
      <c r="BP25">
        <v>0</v>
      </c>
      <c r="BQ25">
        <f t="shared" si="38"/>
        <v>619.51198424699123</v>
      </c>
      <c r="BR25">
        <f t="shared" si="39"/>
        <v>0.66640892561144183</v>
      </c>
      <c r="BS25">
        <f t="shared" si="40"/>
        <v>0.85126993569602538</v>
      </c>
      <c r="BT25">
        <f t="shared" si="41"/>
        <v>0.45606934779355035</v>
      </c>
      <c r="BU25">
        <f t="shared" si="42"/>
        <v>0.91337018800472269</v>
      </c>
      <c r="BV25">
        <f t="shared" si="43"/>
        <v>0.47358339568381647</v>
      </c>
      <c r="BW25">
        <f t="shared" si="44"/>
        <v>0.65627926542400283</v>
      </c>
      <c r="BX25">
        <f t="shared" si="45"/>
        <v>0.34372073457599717</v>
      </c>
      <c r="DG25">
        <f t="shared" si="46"/>
        <v>400.00496666666658</v>
      </c>
      <c r="DH25">
        <f t="shared" si="47"/>
        <v>336.3008714288606</v>
      </c>
      <c r="DI25">
        <f t="shared" si="48"/>
        <v>0.8407417393622213</v>
      </c>
      <c r="DJ25">
        <f t="shared" si="49"/>
        <v>0.16103155696908714</v>
      </c>
      <c r="DK25">
        <v>6</v>
      </c>
      <c r="DL25">
        <v>0.5</v>
      </c>
      <c r="DM25" t="s">
        <v>408</v>
      </c>
      <c r="DN25">
        <v>2</v>
      </c>
      <c r="DO25" t="b">
        <v>0</v>
      </c>
      <c r="DP25">
        <v>1782830932.849999</v>
      </c>
      <c r="DQ25">
        <v>419.93803333333329</v>
      </c>
      <c r="DR25">
        <v>448.01753333333329</v>
      </c>
      <c r="DS25">
        <v>31.950500000000002</v>
      </c>
      <c r="DT25">
        <v>26.939246666666669</v>
      </c>
      <c r="DU25">
        <v>424.34190000000001</v>
      </c>
      <c r="DV25">
        <v>31.494006666666671</v>
      </c>
      <c r="DW25">
        <v>500.08896666666658</v>
      </c>
      <c r="DX25">
        <v>97.341563333333355</v>
      </c>
      <c r="DY25">
        <v>4.8163016666666669E-2</v>
      </c>
      <c r="DZ25">
        <v>31.98077666666666</v>
      </c>
      <c r="EA25">
        <v>31.338693333333332</v>
      </c>
      <c r="EB25">
        <v>999.9000000000002</v>
      </c>
      <c r="EC25">
        <v>0</v>
      </c>
      <c r="ED25">
        <v>0</v>
      </c>
      <c r="EE25">
        <v>10017.16666666667</v>
      </c>
      <c r="EF25">
        <v>0</v>
      </c>
      <c r="EG25">
        <v>209.05786666666671</v>
      </c>
      <c r="EH25">
        <v>-28.07949666666666</v>
      </c>
      <c r="EI25">
        <v>433.79790000000008</v>
      </c>
      <c r="EJ25">
        <v>460.42083333333329</v>
      </c>
      <c r="EK25">
        <v>5.0112596666666658</v>
      </c>
      <c r="EL25">
        <v>448.01753333333329</v>
      </c>
      <c r="EM25">
        <v>26.939246666666669</v>
      </c>
      <c r="EN25">
        <v>3.110112</v>
      </c>
      <c r="EO25">
        <v>2.622307666666666</v>
      </c>
      <c r="EP25">
        <v>24.62947333333333</v>
      </c>
      <c r="EQ25">
        <v>21.806180000000001</v>
      </c>
      <c r="ER25">
        <v>400.00496666666658</v>
      </c>
      <c r="ES25">
        <v>0.97496329999999987</v>
      </c>
      <c r="ET25">
        <v>2.5037050000000002E-2</v>
      </c>
      <c r="EU25">
        <v>0</v>
      </c>
      <c r="EV25">
        <v>803.63630000000001</v>
      </c>
      <c r="EW25">
        <v>5.0010700000000003</v>
      </c>
      <c r="EX25">
        <v>4374.4400000000014</v>
      </c>
      <c r="EY25">
        <v>3583.6663333333331</v>
      </c>
      <c r="EZ25">
        <v>37.735299999999988</v>
      </c>
      <c r="FA25">
        <v>40.635333333333328</v>
      </c>
      <c r="FB25">
        <v>39.447499999999977</v>
      </c>
      <c r="FC25">
        <v>40.561999999999983</v>
      </c>
      <c r="FD25">
        <v>40.25</v>
      </c>
      <c r="FE25">
        <v>385.11466666666661</v>
      </c>
      <c r="FF25">
        <v>9.889999999999997</v>
      </c>
      <c r="FG25">
        <v>0</v>
      </c>
      <c r="FH25">
        <v>171.5999999046326</v>
      </c>
      <c r="FI25">
        <v>0</v>
      </c>
      <c r="FJ25">
        <v>803.57852941176463</v>
      </c>
      <c r="FK25">
        <v>-1.2999999773297559</v>
      </c>
      <c r="FL25">
        <v>9.0147059003348158</v>
      </c>
      <c r="FM25">
        <v>4372.876470588235</v>
      </c>
      <c r="FN25">
        <v>10</v>
      </c>
      <c r="FO25">
        <v>1782830885.5999999</v>
      </c>
      <c r="FP25" t="s">
        <v>1061</v>
      </c>
      <c r="FQ25">
        <v>1782830885.0999999</v>
      </c>
      <c r="FR25">
        <v>1782830885.5999999</v>
      </c>
      <c r="FS25">
        <v>9</v>
      </c>
      <c r="FT25">
        <v>4.2999999999999997E-2</v>
      </c>
      <c r="FU25">
        <v>-3.0000000000000001E-3</v>
      </c>
      <c r="FV25">
        <v>-4.4980000000000002</v>
      </c>
      <c r="FW25">
        <v>0.29899999999999999</v>
      </c>
      <c r="FX25">
        <v>448</v>
      </c>
      <c r="FY25">
        <v>27</v>
      </c>
      <c r="FZ25">
        <v>0.34</v>
      </c>
      <c r="GA25">
        <v>7.0000000000000007E-2</v>
      </c>
      <c r="GB25">
        <v>-28.011341463414631</v>
      </c>
      <c r="GC25">
        <v>-0.84239999999996418</v>
      </c>
      <c r="GD25">
        <v>0.1773893100081726</v>
      </c>
      <c r="GE25">
        <v>1</v>
      </c>
      <c r="GF25">
        <v>803.78923529411747</v>
      </c>
      <c r="GG25">
        <v>-2.4887394932686289</v>
      </c>
      <c r="GH25">
        <v>0.31556840023188798</v>
      </c>
      <c r="GI25">
        <v>1</v>
      </c>
      <c r="GJ25">
        <v>5.008138048780487</v>
      </c>
      <c r="GK25">
        <v>0.1283331010452986</v>
      </c>
      <c r="GL25">
        <v>5.6274582973805123E-2</v>
      </c>
      <c r="GM25">
        <v>1</v>
      </c>
      <c r="GN25">
        <v>3</v>
      </c>
      <c r="GO25">
        <v>3</v>
      </c>
      <c r="GP25" t="s">
        <v>599</v>
      </c>
      <c r="GQ25">
        <v>3.1328999999999998</v>
      </c>
      <c r="GR25">
        <v>2.7240899999999999</v>
      </c>
      <c r="GS25">
        <v>9.1332899999999995E-2</v>
      </c>
      <c r="GT25">
        <v>9.5850900000000003E-2</v>
      </c>
      <c r="GU25">
        <v>0.13524600000000001</v>
      </c>
      <c r="GV25">
        <v>0.12117700000000001</v>
      </c>
      <c r="GW25">
        <v>22888.5</v>
      </c>
      <c r="GX25">
        <v>30617.200000000001</v>
      </c>
      <c r="GY25">
        <v>27315.599999999999</v>
      </c>
      <c r="GZ25">
        <v>34809.300000000003</v>
      </c>
      <c r="HA25">
        <v>34559.300000000003</v>
      </c>
      <c r="HB25">
        <v>39032.6</v>
      </c>
      <c r="HC25">
        <v>40309.9</v>
      </c>
      <c r="HD25">
        <v>44502.1</v>
      </c>
      <c r="HE25">
        <v>1.9832000000000001</v>
      </c>
      <c r="HF25">
        <v>1.8009999999999999</v>
      </c>
      <c r="HG25">
        <v>3.7401900000000002E-2</v>
      </c>
      <c r="HH25">
        <v>0</v>
      </c>
      <c r="HI25">
        <v>30.720800000000001</v>
      </c>
      <c r="HJ25">
        <v>999.9</v>
      </c>
      <c r="HK25">
        <v>71.099999999999994</v>
      </c>
      <c r="HL25">
        <v>32.200000000000003</v>
      </c>
      <c r="HM25">
        <v>35.2729</v>
      </c>
      <c r="HN25">
        <v>60.19</v>
      </c>
      <c r="HO25">
        <v>5.5809300000000004</v>
      </c>
      <c r="HP25">
        <v>1</v>
      </c>
      <c r="HQ25">
        <v>0.38605699999999998</v>
      </c>
      <c r="HR25">
        <v>0</v>
      </c>
      <c r="HS25">
        <v>20.293700000000001</v>
      </c>
      <c r="HT25">
        <v>5.2100999999999997</v>
      </c>
      <c r="HU25">
        <v>11.902100000000001</v>
      </c>
      <c r="HV25">
        <v>4.9855999999999998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1.8672200000000001</v>
      </c>
      <c r="IC25">
        <v>1.8627899999999999</v>
      </c>
      <c r="ID25">
        <v>1.8621799999999999</v>
      </c>
      <c r="IE25">
        <v>1.8616900000000001</v>
      </c>
      <c r="IF25">
        <v>1.86172</v>
      </c>
      <c r="IG25">
        <v>1.86249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411</v>
      </c>
      <c r="IO25" t="s">
        <v>412</v>
      </c>
      <c r="IP25" t="s">
        <v>413</v>
      </c>
      <c r="IQ25" t="s">
        <v>414</v>
      </c>
      <c r="IR25" t="s">
        <v>414</v>
      </c>
      <c r="IS25" t="s">
        <v>413</v>
      </c>
      <c r="IT25">
        <v>0</v>
      </c>
      <c r="IU25">
        <v>100</v>
      </c>
      <c r="IV25">
        <v>100</v>
      </c>
      <c r="IW25">
        <v>-4.4050000000000002</v>
      </c>
      <c r="IX25">
        <v>0.45579999999999998</v>
      </c>
      <c r="IY25">
        <v>-2.7786476026395088</v>
      </c>
      <c r="IZ25">
        <v>-4.3200172963836943E-3</v>
      </c>
      <c r="JA25">
        <v>1.144643420078806E-6</v>
      </c>
      <c r="JB25">
        <v>2.2629164031131329E-11</v>
      </c>
      <c r="JC25">
        <v>-0.13590462224939459</v>
      </c>
      <c r="JD25">
        <v>-2.723765763251367E-3</v>
      </c>
      <c r="JE25">
        <v>9.3351533439868235E-4</v>
      </c>
      <c r="JF25">
        <v>-7.9310479777716621E-6</v>
      </c>
      <c r="JG25">
        <v>18</v>
      </c>
      <c r="JH25">
        <v>1822</v>
      </c>
      <c r="JI25">
        <v>1</v>
      </c>
      <c r="JJ25">
        <v>38</v>
      </c>
      <c r="JK25">
        <v>0.9</v>
      </c>
      <c r="JL25">
        <v>0.9</v>
      </c>
      <c r="JM25">
        <v>1.1315900000000001</v>
      </c>
      <c r="JN25">
        <v>2.49146</v>
      </c>
      <c r="JO25">
        <v>1.50024</v>
      </c>
      <c r="JP25">
        <v>2.2802699999999998</v>
      </c>
      <c r="JQ25">
        <v>1.4477500000000001</v>
      </c>
      <c r="JR25">
        <v>2.3754900000000001</v>
      </c>
      <c r="JS25">
        <v>36.860399999999998</v>
      </c>
      <c r="JT25">
        <v>15.927</v>
      </c>
      <c r="JU25">
        <v>18</v>
      </c>
      <c r="JV25">
        <v>540.40099999999995</v>
      </c>
      <c r="JW25">
        <v>437.05099999999999</v>
      </c>
      <c r="JX25">
        <v>31.739699999999999</v>
      </c>
      <c r="JY25">
        <v>32.1372</v>
      </c>
      <c r="JZ25">
        <v>30</v>
      </c>
      <c r="KA25">
        <v>32.084499999999998</v>
      </c>
      <c r="KB25">
        <v>32.037700000000001</v>
      </c>
      <c r="KC25">
        <v>22.616099999999999</v>
      </c>
      <c r="KD25">
        <v>37.367899999999999</v>
      </c>
      <c r="KE25">
        <v>83.220500000000001</v>
      </c>
      <c r="KF25">
        <v>-999.9</v>
      </c>
      <c r="KG25">
        <v>447.82600000000002</v>
      </c>
      <c r="KH25">
        <v>26.862200000000001</v>
      </c>
      <c r="KI25">
        <v>100.77200000000001</v>
      </c>
      <c r="KJ25">
        <v>99.790599999999998</v>
      </c>
    </row>
    <row r="26" spans="1:296" x14ac:dyDescent="0.3">
      <c r="A26">
        <v>10</v>
      </c>
      <c r="B26">
        <v>1782831075.5999999</v>
      </c>
      <c r="C26">
        <v>1340</v>
      </c>
      <c r="D26" t="s">
        <v>1062</v>
      </c>
      <c r="E26" t="s">
        <v>1063</v>
      </c>
      <c r="F26">
        <v>15</v>
      </c>
      <c r="H26">
        <v>1782831067.599999</v>
      </c>
      <c r="I26">
        <f t="shared" si="0"/>
        <v>4.0152190394544818E-3</v>
      </c>
      <c r="J26">
        <f t="shared" si="1"/>
        <v>4.0152190394544816</v>
      </c>
      <c r="K26">
        <f t="shared" si="2"/>
        <v>17.201366360335271</v>
      </c>
      <c r="L26">
        <f t="shared" si="3"/>
        <v>419.56309677419353</v>
      </c>
      <c r="M26">
        <f t="shared" si="4"/>
        <v>304.47571523632581</v>
      </c>
      <c r="N26">
        <f t="shared" si="5"/>
        <v>29.652320469507888</v>
      </c>
      <c r="O26">
        <f t="shared" si="6"/>
        <v>40.860465318461131</v>
      </c>
      <c r="P26">
        <f t="shared" si="7"/>
        <v>0.27091648573730848</v>
      </c>
      <c r="Q26">
        <f t="shared" si="8"/>
        <v>2.8797127370438385</v>
      </c>
      <c r="R26">
        <f t="shared" si="9"/>
        <v>0.25751157271698444</v>
      </c>
      <c r="S26">
        <f t="shared" si="10"/>
        <v>0.16209382230007094</v>
      </c>
      <c r="T26">
        <f t="shared" si="11"/>
        <v>48.443651794448222</v>
      </c>
      <c r="U26">
        <f t="shared" si="12"/>
        <v>31.011698018472224</v>
      </c>
      <c r="V26">
        <f t="shared" si="13"/>
        <v>31.155635483870959</v>
      </c>
      <c r="W26">
        <f t="shared" si="14"/>
        <v>4.5515671380196752</v>
      </c>
      <c r="X26">
        <f t="shared" si="15"/>
        <v>65.579152384603674</v>
      </c>
      <c r="Y26">
        <f t="shared" si="16"/>
        <v>3.0926499094855533</v>
      </c>
      <c r="Z26">
        <f t="shared" si="17"/>
        <v>4.7159040594913648</v>
      </c>
      <c r="AA26">
        <f t="shared" si="18"/>
        <v>1.4589172285341219</v>
      </c>
      <c r="AB26">
        <f t="shared" si="19"/>
        <v>-177.07115963994264</v>
      </c>
      <c r="AC26">
        <f t="shared" si="20"/>
        <v>96.909723055881813</v>
      </c>
      <c r="AD26">
        <f t="shared" si="21"/>
        <v>7.5919564524970831</v>
      </c>
      <c r="AE26">
        <f t="shared" si="22"/>
        <v>-24.125828337115522</v>
      </c>
      <c r="AF26">
        <f t="shared" si="23"/>
        <v>17.201366360335271</v>
      </c>
      <c r="AG26">
        <f t="shared" si="24"/>
        <v>4.0152190394544816</v>
      </c>
      <c r="AH26">
        <f t="shared" si="25"/>
        <v>16.468596081909183</v>
      </c>
      <c r="AI26">
        <v>454.02654191676089</v>
      </c>
      <c r="AJ26">
        <v>433.89761818181807</v>
      </c>
      <c r="AK26">
        <v>-3.642039414806425E-2</v>
      </c>
      <c r="AL26">
        <v>67.035841342115305</v>
      </c>
      <c r="AM26">
        <f t="shared" si="26"/>
        <v>3.896725839130442</v>
      </c>
      <c r="AN26">
        <v>27.07515828131136</v>
      </c>
      <c r="AO26">
        <v>31.65880606060605</v>
      </c>
      <c r="AP26">
        <v>-9.1314777915765082E-3</v>
      </c>
      <c r="AQ26">
        <v>78.06983020012963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50586.531071201418</v>
      </c>
      <c r="AW26" t="s">
        <v>1027</v>
      </c>
      <c r="AX26">
        <v>4100.0200000000004</v>
      </c>
      <c r="AY26">
        <v>703.65588235294126</v>
      </c>
      <c r="AZ26">
        <v>2894.78</v>
      </c>
      <c r="BA26">
        <f t="shared" si="30"/>
        <v>0.75692250106987702</v>
      </c>
      <c r="BB26">
        <v>-1.8770886535882509</v>
      </c>
      <c r="BC26" t="s">
        <v>1064</v>
      </c>
      <c r="BD26">
        <v>5108.84</v>
      </c>
      <c r="BE26">
        <v>800.82223529411772</v>
      </c>
      <c r="BF26">
        <v>1997</v>
      </c>
      <c r="BG26">
        <f t="shared" si="31"/>
        <v>0.59898736339803826</v>
      </c>
      <c r="BH26">
        <v>0.5</v>
      </c>
      <c r="BI26">
        <f t="shared" si="32"/>
        <v>252.28826103339293</v>
      </c>
      <c r="BJ26">
        <f t="shared" si="33"/>
        <v>17.201366360335271</v>
      </c>
      <c r="BK26">
        <f t="shared" si="34"/>
        <v>75.558740146334031</v>
      </c>
      <c r="BL26">
        <f t="shared" si="35"/>
        <v>7.5621651739865514E-2</v>
      </c>
      <c r="BM26">
        <f t="shared" si="36"/>
        <v>0.44956434651977978</v>
      </c>
      <c r="BN26">
        <f t="shared" si="37"/>
        <v>634.33626433740528</v>
      </c>
      <c r="BO26" t="s">
        <v>407</v>
      </c>
      <c r="BP26">
        <v>0</v>
      </c>
      <c r="BQ26">
        <f t="shared" si="38"/>
        <v>634.33626433740528</v>
      </c>
      <c r="BR26">
        <f t="shared" si="39"/>
        <v>0.68235540093269642</v>
      </c>
      <c r="BS26">
        <f t="shared" si="40"/>
        <v>0.87782314403798334</v>
      </c>
      <c r="BT26">
        <f t="shared" si="41"/>
        <v>0.39716980601458657</v>
      </c>
      <c r="BU26">
        <f t="shared" si="42"/>
        <v>0.92487200303817962</v>
      </c>
      <c r="BV26">
        <f t="shared" si="43"/>
        <v>0.40973489031013099</v>
      </c>
      <c r="BW26">
        <f t="shared" si="44"/>
        <v>0.69532916219972563</v>
      </c>
      <c r="BX26">
        <f t="shared" si="45"/>
        <v>0.30467083780027437</v>
      </c>
      <c r="DG26">
        <f t="shared" si="46"/>
        <v>299.99500000000012</v>
      </c>
      <c r="DH26">
        <f t="shared" si="47"/>
        <v>252.28826103339293</v>
      </c>
      <c r="DI26">
        <f t="shared" si="48"/>
        <v>0.84097488635941542</v>
      </c>
      <c r="DJ26">
        <f t="shared" si="49"/>
        <v>0.16148153067367191</v>
      </c>
      <c r="DK26">
        <v>6</v>
      </c>
      <c r="DL26">
        <v>0.5</v>
      </c>
      <c r="DM26" t="s">
        <v>408</v>
      </c>
      <c r="DN26">
        <v>2</v>
      </c>
      <c r="DO26" t="b">
        <v>0</v>
      </c>
      <c r="DP26">
        <v>1782831067.599999</v>
      </c>
      <c r="DQ26">
        <v>419.56309677419353</v>
      </c>
      <c r="DR26">
        <v>442.23061290322579</v>
      </c>
      <c r="DS26">
        <v>31.755922580645159</v>
      </c>
      <c r="DT26">
        <v>27.089780645161291</v>
      </c>
      <c r="DU26">
        <v>423.9764516129033</v>
      </c>
      <c r="DV26">
        <v>31.30630967741936</v>
      </c>
      <c r="DW26">
        <v>499.90490322580638</v>
      </c>
      <c r="DX26">
        <v>97.339864516129069</v>
      </c>
      <c r="DY26">
        <v>4.8265261290322582E-2</v>
      </c>
      <c r="DZ26">
        <v>31.77984838709677</v>
      </c>
      <c r="EA26">
        <v>31.155635483870959</v>
      </c>
      <c r="EB26">
        <v>999.90000000000032</v>
      </c>
      <c r="EC26">
        <v>0</v>
      </c>
      <c r="ED26">
        <v>0</v>
      </c>
      <c r="EE26">
        <v>9984.1935483870966</v>
      </c>
      <c r="EF26">
        <v>0</v>
      </c>
      <c r="EG26">
        <v>59.366354838709661</v>
      </c>
      <c r="EH26">
        <v>-22.667487096774199</v>
      </c>
      <c r="EI26">
        <v>433.32361290322581</v>
      </c>
      <c r="EJ26">
        <v>454.54409677419358</v>
      </c>
      <c r="EK26">
        <v>4.6661406451612901</v>
      </c>
      <c r="EL26">
        <v>442.23061290322579</v>
      </c>
      <c r="EM26">
        <v>27.089780645161291</v>
      </c>
      <c r="EN26">
        <v>3.091117419354839</v>
      </c>
      <c r="EO26">
        <v>2.636914516129031</v>
      </c>
      <c r="EP26">
        <v>24.52700322580645</v>
      </c>
      <c r="EQ26">
        <v>21.897190322580649</v>
      </c>
      <c r="ER26">
        <v>299.99500000000012</v>
      </c>
      <c r="ES26">
        <v>0.96695567741935451</v>
      </c>
      <c r="ET26">
        <v>3.304439677419356E-2</v>
      </c>
      <c r="EU26">
        <v>0</v>
      </c>
      <c r="EV26">
        <v>801.03009677419368</v>
      </c>
      <c r="EW26">
        <v>5.0010700000000003</v>
      </c>
      <c r="EX26">
        <v>2871.6767741935482</v>
      </c>
      <c r="EY26">
        <v>2667.9341935483858</v>
      </c>
      <c r="EZ26">
        <v>37.221548387096767</v>
      </c>
      <c r="FA26">
        <v>40.225612903225787</v>
      </c>
      <c r="FB26">
        <v>39.026000000000003</v>
      </c>
      <c r="FC26">
        <v>40.116870967741932</v>
      </c>
      <c r="FD26">
        <v>39.799999999999997</v>
      </c>
      <c r="FE26">
        <v>285.24548387096769</v>
      </c>
      <c r="FF26">
        <v>9.748709677419356</v>
      </c>
      <c r="FG26">
        <v>0</v>
      </c>
      <c r="FH26">
        <v>134.4000000953674</v>
      </c>
      <c r="FI26">
        <v>0</v>
      </c>
      <c r="FJ26">
        <v>800.82223529411772</v>
      </c>
      <c r="FK26">
        <v>-3.6894608059930172</v>
      </c>
      <c r="FL26">
        <v>-31.463235141715661</v>
      </c>
      <c r="FM26">
        <v>2869.4894117647059</v>
      </c>
      <c r="FN26">
        <v>10</v>
      </c>
      <c r="FO26">
        <v>1782831048.0999999</v>
      </c>
      <c r="FP26" t="s">
        <v>1065</v>
      </c>
      <c r="FQ26">
        <v>1782831044.0999999</v>
      </c>
      <c r="FR26">
        <v>1782831048.0999999</v>
      </c>
      <c r="FS26">
        <v>10</v>
      </c>
      <c r="FT26">
        <v>-1.0999999999999999E-2</v>
      </c>
      <c r="FU26">
        <v>-1E-3</v>
      </c>
      <c r="FV26">
        <v>-4.4870000000000001</v>
      </c>
      <c r="FW26">
        <v>0.31</v>
      </c>
      <c r="FX26">
        <v>442</v>
      </c>
      <c r="FY26">
        <v>27</v>
      </c>
      <c r="FZ26">
        <v>0.43</v>
      </c>
      <c r="GA26">
        <v>0.05</v>
      </c>
      <c r="GB26">
        <v>-22.43692195121951</v>
      </c>
      <c r="GC26">
        <v>0.32598188153307078</v>
      </c>
      <c r="GD26">
        <v>1.288269442259502</v>
      </c>
      <c r="GE26">
        <v>1</v>
      </c>
      <c r="GF26">
        <v>801.32364705882344</v>
      </c>
      <c r="GG26">
        <v>-4.7684644854570308</v>
      </c>
      <c r="GH26">
        <v>0.58376873353757075</v>
      </c>
      <c r="GI26">
        <v>1</v>
      </c>
      <c r="GJ26">
        <v>4.6540856097560974</v>
      </c>
      <c r="GK26">
        <v>6.198229965157033E-2</v>
      </c>
      <c r="GL26">
        <v>0.16581728770751539</v>
      </c>
      <c r="GM26">
        <v>1</v>
      </c>
      <c r="GN26">
        <v>3</v>
      </c>
      <c r="GO26">
        <v>3</v>
      </c>
      <c r="GP26" t="s">
        <v>599</v>
      </c>
      <c r="GQ26">
        <v>3.13279</v>
      </c>
      <c r="GR26">
        <v>2.7247599999999998</v>
      </c>
      <c r="GS26">
        <v>9.1351600000000005E-2</v>
      </c>
      <c r="GT26">
        <v>9.4822000000000004E-2</v>
      </c>
      <c r="GU26">
        <v>0.13447300000000001</v>
      </c>
      <c r="GV26">
        <v>0.12207800000000001</v>
      </c>
      <c r="GW26">
        <v>22888.7</v>
      </c>
      <c r="GX26">
        <v>30656.3</v>
      </c>
      <c r="GY26">
        <v>27316.3</v>
      </c>
      <c r="GZ26">
        <v>34813.800000000003</v>
      </c>
      <c r="HA26">
        <v>34591.599999999999</v>
      </c>
      <c r="HB26">
        <v>38996</v>
      </c>
      <c r="HC26">
        <v>40311.599999999999</v>
      </c>
      <c r="HD26">
        <v>44506.400000000001</v>
      </c>
      <c r="HE26">
        <v>1.9830000000000001</v>
      </c>
      <c r="HF26">
        <v>1.8009999999999999</v>
      </c>
      <c r="HG26">
        <v>3.7401900000000002E-2</v>
      </c>
      <c r="HH26">
        <v>0</v>
      </c>
      <c r="HI26">
        <v>30.5501</v>
      </c>
      <c r="HJ26">
        <v>999.9</v>
      </c>
      <c r="HK26">
        <v>70.5</v>
      </c>
      <c r="HL26">
        <v>32.4</v>
      </c>
      <c r="HM26">
        <v>35.377699999999997</v>
      </c>
      <c r="HN26">
        <v>60.49</v>
      </c>
      <c r="HO26">
        <v>5.8533600000000003</v>
      </c>
      <c r="HP26">
        <v>1</v>
      </c>
      <c r="HQ26">
        <v>0.38292700000000002</v>
      </c>
      <c r="HR26">
        <v>0</v>
      </c>
      <c r="HS26">
        <v>20.294799999999999</v>
      </c>
      <c r="HT26">
        <v>5.2112999999999996</v>
      </c>
      <c r="HU26">
        <v>11.902100000000001</v>
      </c>
      <c r="HV26">
        <v>4.9855999999999998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1.8672200000000001</v>
      </c>
      <c r="IC26">
        <v>1.8627899999999999</v>
      </c>
      <c r="ID26">
        <v>1.8621799999999999</v>
      </c>
      <c r="IE26">
        <v>1.8616600000000001</v>
      </c>
      <c r="IF26">
        <v>1.86178</v>
      </c>
      <c r="IG26">
        <v>1.86249</v>
      </c>
      <c r="IH26">
        <v>1.8632500000000001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411</v>
      </c>
      <c r="IO26" t="s">
        <v>412</v>
      </c>
      <c r="IP26" t="s">
        <v>413</v>
      </c>
      <c r="IQ26" t="s">
        <v>414</v>
      </c>
      <c r="IR26" t="s">
        <v>414</v>
      </c>
      <c r="IS26" t="s">
        <v>413</v>
      </c>
      <c r="IT26">
        <v>0</v>
      </c>
      <c r="IU26">
        <v>100</v>
      </c>
      <c r="IV26">
        <v>100</v>
      </c>
      <c r="IW26">
        <v>-4.415</v>
      </c>
      <c r="IX26">
        <v>0.4466</v>
      </c>
      <c r="IY26">
        <v>-2.7893088446217131</v>
      </c>
      <c r="IZ26">
        <v>-4.3200172963836943E-3</v>
      </c>
      <c r="JA26">
        <v>1.144643420078806E-6</v>
      </c>
      <c r="JB26">
        <v>2.2629164031131329E-11</v>
      </c>
      <c r="JC26">
        <v>-0.1366991013850247</v>
      </c>
      <c r="JD26">
        <v>-2.723765763251367E-3</v>
      </c>
      <c r="JE26">
        <v>9.3351533439868235E-4</v>
      </c>
      <c r="JF26">
        <v>-7.9310479777716621E-6</v>
      </c>
      <c r="JG26">
        <v>18</v>
      </c>
      <c r="JH26">
        <v>1822</v>
      </c>
      <c r="JI26">
        <v>1</v>
      </c>
      <c r="JJ26">
        <v>38</v>
      </c>
      <c r="JK26">
        <v>0.5</v>
      </c>
      <c r="JL26">
        <v>0.5</v>
      </c>
      <c r="JM26">
        <v>1.11816</v>
      </c>
      <c r="JN26">
        <v>2.4939</v>
      </c>
      <c r="JO26">
        <v>1.50024</v>
      </c>
      <c r="JP26">
        <v>2.2790499999999998</v>
      </c>
      <c r="JQ26">
        <v>1.4477500000000001</v>
      </c>
      <c r="JR26">
        <v>2.31934</v>
      </c>
      <c r="JS26">
        <v>36.955599999999997</v>
      </c>
      <c r="JT26">
        <v>15.9095</v>
      </c>
      <c r="JU26">
        <v>18</v>
      </c>
      <c r="JV26">
        <v>540.10199999999998</v>
      </c>
      <c r="JW26">
        <v>436.892</v>
      </c>
      <c r="JX26">
        <v>31.6294</v>
      </c>
      <c r="JY26">
        <v>32.0976</v>
      </c>
      <c r="JZ26">
        <v>29.9999</v>
      </c>
      <c r="KA26">
        <v>32.064799999999998</v>
      </c>
      <c r="KB26">
        <v>32.015300000000003</v>
      </c>
      <c r="KC26">
        <v>22.37</v>
      </c>
      <c r="KD26">
        <v>36.763300000000001</v>
      </c>
      <c r="KE26">
        <v>80.912000000000006</v>
      </c>
      <c r="KF26">
        <v>-999.9</v>
      </c>
      <c r="KG26">
        <v>441.39600000000002</v>
      </c>
      <c r="KH26">
        <v>27.081800000000001</v>
      </c>
      <c r="KI26">
        <v>100.776</v>
      </c>
      <c r="KJ26">
        <v>99.801699999999997</v>
      </c>
    </row>
    <row r="27" spans="1:296" x14ac:dyDescent="0.3">
      <c r="A27">
        <v>11</v>
      </c>
      <c r="B27">
        <v>1782831222.5</v>
      </c>
      <c r="C27">
        <v>1486.900000095367</v>
      </c>
      <c r="D27" t="s">
        <v>1066</v>
      </c>
      <c r="E27" t="s">
        <v>1067</v>
      </c>
      <c r="F27">
        <v>15</v>
      </c>
      <c r="H27">
        <v>1782831214.75</v>
      </c>
      <c r="I27">
        <f t="shared" si="0"/>
        <v>3.452560965837057E-3</v>
      </c>
      <c r="J27">
        <f t="shared" si="1"/>
        <v>3.4525609658370571</v>
      </c>
      <c r="K27">
        <f t="shared" si="2"/>
        <v>10.436342260835787</v>
      </c>
      <c r="L27">
        <f t="shared" si="3"/>
        <v>419.95033333333328</v>
      </c>
      <c r="M27">
        <f t="shared" si="4"/>
        <v>335.00107833573492</v>
      </c>
      <c r="N27">
        <f t="shared" si="5"/>
        <v>32.631469072210209</v>
      </c>
      <c r="O27">
        <f t="shared" si="6"/>
        <v>40.90612598057794</v>
      </c>
      <c r="P27">
        <f t="shared" si="7"/>
        <v>0.22946166023777623</v>
      </c>
      <c r="Q27">
        <f t="shared" si="8"/>
        <v>2.8823138667913843</v>
      </c>
      <c r="R27">
        <f t="shared" si="9"/>
        <v>0.21977470278958697</v>
      </c>
      <c r="S27">
        <f t="shared" si="10"/>
        <v>0.13819544560671884</v>
      </c>
      <c r="T27">
        <f t="shared" si="11"/>
        <v>32.489120487709378</v>
      </c>
      <c r="U27">
        <f t="shared" si="12"/>
        <v>30.865599202134977</v>
      </c>
      <c r="V27">
        <f t="shared" si="13"/>
        <v>31.017923333333339</v>
      </c>
      <c r="W27">
        <f t="shared" si="14"/>
        <v>4.5159907418683289</v>
      </c>
      <c r="X27">
        <f t="shared" si="15"/>
        <v>65.307155654657905</v>
      </c>
      <c r="Y27">
        <f t="shared" si="16"/>
        <v>3.0451611645495298</v>
      </c>
      <c r="Z27">
        <f t="shared" si="17"/>
        <v>4.6628292627721253</v>
      </c>
      <c r="AA27">
        <f t="shared" si="18"/>
        <v>1.4708295773187992</v>
      </c>
      <c r="AB27">
        <f t="shared" si="19"/>
        <v>-152.25793859341422</v>
      </c>
      <c r="AC27">
        <f t="shared" si="20"/>
        <v>87.396213804999093</v>
      </c>
      <c r="AD27">
        <f t="shared" si="21"/>
        <v>6.8291253864479708</v>
      </c>
      <c r="AE27">
        <f t="shared" si="22"/>
        <v>-25.543478914257776</v>
      </c>
      <c r="AF27">
        <f t="shared" si="23"/>
        <v>10.436342260835787</v>
      </c>
      <c r="AG27">
        <f t="shared" si="24"/>
        <v>3.4525609658370571</v>
      </c>
      <c r="AH27">
        <f t="shared" si="25"/>
        <v>10.434791689772362</v>
      </c>
      <c r="AI27">
        <v>446.41916273646848</v>
      </c>
      <c r="AJ27">
        <v>433.54622424242422</v>
      </c>
      <c r="AK27">
        <v>3.3825587826149611E-4</v>
      </c>
      <c r="AL27">
        <v>67.090266955521699</v>
      </c>
      <c r="AM27">
        <f t="shared" si="26"/>
        <v>3.4624785690646087</v>
      </c>
      <c r="AN27">
        <v>27.258534703251229</v>
      </c>
      <c r="AO27">
        <v>31.28276666666666</v>
      </c>
      <c r="AP27">
        <v>5.8303757268296817E-5</v>
      </c>
      <c r="AQ27">
        <v>78.243342595097516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50692.804715043283</v>
      </c>
      <c r="AW27" t="s">
        <v>1027</v>
      </c>
      <c r="AX27">
        <v>4100.0200000000004</v>
      </c>
      <c r="AY27">
        <v>703.65588235294126</v>
      </c>
      <c r="AZ27">
        <v>2894.78</v>
      </c>
      <c r="BA27">
        <f t="shared" si="30"/>
        <v>0.75692250106987702</v>
      </c>
      <c r="BB27">
        <v>-1.8770886535882509</v>
      </c>
      <c r="BC27" t="s">
        <v>1068</v>
      </c>
      <c r="BD27">
        <v>5109.62</v>
      </c>
      <c r="BE27">
        <v>785.22682352941172</v>
      </c>
      <c r="BF27">
        <v>2124.2399999999998</v>
      </c>
      <c r="BG27">
        <f t="shared" si="31"/>
        <v>0.63034929032057962</v>
      </c>
      <c r="BH27">
        <v>0.5</v>
      </c>
      <c r="BI27">
        <f t="shared" si="32"/>
        <v>168.31671672938316</v>
      </c>
      <c r="BJ27">
        <f t="shared" si="33"/>
        <v>10.436342260835787</v>
      </c>
      <c r="BK27">
        <f t="shared" si="34"/>
        <v>53.049161469728354</v>
      </c>
      <c r="BL27">
        <f t="shared" si="35"/>
        <v>7.3156315983880366E-2</v>
      </c>
      <c r="BM27">
        <f t="shared" si="36"/>
        <v>0.36273679056980401</v>
      </c>
      <c r="BN27">
        <f t="shared" si="37"/>
        <v>646.63962823838438</v>
      </c>
      <c r="BO27" t="s">
        <v>407</v>
      </c>
      <c r="BP27">
        <v>0</v>
      </c>
      <c r="BQ27">
        <f t="shared" si="38"/>
        <v>646.63962823838438</v>
      </c>
      <c r="BR27">
        <f t="shared" si="39"/>
        <v>0.69559012718036362</v>
      </c>
      <c r="BS27">
        <f t="shared" si="40"/>
        <v>0.9062079314951702</v>
      </c>
      <c r="BT27">
        <f t="shared" si="41"/>
        <v>0.34274550187282771</v>
      </c>
      <c r="BU27">
        <f t="shared" si="42"/>
        <v>0.94257929526089723</v>
      </c>
      <c r="BV27">
        <f t="shared" si="43"/>
        <v>0.3516642411053581</v>
      </c>
      <c r="BW27">
        <f t="shared" si="44"/>
        <v>0.7462683932456915</v>
      </c>
      <c r="BX27">
        <f t="shared" si="45"/>
        <v>0.2537316067543085</v>
      </c>
      <c r="DG27">
        <f t="shared" si="46"/>
        <v>200.02883333333341</v>
      </c>
      <c r="DH27">
        <f t="shared" si="47"/>
        <v>168.31671672938316</v>
      </c>
      <c r="DI27">
        <f t="shared" si="48"/>
        <v>0.8414622728359149</v>
      </c>
      <c r="DJ27">
        <f t="shared" si="49"/>
        <v>0.16242218657331584</v>
      </c>
      <c r="DK27">
        <v>6</v>
      </c>
      <c r="DL27">
        <v>0.5</v>
      </c>
      <c r="DM27" t="s">
        <v>408</v>
      </c>
      <c r="DN27">
        <v>2</v>
      </c>
      <c r="DO27" t="b">
        <v>0</v>
      </c>
      <c r="DP27">
        <v>1782831214.75</v>
      </c>
      <c r="DQ27">
        <v>419.95033333333328</v>
      </c>
      <c r="DR27">
        <v>434.2123666666667</v>
      </c>
      <c r="DS27">
        <v>31.262223333333331</v>
      </c>
      <c r="DT27">
        <v>27.249083333333331</v>
      </c>
      <c r="DU27">
        <v>424.32336666666657</v>
      </c>
      <c r="DV27">
        <v>30.828130000000002</v>
      </c>
      <c r="DW27">
        <v>500.05126666666661</v>
      </c>
      <c r="DX27">
        <v>97.359150000000014</v>
      </c>
      <c r="DY27">
        <v>4.7906820000000003E-2</v>
      </c>
      <c r="DZ27">
        <v>31.580349999999989</v>
      </c>
      <c r="EA27">
        <v>31.017923333333339</v>
      </c>
      <c r="EB27">
        <v>999.9000000000002</v>
      </c>
      <c r="EC27">
        <v>0</v>
      </c>
      <c r="ED27">
        <v>0</v>
      </c>
      <c r="EE27">
        <v>9997.1666666666661</v>
      </c>
      <c r="EF27">
        <v>0</v>
      </c>
      <c r="EG27">
        <v>62.597926666666659</v>
      </c>
      <c r="EH27">
        <v>-14.26221</v>
      </c>
      <c r="EI27">
        <v>433.50249999999988</v>
      </c>
      <c r="EJ27">
        <v>446.37583333333328</v>
      </c>
      <c r="EK27">
        <v>4.0131343333333316</v>
      </c>
      <c r="EL27">
        <v>434.2123666666667</v>
      </c>
      <c r="EM27">
        <v>27.249083333333331</v>
      </c>
      <c r="EN27">
        <v>3.0436633333333329</v>
      </c>
      <c r="EO27">
        <v>2.6529470000000002</v>
      </c>
      <c r="EP27">
        <v>24.268719999999998</v>
      </c>
      <c r="EQ27">
        <v>21.996526666666661</v>
      </c>
      <c r="ER27">
        <v>200.02883333333341</v>
      </c>
      <c r="ES27">
        <v>0.95001556666666676</v>
      </c>
      <c r="ET27">
        <v>4.9983976666666652E-2</v>
      </c>
      <c r="EU27">
        <v>0</v>
      </c>
      <c r="EV27">
        <v>785.37176666666664</v>
      </c>
      <c r="EW27">
        <v>5.0010700000000003</v>
      </c>
      <c r="EX27">
        <v>2005.5086666666659</v>
      </c>
      <c r="EY27">
        <v>1752.098333333334</v>
      </c>
      <c r="EZ27">
        <v>36.658066666666663</v>
      </c>
      <c r="FA27">
        <v>39.682866666666648</v>
      </c>
      <c r="FB27">
        <v>38.5</v>
      </c>
      <c r="FC27">
        <v>39.712199999999982</v>
      </c>
      <c r="FD27">
        <v>39.299599999999991</v>
      </c>
      <c r="FE27">
        <v>185.27999999999989</v>
      </c>
      <c r="FF27">
        <v>9.75</v>
      </c>
      <c r="FG27">
        <v>0</v>
      </c>
      <c r="FH27">
        <v>146.20000004768369</v>
      </c>
      <c r="FI27">
        <v>0</v>
      </c>
      <c r="FJ27">
        <v>785.22682352941172</v>
      </c>
      <c r="FK27">
        <v>-3.6997548905664721</v>
      </c>
      <c r="FL27">
        <v>-35.924019812234221</v>
      </c>
      <c r="FM27">
        <v>2004.49</v>
      </c>
      <c r="FN27">
        <v>10</v>
      </c>
      <c r="FO27">
        <v>1782831172.5</v>
      </c>
      <c r="FP27" t="s">
        <v>1069</v>
      </c>
      <c r="FQ27">
        <v>1782831169.5</v>
      </c>
      <c r="FR27">
        <v>1782831172.5</v>
      </c>
      <c r="FS27">
        <v>11</v>
      </c>
      <c r="FT27">
        <v>4.1000000000000002E-2</v>
      </c>
      <c r="FU27">
        <v>0</v>
      </c>
      <c r="FV27">
        <v>-4.4210000000000003</v>
      </c>
      <c r="FW27">
        <v>0.30599999999999999</v>
      </c>
      <c r="FX27">
        <v>434</v>
      </c>
      <c r="FY27">
        <v>27</v>
      </c>
      <c r="FZ27">
        <v>0.62</v>
      </c>
      <c r="GA27">
        <v>0.06</v>
      </c>
      <c r="GB27">
        <v>-14.246115</v>
      </c>
      <c r="GC27">
        <v>-0.49658161350842678</v>
      </c>
      <c r="GD27">
        <v>0.1416088283794481</v>
      </c>
      <c r="GE27">
        <v>1</v>
      </c>
      <c r="GF27">
        <v>785.52199999999993</v>
      </c>
      <c r="GG27">
        <v>-2.976287241597245</v>
      </c>
      <c r="GH27">
        <v>0.34976361765525571</v>
      </c>
      <c r="GI27">
        <v>1</v>
      </c>
      <c r="GJ27">
        <v>4.0496687500000004</v>
      </c>
      <c r="GK27">
        <v>-0.48727553470919782</v>
      </c>
      <c r="GL27">
        <v>6.8202529615385254E-2</v>
      </c>
      <c r="GM27">
        <v>1</v>
      </c>
      <c r="GN27">
        <v>3</v>
      </c>
      <c r="GO27">
        <v>3</v>
      </c>
      <c r="GP27" t="s">
        <v>599</v>
      </c>
      <c r="GQ27">
        <v>3.13253</v>
      </c>
      <c r="GR27">
        <v>2.72445</v>
      </c>
      <c r="GS27">
        <v>9.1346899999999995E-2</v>
      </c>
      <c r="GT27">
        <v>9.3648499999999996E-2</v>
      </c>
      <c r="GU27">
        <v>0.13345199999999999</v>
      </c>
      <c r="GV27">
        <v>0.122749</v>
      </c>
      <c r="GW27">
        <v>22892.6</v>
      </c>
      <c r="GX27">
        <v>30701</v>
      </c>
      <c r="GY27">
        <v>27320.2</v>
      </c>
      <c r="GZ27">
        <v>34818.699999999997</v>
      </c>
      <c r="HA27">
        <v>34637.4</v>
      </c>
      <c r="HB27">
        <v>38972.199999999997</v>
      </c>
      <c r="HC27">
        <v>40318</v>
      </c>
      <c r="HD27">
        <v>44513.7</v>
      </c>
      <c r="HE27">
        <v>1.9836</v>
      </c>
      <c r="HF27">
        <v>1.8038000000000001</v>
      </c>
      <c r="HG27">
        <v>3.6954899999999999E-2</v>
      </c>
      <c r="HH27">
        <v>0</v>
      </c>
      <c r="HI27">
        <v>30.414999999999999</v>
      </c>
      <c r="HJ27">
        <v>999.9</v>
      </c>
      <c r="HK27">
        <v>69.7</v>
      </c>
      <c r="HL27">
        <v>32.5</v>
      </c>
      <c r="HM27">
        <v>35.167299999999997</v>
      </c>
      <c r="HN27">
        <v>60.58</v>
      </c>
      <c r="HO27">
        <v>5.4487199999999998</v>
      </c>
      <c r="HP27">
        <v>1</v>
      </c>
      <c r="HQ27">
        <v>0.37347599999999997</v>
      </c>
      <c r="HR27">
        <v>0</v>
      </c>
      <c r="HS27">
        <v>20.295400000000001</v>
      </c>
      <c r="HT27">
        <v>5.2112999999999996</v>
      </c>
      <c r="HU27">
        <v>11.902100000000001</v>
      </c>
      <c r="HV27">
        <v>4.9859999999999998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1.8627899999999999</v>
      </c>
      <c r="ID27">
        <v>1.8621799999999999</v>
      </c>
      <c r="IE27">
        <v>1.86172</v>
      </c>
      <c r="IF27">
        <v>1.86172</v>
      </c>
      <c r="IG27">
        <v>1.86249</v>
      </c>
      <c r="IH27">
        <v>1.86331</v>
      </c>
      <c r="II27">
        <v>1.8613299999999999</v>
      </c>
      <c r="IJ27">
        <v>0</v>
      </c>
      <c r="IK27">
        <v>0</v>
      </c>
      <c r="IL27">
        <v>0</v>
      </c>
      <c r="IM27">
        <v>4.5</v>
      </c>
      <c r="IN27" t="s">
        <v>411</v>
      </c>
      <c r="IO27" t="s">
        <v>412</v>
      </c>
      <c r="IP27" t="s">
        <v>413</v>
      </c>
      <c r="IQ27" t="s">
        <v>414</v>
      </c>
      <c r="IR27" t="s">
        <v>414</v>
      </c>
      <c r="IS27" t="s">
        <v>413</v>
      </c>
      <c r="IT27">
        <v>0</v>
      </c>
      <c r="IU27">
        <v>100</v>
      </c>
      <c r="IV27">
        <v>100</v>
      </c>
      <c r="IW27">
        <v>-4.3739999999999997</v>
      </c>
      <c r="IX27">
        <v>0.43480000000000002</v>
      </c>
      <c r="IY27">
        <v>-2.7478994591274621</v>
      </c>
      <c r="IZ27">
        <v>-4.3200172963836943E-3</v>
      </c>
      <c r="JA27">
        <v>1.144643420078806E-6</v>
      </c>
      <c r="JB27">
        <v>2.2629164031131329E-11</v>
      </c>
      <c r="JC27">
        <v>-0.13676285636926999</v>
      </c>
      <c r="JD27">
        <v>-2.723765763251367E-3</v>
      </c>
      <c r="JE27">
        <v>9.3351533439868235E-4</v>
      </c>
      <c r="JF27">
        <v>-7.9310479777716621E-6</v>
      </c>
      <c r="JG27">
        <v>18</v>
      </c>
      <c r="JH27">
        <v>1822</v>
      </c>
      <c r="JI27">
        <v>1</v>
      </c>
      <c r="JJ27">
        <v>38</v>
      </c>
      <c r="JK27">
        <v>0.9</v>
      </c>
      <c r="JL27">
        <v>0.8</v>
      </c>
      <c r="JM27">
        <v>1.1047400000000001</v>
      </c>
      <c r="JN27">
        <v>2.48047</v>
      </c>
      <c r="JO27">
        <v>1.50024</v>
      </c>
      <c r="JP27">
        <v>2.2790499999999998</v>
      </c>
      <c r="JQ27">
        <v>1.4477500000000001</v>
      </c>
      <c r="JR27">
        <v>2.4267599999999998</v>
      </c>
      <c r="JS27">
        <v>36.979399999999998</v>
      </c>
      <c r="JT27">
        <v>15.9095</v>
      </c>
      <c r="JU27">
        <v>18</v>
      </c>
      <c r="JV27">
        <v>539.73699999999997</v>
      </c>
      <c r="JW27">
        <v>438.05500000000001</v>
      </c>
      <c r="JX27">
        <v>31.479900000000001</v>
      </c>
      <c r="JY27">
        <v>31.9846</v>
      </c>
      <c r="JZ27">
        <v>29.999700000000001</v>
      </c>
      <c r="KA27">
        <v>31.974900000000002</v>
      </c>
      <c r="KB27">
        <v>31.9343</v>
      </c>
      <c r="KC27">
        <v>22.094100000000001</v>
      </c>
      <c r="KD27">
        <v>35.884500000000003</v>
      </c>
      <c r="KE27">
        <v>78.432599999999994</v>
      </c>
      <c r="KF27">
        <v>-999.9</v>
      </c>
      <c r="KG27">
        <v>434.31900000000002</v>
      </c>
      <c r="KH27">
        <v>27.204599999999999</v>
      </c>
      <c r="KI27">
        <v>100.791</v>
      </c>
      <c r="KJ27">
        <v>99.817099999999996</v>
      </c>
    </row>
    <row r="28" spans="1:296" x14ac:dyDescent="0.3">
      <c r="A28">
        <v>12</v>
      </c>
      <c r="B28">
        <v>1782831378.5</v>
      </c>
      <c r="C28">
        <v>1642.900000095367</v>
      </c>
      <c r="D28" t="s">
        <v>1070</v>
      </c>
      <c r="E28" t="s">
        <v>1071</v>
      </c>
      <c r="F28">
        <v>15</v>
      </c>
      <c r="H28">
        <v>1782831370.75</v>
      </c>
      <c r="I28">
        <f t="shared" si="0"/>
        <v>3.1055021762663305E-3</v>
      </c>
      <c r="J28">
        <f t="shared" si="1"/>
        <v>3.1055021762663304</v>
      </c>
      <c r="K28">
        <f t="shared" si="2"/>
        <v>3.642470902759058</v>
      </c>
      <c r="L28">
        <f t="shared" si="3"/>
        <v>419.98039999999997</v>
      </c>
      <c r="M28">
        <f t="shared" si="4"/>
        <v>381.20321654767304</v>
      </c>
      <c r="N28">
        <f t="shared" si="5"/>
        <v>37.134130679007107</v>
      </c>
      <c r="O28">
        <f t="shared" si="6"/>
        <v>40.911530593738576</v>
      </c>
      <c r="P28">
        <f t="shared" si="7"/>
        <v>0.20854575236489864</v>
      </c>
      <c r="Q28">
        <f t="shared" si="8"/>
        <v>2.8820254988317933</v>
      </c>
      <c r="R28">
        <f t="shared" si="9"/>
        <v>0.2005102629996631</v>
      </c>
      <c r="S28">
        <f t="shared" si="10"/>
        <v>0.12601507381667992</v>
      </c>
      <c r="T28">
        <f t="shared" si="11"/>
        <v>16.509651507147794</v>
      </c>
      <c r="U28">
        <f t="shared" si="12"/>
        <v>30.596983248730076</v>
      </c>
      <c r="V28">
        <f t="shared" si="13"/>
        <v>30.81022333333333</v>
      </c>
      <c r="W28">
        <f t="shared" si="14"/>
        <v>4.4627919141149448</v>
      </c>
      <c r="X28">
        <f t="shared" si="15"/>
        <v>65.572676856665282</v>
      </c>
      <c r="Y28">
        <f t="shared" si="16"/>
        <v>3.011944836215553</v>
      </c>
      <c r="Z28">
        <f t="shared" si="17"/>
        <v>4.5932924818660918</v>
      </c>
      <c r="AA28">
        <f t="shared" si="18"/>
        <v>1.4508470778993918</v>
      </c>
      <c r="AB28">
        <f t="shared" si="19"/>
        <v>-136.95264597334517</v>
      </c>
      <c r="AC28">
        <f t="shared" si="20"/>
        <v>78.579218282212778</v>
      </c>
      <c r="AD28">
        <f t="shared" si="21"/>
        <v>6.1265010798869426</v>
      </c>
      <c r="AE28">
        <f t="shared" si="22"/>
        <v>-35.737275104097662</v>
      </c>
      <c r="AF28">
        <f t="shared" si="23"/>
        <v>3.642470902759058</v>
      </c>
      <c r="AG28">
        <f t="shared" si="24"/>
        <v>3.1055021762663304</v>
      </c>
      <c r="AH28">
        <f t="shared" si="25"/>
        <v>3.5925224923013124</v>
      </c>
      <c r="AI28">
        <v>437.92213684462848</v>
      </c>
      <c r="AJ28">
        <v>433.35197575757547</v>
      </c>
      <c r="AK28">
        <v>2.6688453014974429E-2</v>
      </c>
      <c r="AL28">
        <v>67.089755677938186</v>
      </c>
      <c r="AM28">
        <f t="shared" si="26"/>
        <v>3.0459345857616009</v>
      </c>
      <c r="AN28">
        <v>27.26005204956838</v>
      </c>
      <c r="AO28">
        <v>30.865581818181809</v>
      </c>
      <c r="AP28">
        <v>-1.0456862225297941E-2</v>
      </c>
      <c r="AQ28">
        <v>78.24203997445457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50728.948388597302</v>
      </c>
      <c r="AW28" t="s">
        <v>1027</v>
      </c>
      <c r="AX28">
        <v>4100.0200000000004</v>
      </c>
      <c r="AY28">
        <v>703.65588235294126</v>
      </c>
      <c r="AZ28">
        <v>2894.78</v>
      </c>
      <c r="BA28">
        <f t="shared" si="30"/>
        <v>0.75692250106987702</v>
      </c>
      <c r="BB28">
        <v>-1.8770886535882509</v>
      </c>
      <c r="BC28" t="s">
        <v>1072</v>
      </c>
      <c r="BD28">
        <v>5111.83</v>
      </c>
      <c r="BE28">
        <v>767.67635294117645</v>
      </c>
      <c r="BF28">
        <v>2227.6999999999998</v>
      </c>
      <c r="BG28">
        <f t="shared" si="31"/>
        <v>0.65539509227401505</v>
      </c>
      <c r="BH28">
        <v>0.5</v>
      </c>
      <c r="BI28">
        <f t="shared" si="32"/>
        <v>84.28209499437709</v>
      </c>
      <c r="BJ28">
        <f t="shared" si="33"/>
        <v>3.642470902759058</v>
      </c>
      <c r="BK28">
        <f t="shared" si="34"/>
        <v>27.619035712943536</v>
      </c>
      <c r="BL28">
        <f t="shared" si="35"/>
        <v>6.5489111972306197E-2</v>
      </c>
      <c r="BM28">
        <f t="shared" si="36"/>
        <v>0.29944786102257953</v>
      </c>
      <c r="BN28">
        <f t="shared" si="37"/>
        <v>655.91263333908785</v>
      </c>
      <c r="BO28" t="s">
        <v>407</v>
      </c>
      <c r="BP28">
        <v>0</v>
      </c>
      <c r="BQ28">
        <f t="shared" si="38"/>
        <v>655.91263333908785</v>
      </c>
      <c r="BR28">
        <f t="shared" si="39"/>
        <v>0.70556509703322356</v>
      </c>
      <c r="BS28">
        <f t="shared" si="40"/>
        <v>0.92889386823389586</v>
      </c>
      <c r="BT28">
        <f t="shared" si="41"/>
        <v>0.29795422897020274</v>
      </c>
      <c r="BU28">
        <f t="shared" si="42"/>
        <v>0.95799303324166551</v>
      </c>
      <c r="BV28">
        <f t="shared" si="43"/>
        <v>0.30444646865388209</v>
      </c>
      <c r="BW28">
        <f t="shared" si="44"/>
        <v>0.79365896952737336</v>
      </c>
      <c r="BX28">
        <f t="shared" si="45"/>
        <v>0.20634103047262664</v>
      </c>
      <c r="DG28">
        <f t="shared" si="46"/>
        <v>99.996436666666668</v>
      </c>
      <c r="DH28">
        <f t="shared" si="47"/>
        <v>84.28209499437709</v>
      </c>
      <c r="DI28">
        <f t="shared" si="48"/>
        <v>0.84285098353381749</v>
      </c>
      <c r="DJ28">
        <f t="shared" si="49"/>
        <v>0.16510239822026784</v>
      </c>
      <c r="DK28">
        <v>6</v>
      </c>
      <c r="DL28">
        <v>0.5</v>
      </c>
      <c r="DM28" t="s">
        <v>408</v>
      </c>
      <c r="DN28">
        <v>2</v>
      </c>
      <c r="DO28" t="b">
        <v>0</v>
      </c>
      <c r="DP28">
        <v>1782831370.75</v>
      </c>
      <c r="DQ28">
        <v>419.98039999999997</v>
      </c>
      <c r="DR28">
        <v>425.91693333333342</v>
      </c>
      <c r="DS28">
        <v>30.919346666666669</v>
      </c>
      <c r="DT28">
        <v>27.30768333333333</v>
      </c>
      <c r="DU28">
        <v>424.33696666666668</v>
      </c>
      <c r="DV28">
        <v>30.48907333333333</v>
      </c>
      <c r="DW28">
        <v>499.96056666666658</v>
      </c>
      <c r="DX28">
        <v>97.367350000000002</v>
      </c>
      <c r="DY28">
        <v>4.5602113333333333E-2</v>
      </c>
      <c r="DZ28">
        <v>31.31596</v>
      </c>
      <c r="EA28">
        <v>30.81022333333333</v>
      </c>
      <c r="EB28">
        <v>999.9000000000002</v>
      </c>
      <c r="EC28">
        <v>0</v>
      </c>
      <c r="ED28">
        <v>0</v>
      </c>
      <c r="EE28">
        <v>9994.6666666666661</v>
      </c>
      <c r="EF28">
        <v>0</v>
      </c>
      <c r="EG28">
        <v>55.03229833333333</v>
      </c>
      <c r="EH28">
        <v>-5.9365696666666681</v>
      </c>
      <c r="EI28">
        <v>433.38029999999998</v>
      </c>
      <c r="EJ28">
        <v>437.87430000000012</v>
      </c>
      <c r="EK28">
        <v>3.611663333333333</v>
      </c>
      <c r="EL28">
        <v>425.91693333333342</v>
      </c>
      <c r="EM28">
        <v>27.30768333333333</v>
      </c>
      <c r="EN28">
        <v>3.0105336666666669</v>
      </c>
      <c r="EO28">
        <v>2.658875666666666</v>
      </c>
      <c r="EP28">
        <v>24.086283333333331</v>
      </c>
      <c r="EQ28">
        <v>22.03314666666666</v>
      </c>
      <c r="ER28">
        <v>99.996436666666668</v>
      </c>
      <c r="ES28">
        <v>0.89996003333333341</v>
      </c>
      <c r="ET28">
        <v>0.1000400433333333</v>
      </c>
      <c r="EU28">
        <v>0</v>
      </c>
      <c r="EV28">
        <v>767.58833333333348</v>
      </c>
      <c r="EW28">
        <v>5.0010700000000003</v>
      </c>
      <c r="EX28">
        <v>1169.410333333333</v>
      </c>
      <c r="EY28">
        <v>836.52669999999978</v>
      </c>
      <c r="EZ28">
        <v>36.091399999999993</v>
      </c>
      <c r="FA28">
        <v>39.254133333333343</v>
      </c>
      <c r="FB28">
        <v>38.024799999999999</v>
      </c>
      <c r="FC28">
        <v>39.358199999999989</v>
      </c>
      <c r="FD28">
        <v>38.811999999999991</v>
      </c>
      <c r="FE28">
        <v>85.492999999999967</v>
      </c>
      <c r="FF28">
        <v>9.5029999999999983</v>
      </c>
      <c r="FG28">
        <v>0</v>
      </c>
      <c r="FH28">
        <v>155.5999999046326</v>
      </c>
      <c r="FI28">
        <v>0</v>
      </c>
      <c r="FJ28">
        <v>767.67635294117645</v>
      </c>
      <c r="FK28">
        <v>-0.64509803423377043</v>
      </c>
      <c r="FL28">
        <v>-76.465684933725043</v>
      </c>
      <c r="FM28">
        <v>1171.5064705882351</v>
      </c>
      <c r="FN28">
        <v>10</v>
      </c>
      <c r="FO28">
        <v>1782831342.5</v>
      </c>
      <c r="FP28" t="s">
        <v>1073</v>
      </c>
      <c r="FQ28">
        <v>1782831330.5</v>
      </c>
      <c r="FR28">
        <v>1782831342.5</v>
      </c>
      <c r="FS28">
        <v>12</v>
      </c>
      <c r="FT28">
        <v>1.7000000000000001E-2</v>
      </c>
      <c r="FU28">
        <v>7.0000000000000001E-3</v>
      </c>
      <c r="FV28">
        <v>-4.3769999999999998</v>
      </c>
      <c r="FW28">
        <v>0.318</v>
      </c>
      <c r="FX28">
        <v>426</v>
      </c>
      <c r="FY28">
        <v>27</v>
      </c>
      <c r="FZ28">
        <v>1.08</v>
      </c>
      <c r="GA28">
        <v>0.09</v>
      </c>
      <c r="GB28">
        <v>-6.0166494999999998</v>
      </c>
      <c r="GC28">
        <v>0.68724968105067397</v>
      </c>
      <c r="GD28">
        <v>0.2419867213397256</v>
      </c>
      <c r="GE28">
        <v>1</v>
      </c>
      <c r="GF28">
        <v>767.57073529411775</v>
      </c>
      <c r="GG28">
        <v>0.13566080719524359</v>
      </c>
      <c r="GH28">
        <v>0.24692679420326721</v>
      </c>
      <c r="GI28">
        <v>1</v>
      </c>
      <c r="GJ28">
        <v>3.6217925000000002</v>
      </c>
      <c r="GK28">
        <v>-0.13050168855535971</v>
      </c>
      <c r="GL28">
        <v>2.1943409688332392E-2</v>
      </c>
      <c r="GM28">
        <v>1</v>
      </c>
      <c r="GN28">
        <v>3</v>
      </c>
      <c r="GO28">
        <v>3</v>
      </c>
      <c r="GP28" t="s">
        <v>599</v>
      </c>
      <c r="GQ28">
        <v>3.1322999999999999</v>
      </c>
      <c r="GR28">
        <v>2.7242099999999998</v>
      </c>
      <c r="GS28">
        <v>9.1352500000000003E-2</v>
      </c>
      <c r="GT28">
        <v>9.2363700000000007E-2</v>
      </c>
      <c r="GU28">
        <v>0.13222800000000001</v>
      </c>
      <c r="GV28">
        <v>0.12268800000000001</v>
      </c>
      <c r="GW28">
        <v>22894.9</v>
      </c>
      <c r="GX28">
        <v>30751.5</v>
      </c>
      <c r="GY28">
        <v>27322.7</v>
      </c>
      <c r="GZ28">
        <v>34825.800000000003</v>
      </c>
      <c r="HA28">
        <v>34689.4</v>
      </c>
      <c r="HB28">
        <v>38980.9</v>
      </c>
      <c r="HC28">
        <v>40321.800000000003</v>
      </c>
      <c r="HD28">
        <v>44521</v>
      </c>
      <c r="HE28">
        <v>1.9854000000000001</v>
      </c>
      <c r="HF28">
        <v>1.804</v>
      </c>
      <c r="HG28">
        <v>3.2931599999999998E-2</v>
      </c>
      <c r="HH28">
        <v>0</v>
      </c>
      <c r="HI28">
        <v>30.254899999999999</v>
      </c>
      <c r="HJ28">
        <v>999.9</v>
      </c>
      <c r="HK28">
        <v>68.900000000000006</v>
      </c>
      <c r="HL28">
        <v>32.6</v>
      </c>
      <c r="HM28">
        <v>34.956000000000003</v>
      </c>
      <c r="HN28">
        <v>60.3401</v>
      </c>
      <c r="HO28">
        <v>5.7932699999999997</v>
      </c>
      <c r="HP28">
        <v>1</v>
      </c>
      <c r="HQ28">
        <v>0.36516300000000002</v>
      </c>
      <c r="HR28">
        <v>0</v>
      </c>
      <c r="HS28">
        <v>20.296600000000002</v>
      </c>
      <c r="HT28">
        <v>5.2112999999999996</v>
      </c>
      <c r="HU28">
        <v>11.902100000000001</v>
      </c>
      <c r="HV28">
        <v>4.9859999999999998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1.8627899999999999</v>
      </c>
      <c r="ID28">
        <v>1.8621799999999999</v>
      </c>
      <c r="IE28">
        <v>1.86172</v>
      </c>
      <c r="IF28">
        <v>1.86178</v>
      </c>
      <c r="IG28">
        <v>1.86249</v>
      </c>
      <c r="IH28">
        <v>1.8632500000000001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411</v>
      </c>
      <c r="IO28" t="s">
        <v>412</v>
      </c>
      <c r="IP28" t="s">
        <v>413</v>
      </c>
      <c r="IQ28" t="s">
        <v>414</v>
      </c>
      <c r="IR28" t="s">
        <v>414</v>
      </c>
      <c r="IS28" t="s">
        <v>413</v>
      </c>
      <c r="IT28">
        <v>0</v>
      </c>
      <c r="IU28">
        <v>100</v>
      </c>
      <c r="IV28">
        <v>100</v>
      </c>
      <c r="IW28">
        <v>-4.3570000000000002</v>
      </c>
      <c r="IX28">
        <v>0.42849999999999999</v>
      </c>
      <c r="IY28">
        <v>-2.731313787222684</v>
      </c>
      <c r="IZ28">
        <v>-4.3200172963836943E-3</v>
      </c>
      <c r="JA28">
        <v>1.144643420078806E-6</v>
      </c>
      <c r="JB28">
        <v>2.2629164031131329E-11</v>
      </c>
      <c r="JC28">
        <v>-0.12968574226668231</v>
      </c>
      <c r="JD28">
        <v>-2.723765763251367E-3</v>
      </c>
      <c r="JE28">
        <v>9.3351533439868235E-4</v>
      </c>
      <c r="JF28">
        <v>-7.9310479777716621E-6</v>
      </c>
      <c r="JG28">
        <v>18</v>
      </c>
      <c r="JH28">
        <v>1822</v>
      </c>
      <c r="JI28">
        <v>1</v>
      </c>
      <c r="JJ28">
        <v>38</v>
      </c>
      <c r="JK28">
        <v>0.8</v>
      </c>
      <c r="JL28">
        <v>0.6</v>
      </c>
      <c r="JM28">
        <v>1.08765</v>
      </c>
      <c r="JN28">
        <v>2.4841299999999999</v>
      </c>
      <c r="JO28">
        <v>1.50024</v>
      </c>
      <c r="JP28">
        <v>2.2790499999999998</v>
      </c>
      <c r="JQ28">
        <v>1.4477500000000001</v>
      </c>
      <c r="JR28">
        <v>2.36206</v>
      </c>
      <c r="JS28">
        <v>36.979399999999998</v>
      </c>
      <c r="JT28">
        <v>15.8832</v>
      </c>
      <c r="JU28">
        <v>18</v>
      </c>
      <c r="JV28">
        <v>540.13900000000001</v>
      </c>
      <c r="JW28">
        <v>437.54399999999998</v>
      </c>
      <c r="JX28">
        <v>31.3108</v>
      </c>
      <c r="JY28">
        <v>31.8749</v>
      </c>
      <c r="JZ28">
        <v>29.9998</v>
      </c>
      <c r="KA28">
        <v>31.8826</v>
      </c>
      <c r="KB28">
        <v>31.845199999999998</v>
      </c>
      <c r="KC28">
        <v>21.7681</v>
      </c>
      <c r="KD28">
        <v>35.564700000000002</v>
      </c>
      <c r="KE28">
        <v>76.311599999999999</v>
      </c>
      <c r="KF28">
        <v>-999.9</v>
      </c>
      <c r="KG28">
        <v>425.97199999999998</v>
      </c>
      <c r="KH28">
        <v>27.162700000000001</v>
      </c>
      <c r="KI28">
        <v>100.801</v>
      </c>
      <c r="KJ28">
        <v>99.8352</v>
      </c>
    </row>
    <row r="29" spans="1:296" x14ac:dyDescent="0.3">
      <c r="A29">
        <v>13</v>
      </c>
      <c r="B29">
        <v>1782831513.5</v>
      </c>
      <c r="C29">
        <v>1777.900000095367</v>
      </c>
      <c r="D29" t="s">
        <v>1074</v>
      </c>
      <c r="E29" t="s">
        <v>1075</v>
      </c>
      <c r="F29">
        <v>15</v>
      </c>
      <c r="H29">
        <v>1782831505.75</v>
      </c>
      <c r="I29">
        <f t="shared" si="0"/>
        <v>2.8096731013295354E-3</v>
      </c>
      <c r="J29">
        <f t="shared" si="1"/>
        <v>2.8096731013295355</v>
      </c>
      <c r="K29">
        <f t="shared" si="2"/>
        <v>0.31718105595174129</v>
      </c>
      <c r="L29">
        <f t="shared" si="3"/>
        <v>420.0462</v>
      </c>
      <c r="M29">
        <f t="shared" si="4"/>
        <v>407.08880573362757</v>
      </c>
      <c r="N29">
        <f t="shared" si="5"/>
        <v>39.666524879919962</v>
      </c>
      <c r="O29">
        <f t="shared" si="6"/>
        <v>40.929086745554521</v>
      </c>
      <c r="P29">
        <f t="shared" si="7"/>
        <v>0.18831081089409107</v>
      </c>
      <c r="Q29">
        <f t="shared" si="8"/>
        <v>2.8834954425331998</v>
      </c>
      <c r="R29">
        <f t="shared" si="9"/>
        <v>0.18173578874098995</v>
      </c>
      <c r="S29">
        <f t="shared" si="10"/>
        <v>0.11415648192317976</v>
      </c>
      <c r="T29">
        <f t="shared" si="11"/>
        <v>8.2403264750283736</v>
      </c>
      <c r="U29">
        <f t="shared" si="12"/>
        <v>30.449694073826286</v>
      </c>
      <c r="V29">
        <f t="shared" si="13"/>
        <v>30.65774333333334</v>
      </c>
      <c r="W29">
        <f t="shared" si="14"/>
        <v>4.4240850498677542</v>
      </c>
      <c r="X29">
        <f t="shared" si="15"/>
        <v>65.417233158215723</v>
      </c>
      <c r="Y29">
        <f t="shared" si="16"/>
        <v>2.9748447888520464</v>
      </c>
      <c r="Z29">
        <f t="shared" si="17"/>
        <v>4.5474940550560978</v>
      </c>
      <c r="AA29">
        <f t="shared" si="18"/>
        <v>1.4492402610157078</v>
      </c>
      <c r="AB29">
        <f t="shared" si="19"/>
        <v>-123.90658376863252</v>
      </c>
      <c r="AC29">
        <f t="shared" si="20"/>
        <v>74.956258569989501</v>
      </c>
      <c r="AD29">
        <f t="shared" si="21"/>
        <v>5.8315928750571677</v>
      </c>
      <c r="AE29">
        <f t="shared" si="22"/>
        <v>-34.878405848557477</v>
      </c>
      <c r="AF29">
        <f t="shared" si="23"/>
        <v>0.31718105595174129</v>
      </c>
      <c r="AG29">
        <f t="shared" si="24"/>
        <v>2.8096731013295355</v>
      </c>
      <c r="AH29">
        <f t="shared" si="25"/>
        <v>0.2716137941919029</v>
      </c>
      <c r="AI29">
        <v>433.81485585921303</v>
      </c>
      <c r="AJ29">
        <v>433.31703030303021</v>
      </c>
      <c r="AK29">
        <v>3.1527974492737067E-2</v>
      </c>
      <c r="AL29">
        <v>67.035878227365799</v>
      </c>
      <c r="AM29">
        <f t="shared" si="26"/>
        <v>2.7432789160921667</v>
      </c>
      <c r="AN29">
        <v>27.255051217190701</v>
      </c>
      <c r="AO29">
        <v>30.48557696969695</v>
      </c>
      <c r="AP29">
        <v>-6.4538881687007908E-3</v>
      </c>
      <c r="AQ29">
        <v>78.069939422622809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50800.06928652546</v>
      </c>
      <c r="AW29" t="s">
        <v>1027</v>
      </c>
      <c r="AX29">
        <v>4100.0200000000004</v>
      </c>
      <c r="AY29">
        <v>703.65588235294126</v>
      </c>
      <c r="AZ29">
        <v>2894.78</v>
      </c>
      <c r="BA29">
        <f t="shared" si="30"/>
        <v>0.75692250106987702</v>
      </c>
      <c r="BB29">
        <v>-1.8770886535882509</v>
      </c>
      <c r="BC29" t="s">
        <v>1076</v>
      </c>
      <c r="BD29">
        <v>5108.8</v>
      </c>
      <c r="BE29">
        <v>746.05182352941188</v>
      </c>
      <c r="BF29">
        <v>2282.88</v>
      </c>
      <c r="BG29">
        <f t="shared" si="31"/>
        <v>0.67319709159946561</v>
      </c>
      <c r="BH29">
        <v>0.5</v>
      </c>
      <c r="BI29">
        <f t="shared" si="32"/>
        <v>42.132932859600189</v>
      </c>
      <c r="BJ29">
        <f t="shared" si="33"/>
        <v>0.31718105595174129</v>
      </c>
      <c r="BK29">
        <f t="shared" si="34"/>
        <v>14.181883930819202</v>
      </c>
      <c r="BL29">
        <f t="shared" si="35"/>
        <v>5.2079681157064704E-2</v>
      </c>
      <c r="BM29">
        <f t="shared" si="36"/>
        <v>0.26803861788617889</v>
      </c>
      <c r="BN29">
        <f t="shared" si="37"/>
        <v>660.61412597050855</v>
      </c>
      <c r="BO29" t="s">
        <v>407</v>
      </c>
      <c r="BP29">
        <v>0</v>
      </c>
      <c r="BQ29">
        <f t="shared" si="38"/>
        <v>660.61412597050855</v>
      </c>
      <c r="BR29">
        <f t="shared" si="39"/>
        <v>0.71062249177770687</v>
      </c>
      <c r="BS29">
        <f t="shared" si="40"/>
        <v>0.94733434332395383</v>
      </c>
      <c r="BT29">
        <f t="shared" si="41"/>
        <v>0.27388297669071049</v>
      </c>
      <c r="BU29">
        <f t="shared" si="42"/>
        <v>0.97315394268443811</v>
      </c>
      <c r="BV29">
        <f t="shared" si="43"/>
        <v>0.2792630481641038</v>
      </c>
      <c r="BW29">
        <f t="shared" si="44"/>
        <v>0.83884581402960323</v>
      </c>
      <c r="BX29">
        <f t="shared" si="45"/>
        <v>0.16115418597039677</v>
      </c>
      <c r="DG29">
        <f t="shared" si="46"/>
        <v>49.99742333333333</v>
      </c>
      <c r="DH29">
        <f t="shared" si="47"/>
        <v>42.132932859600189</v>
      </c>
      <c r="DI29">
        <f t="shared" si="48"/>
        <v>0.84270208443942196</v>
      </c>
      <c r="DJ29">
        <f t="shared" si="49"/>
        <v>0.16481502296808442</v>
      </c>
      <c r="DK29">
        <v>6</v>
      </c>
      <c r="DL29">
        <v>0.5</v>
      </c>
      <c r="DM29" t="s">
        <v>408</v>
      </c>
      <c r="DN29">
        <v>2</v>
      </c>
      <c r="DO29" t="b">
        <v>0</v>
      </c>
      <c r="DP29">
        <v>1782831505.75</v>
      </c>
      <c r="DQ29">
        <v>420.0462</v>
      </c>
      <c r="DR29">
        <v>421.84313333333341</v>
      </c>
      <c r="DS29">
        <v>30.530176666666659</v>
      </c>
      <c r="DT29">
        <v>27.26135</v>
      </c>
      <c r="DU29">
        <v>424.43340000000001</v>
      </c>
      <c r="DV29">
        <v>30.11129</v>
      </c>
      <c r="DW29">
        <v>499.97633333333329</v>
      </c>
      <c r="DX29">
        <v>97.394486666666651</v>
      </c>
      <c r="DY29">
        <v>4.5001526666666652E-2</v>
      </c>
      <c r="DZ29">
        <v>31.139916666666679</v>
      </c>
      <c r="EA29">
        <v>30.65774333333334</v>
      </c>
      <c r="EB29">
        <v>999.9000000000002</v>
      </c>
      <c r="EC29">
        <v>0</v>
      </c>
      <c r="ED29">
        <v>0</v>
      </c>
      <c r="EE29">
        <v>10000.33333333333</v>
      </c>
      <c r="EF29">
        <v>0</v>
      </c>
      <c r="EG29">
        <v>58.353776666666668</v>
      </c>
      <c r="EH29">
        <v>-1.797014333333333</v>
      </c>
      <c r="EI29">
        <v>433.27406666666661</v>
      </c>
      <c r="EJ29">
        <v>433.66550000000012</v>
      </c>
      <c r="EK29">
        <v>3.2688223333333331</v>
      </c>
      <c r="EL29">
        <v>421.84313333333341</v>
      </c>
      <c r="EM29">
        <v>27.26135</v>
      </c>
      <c r="EN29">
        <v>2.9734703333333332</v>
      </c>
      <c r="EO29">
        <v>2.655104666666666</v>
      </c>
      <c r="EP29">
        <v>23.88008</v>
      </c>
      <c r="EQ29">
        <v>22.009869999999999</v>
      </c>
      <c r="ER29">
        <v>49.99742333333333</v>
      </c>
      <c r="ES29">
        <v>0.8998809666666665</v>
      </c>
      <c r="ET29">
        <v>0.10011916</v>
      </c>
      <c r="EU29">
        <v>0</v>
      </c>
      <c r="EV29">
        <v>746.02959999999996</v>
      </c>
      <c r="EW29">
        <v>5.0010700000000003</v>
      </c>
      <c r="EX29">
        <v>745.44573333333324</v>
      </c>
      <c r="EY29">
        <v>396.22399999999988</v>
      </c>
      <c r="EZ29">
        <v>35.660133333333327</v>
      </c>
      <c r="FA29">
        <v>38.8874</v>
      </c>
      <c r="FB29">
        <v>37.620800000000003</v>
      </c>
      <c r="FC29">
        <v>39.020666666666664</v>
      </c>
      <c r="FD29">
        <v>38.418400000000013</v>
      </c>
      <c r="FE29">
        <v>40.490666666666677</v>
      </c>
      <c r="FF29">
        <v>4.5030000000000001</v>
      </c>
      <c r="FG29">
        <v>0</v>
      </c>
      <c r="FH29">
        <v>134.20000004768369</v>
      </c>
      <c r="FI29">
        <v>0</v>
      </c>
      <c r="FJ29">
        <v>746.05182352941188</v>
      </c>
      <c r="FK29">
        <v>4.2294117438759411</v>
      </c>
      <c r="FL29">
        <v>86.01642241085959</v>
      </c>
      <c r="FM29">
        <v>745.39358823529415</v>
      </c>
      <c r="FN29">
        <v>10</v>
      </c>
      <c r="FO29">
        <v>1782831480.5</v>
      </c>
      <c r="FP29" t="s">
        <v>1077</v>
      </c>
      <c r="FQ29">
        <v>1782831470</v>
      </c>
      <c r="FR29">
        <v>1782831480.5</v>
      </c>
      <c r="FS29">
        <v>13</v>
      </c>
      <c r="FT29">
        <v>-0.03</v>
      </c>
      <c r="FU29">
        <v>1E-3</v>
      </c>
      <c r="FV29">
        <v>-4.3920000000000003</v>
      </c>
      <c r="FW29">
        <v>0.316</v>
      </c>
      <c r="FX29">
        <v>422</v>
      </c>
      <c r="FY29">
        <v>27</v>
      </c>
      <c r="FZ29">
        <v>1.34</v>
      </c>
      <c r="GA29">
        <v>0.09</v>
      </c>
      <c r="GB29">
        <v>-1.8977107499999999</v>
      </c>
      <c r="GC29">
        <v>0.82054120075047177</v>
      </c>
      <c r="GD29">
        <v>0.27524281683985408</v>
      </c>
      <c r="GE29">
        <v>1</v>
      </c>
      <c r="GF29">
        <v>746.0474999999999</v>
      </c>
      <c r="GG29">
        <v>-0.1827807510282719</v>
      </c>
      <c r="GH29">
        <v>0.30156662028577369</v>
      </c>
      <c r="GI29">
        <v>1</v>
      </c>
      <c r="GJ29">
        <v>3.2900447500000012</v>
      </c>
      <c r="GK29">
        <v>-0.40153452157599479</v>
      </c>
      <c r="GL29">
        <v>3.9406645060668398E-2</v>
      </c>
      <c r="GM29">
        <v>1</v>
      </c>
      <c r="GN29">
        <v>3</v>
      </c>
      <c r="GO29">
        <v>3</v>
      </c>
      <c r="GP29" t="s">
        <v>599</v>
      </c>
      <c r="GQ29">
        <v>3.1333899999999999</v>
      </c>
      <c r="GR29">
        <v>2.7230099999999999</v>
      </c>
      <c r="GS29">
        <v>9.1421799999999998E-2</v>
      </c>
      <c r="GT29">
        <v>9.1713100000000006E-2</v>
      </c>
      <c r="GU29">
        <v>0.131184</v>
      </c>
      <c r="GV29">
        <v>0.122778</v>
      </c>
      <c r="GW29">
        <v>22895.8</v>
      </c>
      <c r="GX29">
        <v>30779.3</v>
      </c>
      <c r="GY29">
        <v>27325.5</v>
      </c>
      <c r="GZ29">
        <v>34831.699999999997</v>
      </c>
      <c r="HA29">
        <v>34734.1</v>
      </c>
      <c r="HB29">
        <v>38983.300000000003</v>
      </c>
      <c r="HC29">
        <v>40325.599999999999</v>
      </c>
      <c r="HD29">
        <v>44528.800000000003</v>
      </c>
      <c r="HE29">
        <v>1.986</v>
      </c>
      <c r="HF29">
        <v>1.8058000000000001</v>
      </c>
      <c r="HG29">
        <v>3.4868700000000002E-2</v>
      </c>
      <c r="HH29">
        <v>0</v>
      </c>
      <c r="HI29">
        <v>30.0745</v>
      </c>
      <c r="HJ29">
        <v>999.9</v>
      </c>
      <c r="HK29">
        <v>68.2</v>
      </c>
      <c r="HL29">
        <v>32.700000000000003</v>
      </c>
      <c r="HM29">
        <v>34.790399999999998</v>
      </c>
      <c r="HN29">
        <v>60.310099999999998</v>
      </c>
      <c r="HO29">
        <v>5.9615400000000003</v>
      </c>
      <c r="HP29">
        <v>1</v>
      </c>
      <c r="HQ29">
        <v>0.35727599999999998</v>
      </c>
      <c r="HR29">
        <v>0</v>
      </c>
      <c r="HS29">
        <v>20.2972</v>
      </c>
      <c r="HT29">
        <v>5.2100999999999997</v>
      </c>
      <c r="HU29">
        <v>11.902100000000001</v>
      </c>
      <c r="HV29">
        <v>4.9847999999999999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1.8627899999999999</v>
      </c>
      <c r="ID29">
        <v>1.8621799999999999</v>
      </c>
      <c r="IE29">
        <v>1.86172</v>
      </c>
      <c r="IF29">
        <v>1.86175</v>
      </c>
      <c r="IG29">
        <v>1.86249</v>
      </c>
      <c r="IH29">
        <v>1.86328</v>
      </c>
      <c r="II29">
        <v>1.8613</v>
      </c>
      <c r="IJ29">
        <v>0</v>
      </c>
      <c r="IK29">
        <v>0</v>
      </c>
      <c r="IL29">
        <v>0</v>
      </c>
      <c r="IM29">
        <v>4.5</v>
      </c>
      <c r="IN29" t="s">
        <v>411</v>
      </c>
      <c r="IO29" t="s">
        <v>412</v>
      </c>
      <c r="IP29" t="s">
        <v>413</v>
      </c>
      <c r="IQ29" t="s">
        <v>414</v>
      </c>
      <c r="IR29" t="s">
        <v>414</v>
      </c>
      <c r="IS29" t="s">
        <v>413</v>
      </c>
      <c r="IT29">
        <v>0</v>
      </c>
      <c r="IU29">
        <v>100</v>
      </c>
      <c r="IV29">
        <v>100</v>
      </c>
      <c r="IW29">
        <v>-4.3879999999999999</v>
      </c>
      <c r="IX29">
        <v>0.41739999999999999</v>
      </c>
      <c r="IY29">
        <v>-2.7614998253620762</v>
      </c>
      <c r="IZ29">
        <v>-4.3200172963836943E-3</v>
      </c>
      <c r="JA29">
        <v>1.144643420078806E-6</v>
      </c>
      <c r="JB29">
        <v>2.2629164031131329E-11</v>
      </c>
      <c r="JC29">
        <v>-0.1289752039760915</v>
      </c>
      <c r="JD29">
        <v>-2.723765763251367E-3</v>
      </c>
      <c r="JE29">
        <v>9.3351533439868235E-4</v>
      </c>
      <c r="JF29">
        <v>-7.9310479777716621E-6</v>
      </c>
      <c r="JG29">
        <v>18</v>
      </c>
      <c r="JH29">
        <v>1822</v>
      </c>
      <c r="JI29">
        <v>1</v>
      </c>
      <c r="JJ29">
        <v>38</v>
      </c>
      <c r="JK29">
        <v>0.7</v>
      </c>
      <c r="JL29">
        <v>0.6</v>
      </c>
      <c r="JM29">
        <v>1.0803199999999999</v>
      </c>
      <c r="JN29">
        <v>2.4939</v>
      </c>
      <c r="JO29">
        <v>1.50024</v>
      </c>
      <c r="JP29">
        <v>2.2778299999999998</v>
      </c>
      <c r="JQ29">
        <v>1.4477500000000001</v>
      </c>
      <c r="JR29">
        <v>2.2814899999999998</v>
      </c>
      <c r="JS29">
        <v>36.931699999999999</v>
      </c>
      <c r="JT29">
        <v>15.8569</v>
      </c>
      <c r="JU29">
        <v>18</v>
      </c>
      <c r="JV29">
        <v>539.79999999999995</v>
      </c>
      <c r="JW29">
        <v>438.06700000000001</v>
      </c>
      <c r="JX29">
        <v>31.132899999999999</v>
      </c>
      <c r="JY29">
        <v>31.779800000000002</v>
      </c>
      <c r="JZ29">
        <v>29.9999</v>
      </c>
      <c r="KA29">
        <v>31.796199999999999</v>
      </c>
      <c r="KB29">
        <v>31.762</v>
      </c>
      <c r="KC29">
        <v>21.612100000000002</v>
      </c>
      <c r="KD29">
        <v>34.945900000000002</v>
      </c>
      <c r="KE29">
        <v>74.407499999999999</v>
      </c>
      <c r="KF29">
        <v>-999.9</v>
      </c>
      <c r="KG29">
        <v>421.74299999999999</v>
      </c>
      <c r="KH29">
        <v>27.247699999999998</v>
      </c>
      <c r="KI29">
        <v>100.81100000000001</v>
      </c>
      <c r="KJ29">
        <v>99.8523</v>
      </c>
    </row>
    <row r="30" spans="1:296" x14ac:dyDescent="0.3">
      <c r="A30">
        <v>14</v>
      </c>
      <c r="B30">
        <v>1782831673.5</v>
      </c>
      <c r="C30">
        <v>1937.900000095367</v>
      </c>
      <c r="D30" t="s">
        <v>1078</v>
      </c>
      <c r="E30" t="s">
        <v>1079</v>
      </c>
      <c r="F30">
        <v>15</v>
      </c>
      <c r="H30">
        <v>1782831665.5</v>
      </c>
      <c r="I30">
        <f t="shared" si="0"/>
        <v>2.5540013981126719E-3</v>
      </c>
      <c r="J30">
        <f t="shared" si="1"/>
        <v>2.5540013981126721</v>
      </c>
      <c r="K30">
        <f t="shared" si="2"/>
        <v>-0.94903940220523531</v>
      </c>
      <c r="L30">
        <f t="shared" si="3"/>
        <v>419.94712903225798</v>
      </c>
      <c r="M30">
        <f t="shared" si="4"/>
        <v>418.7688220312823</v>
      </c>
      <c r="N30">
        <f t="shared" si="5"/>
        <v>40.796958631998017</v>
      </c>
      <c r="O30">
        <f t="shared" si="6"/>
        <v>40.911750706874614</v>
      </c>
      <c r="P30">
        <f t="shared" si="7"/>
        <v>0.17030840627954091</v>
      </c>
      <c r="Q30">
        <f t="shared" si="8"/>
        <v>2.8830158963548049</v>
      </c>
      <c r="R30">
        <f t="shared" si="9"/>
        <v>0.16491017465083285</v>
      </c>
      <c r="S30">
        <f t="shared" si="10"/>
        <v>0.10353961532230718</v>
      </c>
      <c r="T30">
        <f t="shared" si="11"/>
        <v>4.9341941613346361</v>
      </c>
      <c r="U30">
        <f t="shared" si="12"/>
        <v>30.350261548937546</v>
      </c>
      <c r="V30">
        <f t="shared" si="13"/>
        <v>30.549980645161291</v>
      </c>
      <c r="W30">
        <f t="shared" si="14"/>
        <v>4.3969063184981412</v>
      </c>
      <c r="X30">
        <f t="shared" si="15"/>
        <v>65.304526133554987</v>
      </c>
      <c r="Y30">
        <f t="shared" si="16"/>
        <v>2.9449748125834074</v>
      </c>
      <c r="Z30">
        <f t="shared" si="17"/>
        <v>4.5096029126076314</v>
      </c>
      <c r="AA30">
        <f t="shared" si="18"/>
        <v>1.4519315059147337</v>
      </c>
      <c r="AB30">
        <f t="shared" si="19"/>
        <v>-112.63146165676883</v>
      </c>
      <c r="AC30">
        <f t="shared" si="20"/>
        <v>68.873164618019288</v>
      </c>
      <c r="AD30">
        <f t="shared" si="21"/>
        <v>5.3524877694131927</v>
      </c>
      <c r="AE30">
        <f t="shared" si="22"/>
        <v>-33.471615108001714</v>
      </c>
      <c r="AF30">
        <f t="shared" si="23"/>
        <v>-0.94903940220523531</v>
      </c>
      <c r="AG30">
        <f t="shared" si="24"/>
        <v>2.5540013981126721</v>
      </c>
      <c r="AH30">
        <f t="shared" si="25"/>
        <v>-0.97468951043573238</v>
      </c>
      <c r="AI30">
        <v>431.86410672880601</v>
      </c>
      <c r="AJ30">
        <v>432.99337575757568</v>
      </c>
      <c r="AK30">
        <v>1.4133232657217269E-2</v>
      </c>
      <c r="AL30">
        <v>67.090166686325702</v>
      </c>
      <c r="AM30">
        <f t="shared" si="26"/>
        <v>2.5199291349186526</v>
      </c>
      <c r="AN30">
        <v>27.254697597193029</v>
      </c>
      <c r="AO30">
        <v>30.198646060606041</v>
      </c>
      <c r="AP30">
        <v>-1.929379604761321E-3</v>
      </c>
      <c r="AQ30">
        <v>78.242935302047243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50810.725226284179</v>
      </c>
      <c r="AW30" t="s">
        <v>1027</v>
      </c>
      <c r="AX30">
        <v>4100.0200000000004</v>
      </c>
      <c r="AY30">
        <v>703.65588235294126</v>
      </c>
      <c r="AZ30">
        <v>2894.78</v>
      </c>
      <c r="BA30">
        <f t="shared" si="30"/>
        <v>0.75692250106987702</v>
      </c>
      <c r="BB30">
        <v>-1.8770886535882509</v>
      </c>
      <c r="BC30" t="s">
        <v>1080</v>
      </c>
      <c r="BD30">
        <v>5111.93</v>
      </c>
      <c r="BE30">
        <v>724.20505882352938</v>
      </c>
      <c r="BF30">
        <v>2360.0300000000002</v>
      </c>
      <c r="BG30">
        <f t="shared" si="31"/>
        <v>0.69313735044743952</v>
      </c>
      <c r="BH30">
        <v>0.5</v>
      </c>
      <c r="BI30">
        <f t="shared" si="32"/>
        <v>25.285234134737991</v>
      </c>
      <c r="BJ30">
        <f t="shared" si="33"/>
        <v>-0.94903940220523531</v>
      </c>
      <c r="BK30">
        <f t="shared" si="34"/>
        <v>8.7630700967977226</v>
      </c>
      <c r="BL30">
        <f t="shared" si="35"/>
        <v>3.6703209724604446E-2</v>
      </c>
      <c r="BM30">
        <f t="shared" si="36"/>
        <v>0.22658610271903321</v>
      </c>
      <c r="BN30">
        <f t="shared" si="37"/>
        <v>666.92310293307241</v>
      </c>
      <c r="BO30" t="s">
        <v>407</v>
      </c>
      <c r="BP30">
        <v>0</v>
      </c>
      <c r="BQ30">
        <f t="shared" si="38"/>
        <v>666.92310293307241</v>
      </c>
      <c r="BR30">
        <f t="shared" si="39"/>
        <v>0.71740905711661618</v>
      </c>
      <c r="BS30">
        <f t="shared" si="40"/>
        <v>0.96616754914312264</v>
      </c>
      <c r="BT30">
        <f t="shared" si="41"/>
        <v>0.24002888188376106</v>
      </c>
      <c r="BU30">
        <f t="shared" si="42"/>
        <v>0.98759387975720192</v>
      </c>
      <c r="BV30">
        <f t="shared" si="43"/>
        <v>0.24405281092622078</v>
      </c>
      <c r="BW30">
        <f t="shared" si="44"/>
        <v>0.88974725041901059</v>
      </c>
      <c r="BX30">
        <f t="shared" si="45"/>
        <v>0.11025274958098941</v>
      </c>
      <c r="DG30">
        <f t="shared" si="46"/>
        <v>30.01252580645162</v>
      </c>
      <c r="DH30">
        <f t="shared" si="47"/>
        <v>25.285234134737991</v>
      </c>
      <c r="DI30">
        <f t="shared" si="48"/>
        <v>0.84248937586261297</v>
      </c>
      <c r="DJ30">
        <f t="shared" si="49"/>
        <v>0.16440449541484312</v>
      </c>
      <c r="DK30">
        <v>6</v>
      </c>
      <c r="DL30">
        <v>0.5</v>
      </c>
      <c r="DM30" t="s">
        <v>408</v>
      </c>
      <c r="DN30">
        <v>2</v>
      </c>
      <c r="DO30" t="b">
        <v>0</v>
      </c>
      <c r="DP30">
        <v>1782831665.5</v>
      </c>
      <c r="DQ30">
        <v>419.94712903225798</v>
      </c>
      <c r="DR30">
        <v>420.09532258064507</v>
      </c>
      <c r="DS30">
        <v>30.229303225806451</v>
      </c>
      <c r="DT30">
        <v>27.257425806451611</v>
      </c>
      <c r="DU30">
        <v>424.33509677419357</v>
      </c>
      <c r="DV30">
        <v>29.81568064516129</v>
      </c>
      <c r="DW30">
        <v>500.04667741935492</v>
      </c>
      <c r="DX30">
        <v>97.374016129032242</v>
      </c>
      <c r="DY30">
        <v>4.7177822580645158E-2</v>
      </c>
      <c r="DZ30">
        <v>30.99309677419355</v>
      </c>
      <c r="EA30">
        <v>30.549980645161291</v>
      </c>
      <c r="EB30">
        <v>999.90000000000032</v>
      </c>
      <c r="EC30">
        <v>0</v>
      </c>
      <c r="ED30">
        <v>0</v>
      </c>
      <c r="EE30">
        <v>9999.677419354839</v>
      </c>
      <c r="EF30">
        <v>0</v>
      </c>
      <c r="EG30">
        <v>293.46945161290319</v>
      </c>
      <c r="EH30">
        <v>-0.14810373548387101</v>
      </c>
      <c r="EI30">
        <v>433.0377096774194</v>
      </c>
      <c r="EJ30">
        <v>431.86693548387092</v>
      </c>
      <c r="EK30">
        <v>2.9718761290322582</v>
      </c>
      <c r="EL30">
        <v>420.09532258064507</v>
      </c>
      <c r="EM30">
        <v>27.257425806451611</v>
      </c>
      <c r="EN30">
        <v>2.9435480645161278</v>
      </c>
      <c r="EO30">
        <v>2.6541641935483868</v>
      </c>
      <c r="EP30">
        <v>23.711961290322591</v>
      </c>
      <c r="EQ30">
        <v>22.004064516129031</v>
      </c>
      <c r="ER30">
        <v>30.01252580645162</v>
      </c>
      <c r="ES30">
        <v>0.90030480645161293</v>
      </c>
      <c r="ET30">
        <v>9.9694970967741964E-2</v>
      </c>
      <c r="EU30">
        <v>0</v>
      </c>
      <c r="EV30">
        <v>724.22116129032258</v>
      </c>
      <c r="EW30">
        <v>5.0010700000000003</v>
      </c>
      <c r="EX30">
        <v>1414.638387096775</v>
      </c>
      <c r="EY30">
        <v>220.28106451612899</v>
      </c>
      <c r="EZ30">
        <v>35.247967741935483</v>
      </c>
      <c r="FA30">
        <v>38.637</v>
      </c>
      <c r="FB30">
        <v>37.25</v>
      </c>
      <c r="FC30">
        <v>38.711387096774168</v>
      </c>
      <c r="FD30">
        <v>38.008000000000003</v>
      </c>
      <c r="FE30">
        <v>22.516451612903222</v>
      </c>
      <c r="FF30">
        <v>2.4899999999999989</v>
      </c>
      <c r="FG30">
        <v>0</v>
      </c>
      <c r="FH30">
        <v>159.20000004768369</v>
      </c>
      <c r="FI30">
        <v>0</v>
      </c>
      <c r="FJ30">
        <v>724.20505882352938</v>
      </c>
      <c r="FK30">
        <v>-0.29313726430775328</v>
      </c>
      <c r="FL30">
        <v>-11.07107865461038</v>
      </c>
      <c r="FM30">
        <v>1414.3558823529411</v>
      </c>
      <c r="FN30">
        <v>10</v>
      </c>
      <c r="FO30">
        <v>1782831641</v>
      </c>
      <c r="FP30" t="s">
        <v>1081</v>
      </c>
      <c r="FQ30">
        <v>1782831625</v>
      </c>
      <c r="FR30">
        <v>1782831641</v>
      </c>
      <c r="FS30">
        <v>14</v>
      </c>
      <c r="FT30">
        <v>-1E-3</v>
      </c>
      <c r="FU30">
        <v>4.0000000000000001E-3</v>
      </c>
      <c r="FV30">
        <v>-4.3879999999999999</v>
      </c>
      <c r="FW30">
        <v>0.32600000000000001</v>
      </c>
      <c r="FX30">
        <v>420</v>
      </c>
      <c r="FY30">
        <v>27</v>
      </c>
      <c r="FZ30">
        <v>2.16</v>
      </c>
      <c r="GA30">
        <v>0.09</v>
      </c>
      <c r="GB30">
        <v>-0.18997414500000001</v>
      </c>
      <c r="GC30">
        <v>0.52345621846153789</v>
      </c>
      <c r="GD30">
        <v>0.15135059819734001</v>
      </c>
      <c r="GE30">
        <v>1</v>
      </c>
      <c r="GF30">
        <v>724.18732352941174</v>
      </c>
      <c r="GG30">
        <v>0.1241100063069962</v>
      </c>
      <c r="GH30">
        <v>0.2336714285170273</v>
      </c>
      <c r="GI30">
        <v>1</v>
      </c>
      <c r="GJ30">
        <v>2.9941770000000001</v>
      </c>
      <c r="GK30">
        <v>-0.42779842401501822</v>
      </c>
      <c r="GL30">
        <v>4.2988172163980189E-2</v>
      </c>
      <c r="GM30">
        <v>1</v>
      </c>
      <c r="GN30">
        <v>3</v>
      </c>
      <c r="GO30">
        <v>3</v>
      </c>
      <c r="GP30" t="s">
        <v>599</v>
      </c>
      <c r="GQ30">
        <v>3.1326800000000001</v>
      </c>
      <c r="GR30">
        <v>2.7231700000000001</v>
      </c>
      <c r="GS30">
        <v>9.1404799999999994E-2</v>
      </c>
      <c r="GT30">
        <v>9.1460399999999997E-2</v>
      </c>
      <c r="GU30">
        <v>0.13034699999999999</v>
      </c>
      <c r="GV30">
        <v>0.12281</v>
      </c>
      <c r="GW30">
        <v>22901.1</v>
      </c>
      <c r="GX30">
        <v>30795.9</v>
      </c>
      <c r="GY30">
        <v>27330.7</v>
      </c>
      <c r="GZ30">
        <v>34839.9</v>
      </c>
      <c r="HA30">
        <v>34774.400000000001</v>
      </c>
      <c r="HB30">
        <v>38989.599999999999</v>
      </c>
      <c r="HC30">
        <v>40334.1</v>
      </c>
      <c r="HD30">
        <v>44538</v>
      </c>
      <c r="HE30">
        <v>1.9862</v>
      </c>
      <c r="HF30">
        <v>1.8080000000000001</v>
      </c>
      <c r="HG30">
        <v>3.8445E-2</v>
      </c>
      <c r="HH30">
        <v>0</v>
      </c>
      <c r="HI30">
        <v>29.9208</v>
      </c>
      <c r="HJ30">
        <v>999.9</v>
      </c>
      <c r="HK30">
        <v>67.400000000000006</v>
      </c>
      <c r="HL30">
        <v>32.799999999999997</v>
      </c>
      <c r="HM30">
        <v>34.580500000000001</v>
      </c>
      <c r="HN30">
        <v>60.150100000000002</v>
      </c>
      <c r="HO30">
        <v>5.5408600000000003</v>
      </c>
      <c r="HP30">
        <v>1</v>
      </c>
      <c r="HQ30">
        <v>0.34695100000000001</v>
      </c>
      <c r="HR30">
        <v>0</v>
      </c>
      <c r="HS30">
        <v>20.297599999999999</v>
      </c>
      <c r="HT30">
        <v>5.2065099999999997</v>
      </c>
      <c r="HU30">
        <v>11.902100000000001</v>
      </c>
      <c r="HV30">
        <v>4.984</v>
      </c>
      <c r="HW30">
        <v>3.27</v>
      </c>
      <c r="HX30">
        <v>9999</v>
      </c>
      <c r="HY30">
        <v>9999</v>
      </c>
      <c r="HZ30">
        <v>9999</v>
      </c>
      <c r="IA30">
        <v>999.9</v>
      </c>
      <c r="IB30">
        <v>1.8672200000000001</v>
      </c>
      <c r="IC30">
        <v>1.8627899999999999</v>
      </c>
      <c r="ID30">
        <v>1.8621799999999999</v>
      </c>
      <c r="IE30">
        <v>1.86172</v>
      </c>
      <c r="IF30">
        <v>1.86175</v>
      </c>
      <c r="IG30">
        <v>1.86249</v>
      </c>
      <c r="IH30">
        <v>1.86331</v>
      </c>
      <c r="II30">
        <v>1.8613299999999999</v>
      </c>
      <c r="IJ30">
        <v>0</v>
      </c>
      <c r="IK30">
        <v>0</v>
      </c>
      <c r="IL30">
        <v>0</v>
      </c>
      <c r="IM30">
        <v>4.5</v>
      </c>
      <c r="IN30" t="s">
        <v>411</v>
      </c>
      <c r="IO30" t="s">
        <v>412</v>
      </c>
      <c r="IP30" t="s">
        <v>413</v>
      </c>
      <c r="IQ30" t="s">
        <v>414</v>
      </c>
      <c r="IR30" t="s">
        <v>414</v>
      </c>
      <c r="IS30" t="s">
        <v>413</v>
      </c>
      <c r="IT30">
        <v>0</v>
      </c>
      <c r="IU30">
        <v>100</v>
      </c>
      <c r="IV30">
        <v>100</v>
      </c>
      <c r="IW30">
        <v>-4.3879999999999999</v>
      </c>
      <c r="IX30">
        <v>0.41260000000000002</v>
      </c>
      <c r="IY30">
        <v>-2.762671263801749</v>
      </c>
      <c r="IZ30">
        <v>-4.3200172963836943E-3</v>
      </c>
      <c r="JA30">
        <v>1.144643420078806E-6</v>
      </c>
      <c r="JB30">
        <v>2.2629164031131329E-11</v>
      </c>
      <c r="JC30">
        <v>-0.1248301522778847</v>
      </c>
      <c r="JD30">
        <v>-2.723765763251367E-3</v>
      </c>
      <c r="JE30">
        <v>9.3351533439868235E-4</v>
      </c>
      <c r="JF30">
        <v>-7.9310479777716621E-6</v>
      </c>
      <c r="JG30">
        <v>18</v>
      </c>
      <c r="JH30">
        <v>1822</v>
      </c>
      <c r="JI30">
        <v>1</v>
      </c>
      <c r="JJ30">
        <v>38</v>
      </c>
      <c r="JK30">
        <v>0.8</v>
      </c>
      <c r="JL30">
        <v>0.5</v>
      </c>
      <c r="JM30">
        <v>1.0778799999999999</v>
      </c>
      <c r="JN30">
        <v>2.4865699999999999</v>
      </c>
      <c r="JO30">
        <v>1.50024</v>
      </c>
      <c r="JP30">
        <v>2.2778299999999998</v>
      </c>
      <c r="JQ30">
        <v>1.4477500000000001</v>
      </c>
      <c r="JR30">
        <v>2.4462899999999999</v>
      </c>
      <c r="JS30">
        <v>36.8842</v>
      </c>
      <c r="JT30">
        <v>15.8482</v>
      </c>
      <c r="JU30">
        <v>18</v>
      </c>
      <c r="JV30">
        <v>539.03599999999994</v>
      </c>
      <c r="JW30">
        <v>438.68200000000002</v>
      </c>
      <c r="JX30">
        <v>30.987300000000001</v>
      </c>
      <c r="JY30">
        <v>31.662700000000001</v>
      </c>
      <c r="JZ30">
        <v>29.9999</v>
      </c>
      <c r="KA30">
        <v>31.6907</v>
      </c>
      <c r="KB30">
        <v>31.657</v>
      </c>
      <c r="KC30">
        <v>21.5611</v>
      </c>
      <c r="KD30">
        <v>34.561199999999999</v>
      </c>
      <c r="KE30">
        <v>73.059799999999996</v>
      </c>
      <c r="KF30">
        <v>-999.9</v>
      </c>
      <c r="KG30">
        <v>420.221</v>
      </c>
      <c r="KH30">
        <v>27.3001</v>
      </c>
      <c r="KI30">
        <v>100.831</v>
      </c>
      <c r="KJ30">
        <v>99.874300000000005</v>
      </c>
    </row>
    <row r="31" spans="1:296" x14ac:dyDescent="0.3">
      <c r="A31">
        <v>15</v>
      </c>
      <c r="B31">
        <v>1782831834.5</v>
      </c>
      <c r="C31">
        <v>2098.900000095367</v>
      </c>
      <c r="D31" t="s">
        <v>1082</v>
      </c>
      <c r="E31" t="s">
        <v>1083</v>
      </c>
      <c r="F31">
        <v>15</v>
      </c>
      <c r="H31">
        <v>1782831826.5</v>
      </c>
      <c r="I31">
        <f t="shared" si="0"/>
        <v>2.4937334323915103E-3</v>
      </c>
      <c r="J31">
        <f t="shared" si="1"/>
        <v>2.4937334323915104</v>
      </c>
      <c r="K31">
        <f t="shared" si="2"/>
        <v>-3.6285014470851364</v>
      </c>
      <c r="L31">
        <f t="shared" si="3"/>
        <v>420.16406451612897</v>
      </c>
      <c r="M31">
        <f t="shared" si="4"/>
        <v>445.25922970938871</v>
      </c>
      <c r="N31">
        <f t="shared" si="5"/>
        <v>43.377041144314546</v>
      </c>
      <c r="O31">
        <f t="shared" si="6"/>
        <v>40.932276520744871</v>
      </c>
      <c r="P31">
        <f t="shared" si="7"/>
        <v>0.16701412350710754</v>
      </c>
      <c r="Q31">
        <f t="shared" si="8"/>
        <v>2.8833514731298524</v>
      </c>
      <c r="R31">
        <f t="shared" si="9"/>
        <v>0.16181986461315767</v>
      </c>
      <c r="S31">
        <f t="shared" si="10"/>
        <v>0.10159064212016417</v>
      </c>
      <c r="T31">
        <f t="shared" si="11"/>
        <v>1.5966703903835998E-4</v>
      </c>
      <c r="U31">
        <f t="shared" si="12"/>
        <v>30.259364542059824</v>
      </c>
      <c r="V31">
        <f t="shared" si="13"/>
        <v>30.507780645161301</v>
      </c>
      <c r="W31">
        <f t="shared" si="14"/>
        <v>4.3863027989780434</v>
      </c>
      <c r="X31">
        <f t="shared" si="15"/>
        <v>65.515264630819232</v>
      </c>
      <c r="Y31">
        <f t="shared" si="16"/>
        <v>2.9414732750983013</v>
      </c>
      <c r="Z31">
        <f t="shared" si="17"/>
        <v>4.4897525663272591</v>
      </c>
      <c r="AA31">
        <f t="shared" si="18"/>
        <v>1.4448295238797422</v>
      </c>
      <c r="AB31">
        <f t="shared" si="19"/>
        <v>-109.9736443684656</v>
      </c>
      <c r="AC31">
        <f t="shared" si="20"/>
        <v>63.417962820183305</v>
      </c>
      <c r="AD31">
        <f t="shared" si="21"/>
        <v>4.9250535580440991</v>
      </c>
      <c r="AE31">
        <f t="shared" si="22"/>
        <v>-41.630468323199153</v>
      </c>
      <c r="AF31">
        <f t="shared" si="23"/>
        <v>-3.6285014470851364</v>
      </c>
      <c r="AG31">
        <f t="shared" si="24"/>
        <v>2.4937334323915104</v>
      </c>
      <c r="AH31">
        <f t="shared" si="25"/>
        <v>-3.615226910006538</v>
      </c>
      <c r="AI31">
        <v>428.97012419845379</v>
      </c>
      <c r="AJ31">
        <v>433.17303030303032</v>
      </c>
      <c r="AK31">
        <v>4.9777418248476257E-2</v>
      </c>
      <c r="AL31">
        <v>67.09007124519654</v>
      </c>
      <c r="AM31">
        <f t="shared" si="26"/>
        <v>2.4512271228950104</v>
      </c>
      <c r="AN31">
        <v>27.288479337756488</v>
      </c>
      <c r="AO31">
        <v>30.15448606060605</v>
      </c>
      <c r="AP31">
        <v>-2.17532527031965E-3</v>
      </c>
      <c r="AQ31">
        <v>78.242918244924823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50833.030367456107</v>
      </c>
      <c r="AW31" t="s">
        <v>965</v>
      </c>
      <c r="AX31">
        <v>5108.9799999999996</v>
      </c>
      <c r="AY31">
        <v>586.62058823529424</v>
      </c>
      <c r="AZ31">
        <v>2589.38</v>
      </c>
      <c r="BA31">
        <f t="shared" si="30"/>
        <v>0.77345133266060051</v>
      </c>
      <c r="BB31">
        <v>-3.628501447085184</v>
      </c>
      <c r="BC31" t="s">
        <v>407</v>
      </c>
      <c r="BD31" t="s">
        <v>407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-3.6285014470851364</v>
      </c>
      <c r="BK31" t="e">
        <f t="shared" si="34"/>
        <v>#DIV/0!</v>
      </c>
      <c r="BL31">
        <f t="shared" si="35"/>
        <v>5.6544755201997057E-11</v>
      </c>
      <c r="BM31" t="e">
        <f t="shared" si="36"/>
        <v>#DIV/0!</v>
      </c>
      <c r="BN31" t="e">
        <f t="shared" si="37"/>
        <v>#DIV/0!</v>
      </c>
      <c r="BO31" t="s">
        <v>407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1.2929061697522624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408</v>
      </c>
      <c r="DN31">
        <v>2</v>
      </c>
      <c r="DO31" t="b">
        <v>0</v>
      </c>
      <c r="DP31">
        <v>1782831826.5</v>
      </c>
      <c r="DQ31">
        <v>420.16406451612897</v>
      </c>
      <c r="DR31">
        <v>417.06706451612911</v>
      </c>
      <c r="DS31">
        <v>30.19380967741936</v>
      </c>
      <c r="DT31">
        <v>27.29156129032258</v>
      </c>
      <c r="DU31">
        <v>424.54106451612898</v>
      </c>
      <c r="DV31">
        <v>29.783703225806448</v>
      </c>
      <c r="DW31">
        <v>499.97887096774201</v>
      </c>
      <c r="DX31">
        <v>97.372393548387095</v>
      </c>
      <c r="DY31">
        <v>4.7352635483870968E-2</v>
      </c>
      <c r="DZ31">
        <v>30.915751612903229</v>
      </c>
      <c r="EA31">
        <v>30.507780645161301</v>
      </c>
      <c r="EB31">
        <v>999.90000000000032</v>
      </c>
      <c r="EC31">
        <v>0</v>
      </c>
      <c r="ED31">
        <v>0</v>
      </c>
      <c r="EE31">
        <v>10001.77419354839</v>
      </c>
      <c r="EF31">
        <v>0</v>
      </c>
      <c r="EG31">
        <v>289.69600000000003</v>
      </c>
      <c r="EH31">
        <v>3.0969506451612898</v>
      </c>
      <c r="EI31">
        <v>433.2454193548387</v>
      </c>
      <c r="EJ31">
        <v>428.76893548387102</v>
      </c>
      <c r="EK31">
        <v>2.90225</v>
      </c>
      <c r="EL31">
        <v>417.06706451612911</v>
      </c>
      <c r="EM31">
        <v>27.29156129032258</v>
      </c>
      <c r="EN31">
        <v>2.9400432258064511</v>
      </c>
      <c r="EO31">
        <v>2.657445161290322</v>
      </c>
      <c r="EP31">
        <v>23.69218064516129</v>
      </c>
      <c r="EQ31">
        <v>22.024312903225798</v>
      </c>
      <c r="ER31">
        <v>1.00021E-2</v>
      </c>
      <c r="ES31">
        <v>0</v>
      </c>
      <c r="ET31">
        <v>0</v>
      </c>
      <c r="EU31">
        <v>0</v>
      </c>
      <c r="EV31">
        <v>587.94838709677424</v>
      </c>
      <c r="EW31">
        <v>1.00021E-2</v>
      </c>
      <c r="EX31">
        <v>1234.2258064516129</v>
      </c>
      <c r="EY31">
        <v>2.8048387096774201</v>
      </c>
      <c r="EZ31">
        <v>34.896999999999991</v>
      </c>
      <c r="FA31">
        <v>38.467483870967733</v>
      </c>
      <c r="FB31">
        <v>36.949193548387093</v>
      </c>
      <c r="FC31">
        <v>38.375</v>
      </c>
      <c r="FD31">
        <v>37.531999999999996</v>
      </c>
      <c r="FE31">
        <v>0</v>
      </c>
      <c r="FF31">
        <v>0</v>
      </c>
      <c r="FG31">
        <v>0</v>
      </c>
      <c r="FH31">
        <v>160.5</v>
      </c>
      <c r="FI31">
        <v>0</v>
      </c>
      <c r="FJ31">
        <v>586.62058823529424</v>
      </c>
      <c r="FK31">
        <v>-2.5980393480056261</v>
      </c>
      <c r="FL31">
        <v>67.904412042436832</v>
      </c>
      <c r="FM31">
        <v>1236.55</v>
      </c>
      <c r="FN31">
        <v>10</v>
      </c>
      <c r="FO31">
        <v>1782831806</v>
      </c>
      <c r="FP31" t="s">
        <v>1084</v>
      </c>
      <c r="FQ31">
        <v>1782831798.5</v>
      </c>
      <c r="FR31">
        <v>1782831806</v>
      </c>
      <c r="FS31">
        <v>15</v>
      </c>
      <c r="FT31">
        <v>1.2E-2</v>
      </c>
      <c r="FU31">
        <v>-2E-3</v>
      </c>
      <c r="FV31">
        <v>-4.367</v>
      </c>
      <c r="FW31">
        <v>0.32300000000000001</v>
      </c>
      <c r="FX31">
        <v>417</v>
      </c>
      <c r="FY31">
        <v>27</v>
      </c>
      <c r="FZ31">
        <v>1.59</v>
      </c>
      <c r="GA31">
        <v>0.12</v>
      </c>
      <c r="GB31">
        <v>3.0559075</v>
      </c>
      <c r="GC31">
        <v>-0.43829200750470149</v>
      </c>
      <c r="GD31">
        <v>0.24460084018406389</v>
      </c>
      <c r="GE31">
        <v>1</v>
      </c>
      <c r="GF31">
        <v>587.90735294117655</v>
      </c>
      <c r="GG31">
        <v>-2.795263568556293</v>
      </c>
      <c r="GH31">
        <v>3.8990785554172822</v>
      </c>
      <c r="GI31">
        <v>1</v>
      </c>
      <c r="GJ31">
        <v>2.9191302499999998</v>
      </c>
      <c r="GK31">
        <v>-0.36560183864916818</v>
      </c>
      <c r="GL31">
        <v>4.3074666538900762E-2</v>
      </c>
      <c r="GM31">
        <v>1</v>
      </c>
      <c r="GN31">
        <v>3</v>
      </c>
      <c r="GO31">
        <v>3</v>
      </c>
      <c r="GP31" t="s">
        <v>599</v>
      </c>
      <c r="GQ31">
        <v>3.1330100000000001</v>
      </c>
      <c r="GR31">
        <v>2.72376</v>
      </c>
      <c r="GS31">
        <v>9.1435100000000005E-2</v>
      </c>
      <c r="GT31">
        <v>9.0957300000000005E-2</v>
      </c>
      <c r="GU31">
        <v>0.13025800000000001</v>
      </c>
      <c r="GV31">
        <v>0.122848</v>
      </c>
      <c r="GW31">
        <v>22904.5</v>
      </c>
      <c r="GX31">
        <v>30819.200000000001</v>
      </c>
      <c r="GY31">
        <v>27335.3</v>
      </c>
      <c r="GZ31">
        <v>34846.300000000003</v>
      </c>
      <c r="HA31">
        <v>34783.300000000003</v>
      </c>
      <c r="HB31">
        <v>38994.199999999997</v>
      </c>
      <c r="HC31">
        <v>40340.9</v>
      </c>
      <c r="HD31">
        <v>44545.5</v>
      </c>
      <c r="HE31">
        <v>1.9874000000000001</v>
      </c>
      <c r="HF31">
        <v>1.8089999999999999</v>
      </c>
      <c r="HG31">
        <v>3.65078E-2</v>
      </c>
      <c r="HH31">
        <v>0</v>
      </c>
      <c r="HI31">
        <v>29.913</v>
      </c>
      <c r="HJ31">
        <v>999.9</v>
      </c>
      <c r="HK31">
        <v>66.900000000000006</v>
      </c>
      <c r="HL31">
        <v>32.799999999999997</v>
      </c>
      <c r="HM31">
        <v>34.321899999999999</v>
      </c>
      <c r="HN31">
        <v>60.190100000000001</v>
      </c>
      <c r="HO31">
        <v>5.5648999999999997</v>
      </c>
      <c r="HP31">
        <v>1</v>
      </c>
      <c r="HQ31">
        <v>0.33841500000000002</v>
      </c>
      <c r="HR31">
        <v>0</v>
      </c>
      <c r="HS31">
        <v>20.2986</v>
      </c>
      <c r="HT31">
        <v>5.2100999999999997</v>
      </c>
      <c r="HU31">
        <v>11.902100000000001</v>
      </c>
      <c r="HV31">
        <v>4.9855999999999998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1.8672200000000001</v>
      </c>
      <c r="IC31">
        <v>1.8627899999999999</v>
      </c>
      <c r="ID31">
        <v>1.8621799999999999</v>
      </c>
      <c r="IE31">
        <v>1.86172</v>
      </c>
      <c r="IF31">
        <v>1.86172</v>
      </c>
      <c r="IG31">
        <v>1.86249</v>
      </c>
      <c r="IH31">
        <v>1.8632500000000001</v>
      </c>
      <c r="II31">
        <v>1.8613</v>
      </c>
      <c r="IJ31">
        <v>0</v>
      </c>
      <c r="IK31">
        <v>0</v>
      </c>
      <c r="IL31">
        <v>0</v>
      </c>
      <c r="IM31">
        <v>4.5</v>
      </c>
      <c r="IN31" t="s">
        <v>411</v>
      </c>
      <c r="IO31" t="s">
        <v>412</v>
      </c>
      <c r="IP31" t="s">
        <v>413</v>
      </c>
      <c r="IQ31" t="s">
        <v>414</v>
      </c>
      <c r="IR31" t="s">
        <v>414</v>
      </c>
      <c r="IS31" t="s">
        <v>413</v>
      </c>
      <c r="IT31">
        <v>0</v>
      </c>
      <c r="IU31">
        <v>100</v>
      </c>
      <c r="IV31">
        <v>100</v>
      </c>
      <c r="IW31">
        <v>-4.3760000000000003</v>
      </c>
      <c r="IX31">
        <v>0.40889999999999999</v>
      </c>
      <c r="IY31">
        <v>-2.7509463145729511</v>
      </c>
      <c r="IZ31">
        <v>-4.3200172963836943E-3</v>
      </c>
      <c r="JA31">
        <v>1.144643420078806E-6</v>
      </c>
      <c r="JB31">
        <v>2.2629164031131329E-11</v>
      </c>
      <c r="JC31">
        <v>-0.12731748889387021</v>
      </c>
      <c r="JD31">
        <v>-2.723765763251367E-3</v>
      </c>
      <c r="JE31">
        <v>9.3351533439868235E-4</v>
      </c>
      <c r="JF31">
        <v>-7.9310479777716621E-6</v>
      </c>
      <c r="JG31">
        <v>18</v>
      </c>
      <c r="JH31">
        <v>1822</v>
      </c>
      <c r="JI31">
        <v>1</v>
      </c>
      <c r="JJ31">
        <v>38</v>
      </c>
      <c r="JK31">
        <v>0.6</v>
      </c>
      <c r="JL31">
        <v>0.5</v>
      </c>
      <c r="JM31">
        <v>1.073</v>
      </c>
      <c r="JN31">
        <v>2.49146</v>
      </c>
      <c r="JO31">
        <v>1.50024</v>
      </c>
      <c r="JP31">
        <v>2.2778299999999998</v>
      </c>
      <c r="JQ31">
        <v>1.4477500000000001</v>
      </c>
      <c r="JR31">
        <v>2.4438499999999999</v>
      </c>
      <c r="JS31">
        <v>36.860399999999998</v>
      </c>
      <c r="JT31">
        <v>15.8307</v>
      </c>
      <c r="JU31">
        <v>18</v>
      </c>
      <c r="JV31">
        <v>539.00099999999998</v>
      </c>
      <c r="JW31">
        <v>438.63</v>
      </c>
      <c r="JX31">
        <v>30.9114</v>
      </c>
      <c r="JY31">
        <v>31.5684</v>
      </c>
      <c r="JZ31">
        <v>29.9999</v>
      </c>
      <c r="KA31">
        <v>31.593900000000001</v>
      </c>
      <c r="KB31">
        <v>31.563400000000001</v>
      </c>
      <c r="KC31">
        <v>21.456600000000002</v>
      </c>
      <c r="KD31">
        <v>34.492199999999997</v>
      </c>
      <c r="KE31">
        <v>71.377799999999993</v>
      </c>
      <c r="KF31">
        <v>-999.9</v>
      </c>
      <c r="KG31">
        <v>417.15300000000002</v>
      </c>
      <c r="KH31">
        <v>27.168500000000002</v>
      </c>
      <c r="KI31">
        <v>100.848</v>
      </c>
      <c r="KJ31">
        <v>99.891900000000007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7_3_Plt23_R3_M3_H2_P3_BT</vt:lpstr>
      <vt:lpstr>7_3_Plt_17_R2_M1_H1_P4_BT</vt:lpstr>
      <vt:lpstr>7_3_Plt7_R1_M2_H1_P8_BT</vt:lpstr>
      <vt:lpstr>7_2_Plt1_R1_M2_H3_P12_BT</vt:lpstr>
      <vt:lpstr>7_2_Plt10_R2_M3_H3_P11_BT</vt:lpstr>
      <vt:lpstr>7_2_Plt19_R3_M1_H1_P2_BT</vt:lpstr>
      <vt:lpstr>7_1_Plt__R3_M3_H2_P7_BT</vt:lpstr>
      <vt:lpstr>7_1_Plt16_R2_M1_H2_P8_BT</vt:lpstr>
      <vt:lpstr>7_1_Plt8_R1_M2_H3_P2_BT</vt:lpstr>
      <vt:lpstr>6_30_Plt_15_R2_M2_H1_5</vt:lpstr>
      <vt:lpstr>6_30_Plt_16_M1_P8_H2_P8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2026-07-29T16:36:07Z</dcterms:modified>
</cp:coreProperties>
</file>